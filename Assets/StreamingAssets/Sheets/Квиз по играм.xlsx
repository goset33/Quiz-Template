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Unity\Projects\Quiz-Template\Assets\StreamingAssets\Sheets\"/>
    </mc:Choice>
  </mc:AlternateContent>
  <xr:revisionPtr revIDLastSave="0" documentId="13_ncr:1_{41805A0A-E0AC-46F9-8E36-89FF60D22147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Майнкрафт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gVBNkmKdi+dDCvwPPtXxa3fgw9k0naNubUGEw0o3EfM="/>
    </ext>
  </extLst>
</workbook>
</file>

<file path=xl/calcChain.xml><?xml version="1.0" encoding="utf-8"?>
<calcChain xmlns="http://schemas.openxmlformats.org/spreadsheetml/2006/main">
  <c r="G130" i="1" l="1"/>
  <c r="F130" i="1"/>
  <c r="E130" i="1"/>
  <c r="D130" i="1"/>
  <c r="A130" i="1"/>
  <c r="G129" i="1"/>
  <c r="F129" i="1"/>
  <c r="E129" i="1"/>
  <c r="D129" i="1"/>
  <c r="A129" i="1"/>
  <c r="G128" i="1"/>
  <c r="F128" i="1"/>
  <c r="E128" i="1"/>
  <c r="D128" i="1"/>
  <c r="A128" i="1"/>
  <c r="G127" i="1"/>
  <c r="F127" i="1"/>
  <c r="E127" i="1"/>
  <c r="D127" i="1"/>
  <c r="A127" i="1"/>
  <c r="G126" i="1"/>
  <c r="F126" i="1"/>
  <c r="E126" i="1"/>
  <c r="D126" i="1"/>
  <c r="A126" i="1"/>
  <c r="G125" i="1"/>
  <c r="F125" i="1"/>
  <c r="E125" i="1"/>
  <c r="D125" i="1"/>
  <c r="A125" i="1"/>
  <c r="G124" i="1"/>
  <c r="F124" i="1"/>
  <c r="E124" i="1"/>
  <c r="D124" i="1"/>
  <c r="A124" i="1"/>
  <c r="G123" i="1"/>
  <c r="F123" i="1"/>
  <c r="E123" i="1"/>
  <c r="D123" i="1"/>
  <c r="A123" i="1"/>
  <c r="G122" i="1"/>
  <c r="F122" i="1"/>
  <c r="E122" i="1"/>
  <c r="D122" i="1"/>
  <c r="A122" i="1"/>
  <c r="G121" i="1"/>
  <c r="F121" i="1"/>
  <c r="E121" i="1"/>
  <c r="D121" i="1"/>
  <c r="A121" i="1"/>
  <c r="G120" i="1"/>
  <c r="F120" i="1"/>
  <c r="E120" i="1"/>
  <c r="D120" i="1"/>
  <c r="A120" i="1"/>
  <c r="G119" i="1"/>
  <c r="F119" i="1"/>
  <c r="E119" i="1"/>
  <c r="D119" i="1"/>
  <c r="A119" i="1"/>
  <c r="G118" i="1"/>
  <c r="F118" i="1"/>
  <c r="E118" i="1"/>
  <c r="D118" i="1"/>
  <c r="A118" i="1"/>
  <c r="G117" i="1"/>
  <c r="F117" i="1"/>
  <c r="E117" i="1"/>
  <c r="D117" i="1"/>
  <c r="A117" i="1"/>
  <c r="G116" i="1"/>
  <c r="F116" i="1"/>
  <c r="E116" i="1"/>
  <c r="D116" i="1"/>
  <c r="A116" i="1"/>
  <c r="G115" i="1"/>
  <c r="F115" i="1"/>
  <c r="E115" i="1"/>
  <c r="D115" i="1"/>
  <c r="A115" i="1"/>
  <c r="G114" i="1"/>
  <c r="F114" i="1"/>
  <c r="E114" i="1"/>
  <c r="D114" i="1"/>
  <c r="A114" i="1"/>
  <c r="G113" i="1"/>
  <c r="F113" i="1"/>
  <c r="E113" i="1"/>
  <c r="D113" i="1"/>
  <c r="A113" i="1"/>
  <c r="G112" i="1"/>
  <c r="F112" i="1"/>
  <c r="E112" i="1"/>
  <c r="D112" i="1"/>
  <c r="A112" i="1"/>
  <c r="G111" i="1"/>
  <c r="F111" i="1"/>
  <c r="E111" i="1"/>
  <c r="D111" i="1"/>
  <c r="A111" i="1"/>
  <c r="G110" i="1"/>
  <c r="F110" i="1"/>
  <c r="E110" i="1"/>
  <c r="D110" i="1"/>
  <c r="A110" i="1"/>
  <c r="G109" i="1"/>
  <c r="F109" i="1"/>
  <c r="E109" i="1"/>
  <c r="D109" i="1"/>
  <c r="A109" i="1"/>
  <c r="G108" i="1"/>
  <c r="F108" i="1"/>
  <c r="E108" i="1"/>
  <c r="D108" i="1"/>
  <c r="A108" i="1"/>
  <c r="G107" i="1"/>
  <c r="F107" i="1"/>
  <c r="E107" i="1"/>
  <c r="D107" i="1"/>
  <c r="A107" i="1"/>
  <c r="G106" i="1"/>
  <c r="F106" i="1"/>
  <c r="E106" i="1"/>
  <c r="D106" i="1"/>
  <c r="A106" i="1"/>
  <c r="G105" i="1"/>
  <c r="F105" i="1"/>
  <c r="E105" i="1"/>
  <c r="D105" i="1"/>
  <c r="A105" i="1"/>
  <c r="G104" i="1"/>
  <c r="F104" i="1"/>
  <c r="E104" i="1"/>
  <c r="D104" i="1"/>
  <c r="A104" i="1"/>
  <c r="G103" i="1"/>
  <c r="F103" i="1"/>
  <c r="E103" i="1"/>
  <c r="D103" i="1"/>
  <c r="A103" i="1"/>
  <c r="G102" i="1"/>
  <c r="F102" i="1"/>
  <c r="E102" i="1"/>
  <c r="D102" i="1"/>
  <c r="A102" i="1"/>
  <c r="G101" i="1"/>
  <c r="F101" i="1"/>
  <c r="E101" i="1"/>
  <c r="D101" i="1"/>
  <c r="A101" i="1"/>
  <c r="G100" i="1"/>
  <c r="F100" i="1"/>
  <c r="E100" i="1"/>
  <c r="D100" i="1"/>
  <c r="A100" i="1"/>
  <c r="G99" i="1"/>
  <c r="F99" i="1"/>
  <c r="E99" i="1"/>
  <c r="D99" i="1"/>
  <c r="A99" i="1"/>
  <c r="G98" i="1"/>
  <c r="F98" i="1"/>
  <c r="E98" i="1"/>
  <c r="D98" i="1"/>
  <c r="A98" i="1"/>
  <c r="G97" i="1"/>
  <c r="F97" i="1"/>
  <c r="E97" i="1"/>
  <c r="D97" i="1"/>
  <c r="A97" i="1"/>
  <c r="G96" i="1"/>
  <c r="F96" i="1"/>
  <c r="E96" i="1"/>
  <c r="D96" i="1"/>
  <c r="A96" i="1"/>
  <c r="G95" i="1"/>
  <c r="F95" i="1"/>
  <c r="E95" i="1"/>
  <c r="D95" i="1"/>
  <c r="A95" i="1"/>
  <c r="G94" i="1"/>
  <c r="F94" i="1"/>
  <c r="E94" i="1"/>
  <c r="D94" i="1"/>
  <c r="A94" i="1"/>
  <c r="G93" i="1"/>
  <c r="F93" i="1"/>
  <c r="E93" i="1"/>
  <c r="D93" i="1"/>
  <c r="A93" i="1"/>
  <c r="G92" i="1"/>
  <c r="F92" i="1"/>
  <c r="E92" i="1"/>
  <c r="D92" i="1"/>
  <c r="A92" i="1"/>
  <c r="G91" i="1"/>
  <c r="F91" i="1"/>
  <c r="E91" i="1"/>
  <c r="D91" i="1"/>
  <c r="A91" i="1"/>
  <c r="G90" i="1"/>
  <c r="F90" i="1"/>
  <c r="E90" i="1"/>
  <c r="D90" i="1"/>
  <c r="A90" i="1"/>
  <c r="G89" i="1"/>
  <c r="F89" i="1"/>
  <c r="E89" i="1"/>
  <c r="D89" i="1"/>
  <c r="A89" i="1"/>
  <c r="G88" i="1"/>
  <c r="F88" i="1"/>
  <c r="E88" i="1"/>
  <c r="D88" i="1"/>
  <c r="A88" i="1"/>
  <c r="G87" i="1"/>
  <c r="F87" i="1"/>
  <c r="E87" i="1"/>
  <c r="D87" i="1"/>
  <c r="A87" i="1"/>
  <c r="G86" i="1"/>
  <c r="F86" i="1"/>
  <c r="E86" i="1"/>
  <c r="D86" i="1"/>
  <c r="A86" i="1"/>
  <c r="G85" i="1"/>
  <c r="F85" i="1"/>
  <c r="E85" i="1"/>
  <c r="D85" i="1"/>
  <c r="A85" i="1"/>
  <c r="G84" i="1"/>
  <c r="F84" i="1"/>
  <c r="E84" i="1"/>
  <c r="D84" i="1"/>
  <c r="A84" i="1"/>
  <c r="G83" i="1"/>
  <c r="F83" i="1"/>
  <c r="E83" i="1"/>
  <c r="D83" i="1"/>
  <c r="A83" i="1"/>
  <c r="G82" i="1"/>
  <c r="F82" i="1"/>
  <c r="E82" i="1"/>
  <c r="D82" i="1"/>
  <c r="A82" i="1"/>
  <c r="G81" i="1"/>
  <c r="F81" i="1"/>
  <c r="E81" i="1"/>
  <c r="D81" i="1"/>
  <c r="A81" i="1"/>
  <c r="G80" i="1"/>
  <c r="F80" i="1"/>
  <c r="E80" i="1"/>
  <c r="D80" i="1"/>
  <c r="A80" i="1"/>
  <c r="G79" i="1"/>
  <c r="F79" i="1"/>
  <c r="E79" i="1"/>
  <c r="D79" i="1"/>
  <c r="A79" i="1"/>
  <c r="G78" i="1"/>
  <c r="F78" i="1"/>
  <c r="E78" i="1"/>
  <c r="D78" i="1"/>
  <c r="A78" i="1"/>
  <c r="G77" i="1"/>
  <c r="F77" i="1"/>
  <c r="E77" i="1"/>
  <c r="D77" i="1"/>
  <c r="A77" i="1"/>
  <c r="G76" i="1"/>
  <c r="F76" i="1"/>
  <c r="E76" i="1"/>
  <c r="D76" i="1"/>
  <c r="A76" i="1"/>
  <c r="G75" i="1"/>
  <c r="F75" i="1"/>
  <c r="E75" i="1"/>
  <c r="D75" i="1"/>
  <c r="A75" i="1"/>
  <c r="G74" i="1"/>
  <c r="F74" i="1"/>
  <c r="E74" i="1"/>
  <c r="D74" i="1"/>
  <c r="A74" i="1"/>
  <c r="G73" i="1"/>
  <c r="F73" i="1"/>
  <c r="E73" i="1"/>
  <c r="D73" i="1"/>
  <c r="A73" i="1"/>
  <c r="G72" i="1"/>
  <c r="F72" i="1"/>
  <c r="E72" i="1"/>
  <c r="D72" i="1"/>
  <c r="A72" i="1"/>
  <c r="G71" i="1"/>
  <c r="F71" i="1"/>
  <c r="E71" i="1"/>
  <c r="D71" i="1"/>
  <c r="A71" i="1"/>
  <c r="G70" i="1"/>
  <c r="F70" i="1"/>
  <c r="E70" i="1"/>
  <c r="D70" i="1"/>
  <c r="A70" i="1"/>
  <c r="G69" i="1"/>
  <c r="F69" i="1"/>
  <c r="E69" i="1"/>
  <c r="D69" i="1"/>
  <c r="A69" i="1"/>
  <c r="G68" i="1"/>
  <c r="F68" i="1"/>
  <c r="E68" i="1"/>
  <c r="D68" i="1"/>
  <c r="A68" i="1"/>
  <c r="G67" i="1"/>
  <c r="F67" i="1"/>
  <c r="E67" i="1"/>
  <c r="D67" i="1"/>
  <c r="A67" i="1"/>
  <c r="G66" i="1"/>
  <c r="F66" i="1"/>
  <c r="E66" i="1"/>
  <c r="D66" i="1"/>
  <c r="A66" i="1"/>
  <c r="G65" i="1"/>
  <c r="F65" i="1"/>
  <c r="E65" i="1"/>
  <c r="D65" i="1"/>
  <c r="A65" i="1"/>
  <c r="G64" i="1"/>
  <c r="F64" i="1"/>
  <c r="E64" i="1"/>
  <c r="D64" i="1"/>
  <c r="A64" i="1"/>
  <c r="G63" i="1"/>
  <c r="F63" i="1"/>
  <c r="E63" i="1"/>
  <c r="D63" i="1"/>
  <c r="A63" i="1"/>
  <c r="G62" i="1"/>
  <c r="F62" i="1"/>
  <c r="E62" i="1"/>
  <c r="D62" i="1"/>
  <c r="A62" i="1"/>
  <c r="G61" i="1"/>
  <c r="F61" i="1"/>
  <c r="E61" i="1"/>
  <c r="D61" i="1"/>
  <c r="A61" i="1"/>
  <c r="G60" i="1"/>
  <c r="F60" i="1"/>
  <c r="E60" i="1"/>
  <c r="D60" i="1"/>
  <c r="A60" i="1"/>
  <c r="G59" i="1"/>
  <c r="F59" i="1"/>
  <c r="E59" i="1"/>
  <c r="D59" i="1"/>
  <c r="A59" i="1"/>
  <c r="G58" i="1"/>
  <c r="F58" i="1"/>
  <c r="E58" i="1"/>
  <c r="D58" i="1"/>
  <c r="A58" i="1"/>
  <c r="G57" i="1"/>
  <c r="F57" i="1"/>
  <c r="E57" i="1"/>
  <c r="D57" i="1"/>
  <c r="A57" i="1"/>
  <c r="G56" i="1"/>
  <c r="F56" i="1"/>
  <c r="E56" i="1"/>
  <c r="D56" i="1"/>
  <c r="A56" i="1"/>
  <c r="G55" i="1"/>
  <c r="F55" i="1"/>
  <c r="E55" i="1"/>
  <c r="D55" i="1"/>
  <c r="A55" i="1"/>
  <c r="G54" i="1"/>
  <c r="F54" i="1"/>
  <c r="E54" i="1"/>
  <c r="D54" i="1"/>
  <c r="A54" i="1"/>
  <c r="G53" i="1"/>
  <c r="F53" i="1"/>
  <c r="E53" i="1"/>
  <c r="D53" i="1"/>
  <c r="A53" i="1"/>
  <c r="G52" i="1"/>
  <c r="F52" i="1"/>
  <c r="E52" i="1"/>
  <c r="D52" i="1"/>
  <c r="A52" i="1"/>
  <c r="G51" i="1"/>
  <c r="F51" i="1"/>
  <c r="E51" i="1"/>
  <c r="D51" i="1"/>
  <c r="A51" i="1"/>
  <c r="G50" i="1"/>
  <c r="F50" i="1"/>
  <c r="E50" i="1"/>
  <c r="D50" i="1"/>
  <c r="A50" i="1"/>
  <c r="G49" i="1"/>
  <c r="F49" i="1"/>
  <c r="E49" i="1"/>
  <c r="D49" i="1"/>
  <c r="A49" i="1"/>
  <c r="G48" i="1"/>
  <c r="F48" i="1"/>
  <c r="E48" i="1"/>
  <c r="D48" i="1"/>
  <c r="A48" i="1"/>
  <c r="G47" i="1"/>
  <c r="F47" i="1"/>
  <c r="E47" i="1"/>
  <c r="D47" i="1"/>
  <c r="A47" i="1"/>
  <c r="G46" i="1"/>
  <c r="F46" i="1"/>
  <c r="E46" i="1"/>
  <c r="D46" i="1"/>
  <c r="A46" i="1"/>
  <c r="G45" i="1"/>
  <c r="F45" i="1"/>
  <c r="E45" i="1"/>
  <c r="D45" i="1"/>
  <c r="A45" i="1"/>
  <c r="G44" i="1"/>
  <c r="F44" i="1"/>
  <c r="E44" i="1"/>
  <c r="D44" i="1"/>
  <c r="A44" i="1"/>
  <c r="G43" i="1"/>
  <c r="F43" i="1"/>
  <c r="E43" i="1"/>
  <c r="D43" i="1"/>
  <c r="A43" i="1"/>
  <c r="G42" i="1"/>
  <c r="F42" i="1"/>
  <c r="E42" i="1"/>
  <c r="D42" i="1"/>
  <c r="A42" i="1"/>
  <c r="G41" i="1"/>
  <c r="F41" i="1"/>
  <c r="E41" i="1"/>
  <c r="D41" i="1"/>
  <c r="A41" i="1"/>
  <c r="G40" i="1"/>
  <c r="F40" i="1"/>
  <c r="E40" i="1"/>
  <c r="D40" i="1"/>
  <c r="A40" i="1"/>
  <c r="G39" i="1"/>
  <c r="F39" i="1"/>
  <c r="E39" i="1"/>
  <c r="D39" i="1"/>
  <c r="A39" i="1"/>
  <c r="G38" i="1"/>
  <c r="F38" i="1"/>
  <c r="E38" i="1"/>
  <c r="D38" i="1"/>
  <c r="A38" i="1"/>
  <c r="G37" i="1"/>
  <c r="F37" i="1"/>
  <c r="E37" i="1"/>
  <c r="D37" i="1"/>
  <c r="A37" i="1"/>
  <c r="G36" i="1"/>
  <c r="F36" i="1"/>
  <c r="E36" i="1"/>
  <c r="D36" i="1"/>
  <c r="A36" i="1"/>
  <c r="G35" i="1"/>
  <c r="F35" i="1"/>
  <c r="E35" i="1"/>
  <c r="D35" i="1"/>
  <c r="A35" i="1"/>
  <c r="G34" i="1"/>
  <c r="F34" i="1"/>
  <c r="E34" i="1"/>
  <c r="D34" i="1"/>
  <c r="A34" i="1"/>
  <c r="G33" i="1"/>
  <c r="F33" i="1"/>
  <c r="E33" i="1"/>
  <c r="D33" i="1"/>
  <c r="A33" i="1"/>
  <c r="G32" i="1"/>
  <c r="F32" i="1"/>
  <c r="E32" i="1"/>
  <c r="D32" i="1"/>
  <c r="A32" i="1"/>
  <c r="G31" i="1"/>
  <c r="F31" i="1"/>
  <c r="E31" i="1"/>
  <c r="D31" i="1"/>
  <c r="A31" i="1"/>
  <c r="G30" i="1"/>
  <c r="F30" i="1"/>
  <c r="E30" i="1"/>
  <c r="D30" i="1"/>
  <c r="A30" i="1"/>
  <c r="G29" i="1"/>
  <c r="F29" i="1"/>
  <c r="E29" i="1"/>
  <c r="D29" i="1"/>
  <c r="A29" i="1"/>
  <c r="G28" i="1"/>
  <c r="F28" i="1"/>
  <c r="E28" i="1"/>
  <c r="D28" i="1"/>
  <c r="A28" i="1"/>
  <c r="G27" i="1"/>
  <c r="F27" i="1"/>
  <c r="E27" i="1"/>
  <c r="D27" i="1"/>
  <c r="A27" i="1"/>
  <c r="G26" i="1"/>
  <c r="F26" i="1"/>
  <c r="E26" i="1"/>
  <c r="D26" i="1"/>
  <c r="A26" i="1"/>
  <c r="G25" i="1"/>
  <c r="F25" i="1"/>
  <c r="E25" i="1"/>
  <c r="D25" i="1"/>
  <c r="A25" i="1"/>
  <c r="G24" i="1"/>
  <c r="F24" i="1"/>
  <c r="E24" i="1"/>
  <c r="D24" i="1"/>
  <c r="A24" i="1"/>
  <c r="G23" i="1"/>
  <c r="F23" i="1"/>
  <c r="E23" i="1"/>
  <c r="D23" i="1"/>
  <c r="A23" i="1"/>
  <c r="G22" i="1"/>
  <c r="F22" i="1"/>
  <c r="E22" i="1"/>
  <c r="D22" i="1"/>
  <c r="A22" i="1"/>
  <c r="G21" i="1"/>
  <c r="F21" i="1"/>
  <c r="E21" i="1"/>
  <c r="D21" i="1"/>
  <c r="A21" i="1"/>
  <c r="G20" i="1"/>
  <c r="F20" i="1"/>
  <c r="E20" i="1"/>
  <c r="D20" i="1"/>
  <c r="A20" i="1"/>
  <c r="G19" i="1"/>
  <c r="F19" i="1"/>
  <c r="E19" i="1"/>
  <c r="D19" i="1"/>
  <c r="A19" i="1"/>
  <c r="G18" i="1"/>
  <c r="F18" i="1"/>
  <c r="E18" i="1"/>
  <c r="D18" i="1"/>
  <c r="A18" i="1"/>
  <c r="G17" i="1"/>
  <c r="F17" i="1"/>
  <c r="E17" i="1"/>
  <c r="D17" i="1"/>
  <c r="A17" i="1"/>
  <c r="G16" i="1"/>
  <c r="F16" i="1"/>
  <c r="E16" i="1"/>
  <c r="D16" i="1"/>
  <c r="A16" i="1"/>
  <c r="G15" i="1"/>
  <c r="F15" i="1"/>
  <c r="E15" i="1"/>
  <c r="D15" i="1"/>
  <c r="A15" i="1"/>
  <c r="G14" i="1"/>
  <c r="F14" i="1"/>
  <c r="E14" i="1"/>
  <c r="D14" i="1"/>
  <c r="A14" i="1"/>
  <c r="G13" i="1"/>
  <c r="F13" i="1"/>
  <c r="E13" i="1"/>
  <c r="D13" i="1"/>
  <c r="A13" i="1"/>
  <c r="G12" i="1"/>
  <c r="F12" i="1"/>
  <c r="E12" i="1"/>
  <c r="D12" i="1"/>
  <c r="A12" i="1"/>
  <c r="G11" i="1"/>
  <c r="F11" i="1"/>
  <c r="E11" i="1"/>
  <c r="D11" i="1"/>
  <c r="A11" i="1"/>
  <c r="G10" i="1"/>
  <c r="F10" i="1"/>
  <c r="E10" i="1"/>
  <c r="D10" i="1"/>
  <c r="A10" i="1"/>
  <c r="G9" i="1"/>
  <c r="F9" i="1"/>
  <c r="E9" i="1"/>
  <c r="D9" i="1"/>
  <c r="A9" i="1"/>
  <c r="G8" i="1"/>
  <c r="F8" i="1"/>
  <c r="E8" i="1"/>
  <c r="D8" i="1"/>
  <c r="A8" i="1"/>
  <c r="G7" i="1"/>
  <c r="F7" i="1"/>
  <c r="E7" i="1"/>
  <c r="D7" i="1"/>
  <c r="A7" i="1"/>
  <c r="G6" i="1"/>
  <c r="F6" i="1"/>
  <c r="E6" i="1"/>
  <c r="D6" i="1"/>
  <c r="A6" i="1"/>
  <c r="G5" i="1"/>
  <c r="F5" i="1"/>
  <c r="E5" i="1"/>
  <c r="D5" i="1"/>
  <c r="A5" i="1"/>
  <c r="G4" i="1"/>
  <c r="F4" i="1"/>
  <c r="E4" i="1"/>
  <c r="D4" i="1"/>
  <c r="A4" i="1"/>
  <c r="G3" i="1"/>
  <c r="F3" i="1"/>
  <c r="E3" i="1"/>
  <c r="D3" i="1"/>
  <c r="A3" i="1"/>
  <c r="G2" i="1"/>
  <c r="F2" i="1"/>
  <c r="E2" i="1"/>
  <c r="D2" i="1"/>
  <c r="A2" i="1"/>
</calcChain>
</file>

<file path=xl/sharedStrings.xml><?xml version="1.0" encoding="utf-8"?>
<sst xmlns="http://schemas.openxmlformats.org/spreadsheetml/2006/main" count="137" uniqueCount="137">
  <si>
    <t>Вопрос</t>
  </si>
  <si>
    <t>Тип вопроса</t>
  </si>
  <si>
    <t>Изображение</t>
  </si>
  <si>
    <t>Правильный ответ</t>
  </si>
  <si>
    <t>Общие вопросы</t>
  </si>
  <si>
    <t>1. Какой блок является основным строительным материалом в Minecraft? а) Камень б) Песок в) Земля г) Гравий</t>
  </si>
  <si>
    <t>2. Как называется измерение, где обитает Эндер-дракон? а) Край б) Ад в) Верхний мир г) Измерение грибов</t>
  </si>
  <si>
    <r>
      <rPr>
        <sz val="12"/>
        <color rgb="FF212529"/>
        <rFont val="Quattrocento Sans"/>
      </rPr>
      <t>4. Какой моб взрывается при приближении к игроку? </t>
    </r>
    <r>
      <rPr>
        <b/>
        <sz val="12"/>
        <color rgb="FF212529"/>
        <rFont val="Segoe UI"/>
      </rPr>
      <t>а) Крипер</t>
    </r>
    <r>
      <rPr>
        <sz val="12"/>
        <color rgb="FF212529"/>
        <rFont val="Segoe UI"/>
      </rPr>
      <t> б) Скелет в) Зомби г) Паук</t>
    </r>
  </si>
  <si>
    <r>
      <rPr>
        <sz val="12"/>
        <color rgb="FF212529"/>
        <rFont val="Quattrocento Sans"/>
      </rPr>
      <t>6. Какой моб сбрасывает стрелы? </t>
    </r>
    <r>
      <rPr>
        <b/>
        <sz val="12"/>
        <color rgb="FF212529"/>
        <rFont val="Segoe UI"/>
      </rPr>
      <t>а) Скелет</t>
    </r>
    <r>
      <rPr>
        <sz val="12"/>
        <color rgb="FF212529"/>
        <rFont val="Segoe UI"/>
      </rPr>
      <t> б) Зомби в) Крипер г) Паук</t>
    </r>
  </si>
  <si>
    <r>
      <rPr>
        <sz val="12"/>
        <color rgb="FF212529"/>
        <rFont val="Quattrocento Sans"/>
      </rPr>
      <t>7. Какой моб плавает в воде и может атаковать игрока? </t>
    </r>
    <r>
      <rPr>
        <b/>
        <sz val="12"/>
        <color rgb="FF212529"/>
        <rFont val="Segoe UI"/>
      </rPr>
      <t>а) Утопленник</t>
    </r>
    <r>
      <rPr>
        <sz val="12"/>
        <color rgb="FF212529"/>
        <rFont val="Segoe UI"/>
      </rPr>
      <t> б) Овца в) Свинья г) Корова</t>
    </r>
  </si>
  <si>
    <r>
      <rPr>
        <sz val="12"/>
        <color rgb="FF212529"/>
        <rFont val="Quattrocento Sans"/>
      </rPr>
      <t>8. Какого моба можно приручить с помощью костей? </t>
    </r>
    <r>
      <rPr>
        <b/>
        <sz val="12"/>
        <color rgb="FF212529"/>
        <rFont val="Segoe UI"/>
      </rPr>
      <t>а) Волк</t>
    </r>
    <r>
      <rPr>
        <sz val="12"/>
        <color rgb="FF212529"/>
        <rFont val="Segoe UI"/>
      </rPr>
      <t> б) Кошка в) Лошадь г) Попугай</t>
    </r>
  </si>
  <si>
    <r>
      <rPr>
        <sz val="12"/>
        <color rgb="FF212529"/>
        <rFont val="Quattrocento Sans"/>
      </rPr>
      <t>9. Какой моб можно найти в аду и он стреляет огненными шарами? </t>
    </r>
    <r>
      <rPr>
        <b/>
        <sz val="12"/>
        <color rgb="FF212529"/>
        <rFont val="Segoe UI"/>
      </rPr>
      <t>а) Гаст</t>
    </r>
    <r>
      <rPr>
        <sz val="12"/>
        <color rgb="FF212529"/>
        <rFont val="Segoe UI"/>
      </rPr>
      <t> б) Эндермен в) Зомби-свиночеловек г) Страж</t>
    </r>
  </si>
  <si>
    <r>
      <rPr>
        <sz val="12"/>
        <color rgb="FF212529"/>
        <rFont val="Quattrocento Sans"/>
      </rPr>
      <t>10. Какой моб даёт шерсть? </t>
    </r>
    <r>
      <rPr>
        <b/>
        <sz val="12"/>
        <color rgb="FF212529"/>
        <rFont val="Segoe UI"/>
      </rPr>
      <t>а) Овца</t>
    </r>
    <r>
      <rPr>
        <sz val="12"/>
        <color rgb="FF212529"/>
        <rFont val="Segoe UI"/>
      </rPr>
      <t> б) Курица в) Свинья г) Корова</t>
    </r>
  </si>
  <si>
    <r>
      <rPr>
        <sz val="12"/>
        <color rgb="FF212529"/>
        <rFont val="Quattrocento Sans"/>
      </rPr>
      <t>11. Какой предмет используется для создания портала в Нижний мир? </t>
    </r>
    <r>
      <rPr>
        <b/>
        <sz val="12"/>
        <color rgb="FF212529"/>
        <rFont val="Segoe UI"/>
      </rPr>
      <t>а) Обсидиан</t>
    </r>
    <r>
      <rPr>
        <sz val="12"/>
        <color rgb="FF212529"/>
        <rFont val="Segoe UI"/>
      </rPr>
      <t> б) Алмаз в) Золото г) Железо</t>
    </r>
  </si>
  <si>
    <r>
      <rPr>
        <sz val="12"/>
        <color rgb="FF212529"/>
        <rFont val="Quattrocento Sans"/>
      </rPr>
      <t>12. Какой предмет нужен для создания хлеба? </t>
    </r>
    <r>
      <rPr>
        <b/>
        <sz val="12"/>
        <color rgb="FF212529"/>
        <rFont val="Segoe UI"/>
      </rPr>
      <t>а) Пшеница</t>
    </r>
    <r>
      <rPr>
        <sz val="12"/>
        <color rgb="FF212529"/>
        <rFont val="Segoe UI"/>
      </rPr>
      <t> б) Камень в) Дерево г) Уголь</t>
    </r>
  </si>
  <si>
    <r>
      <rPr>
        <sz val="12"/>
        <color rgb="FF212529"/>
        <rFont val="Quattrocento Sans"/>
      </rPr>
      <t>15. Какой предмет используется для создания факелов? </t>
    </r>
    <r>
      <rPr>
        <b/>
        <sz val="12"/>
        <color rgb="FF212529"/>
        <rFont val="Segoe UI"/>
      </rPr>
      <t>а) Уголь</t>
    </r>
    <r>
      <rPr>
        <sz val="12"/>
        <color rgb="FF212529"/>
        <rFont val="Segoe UI"/>
      </rPr>
      <t> б) Алмаз в) Золото г) Железо</t>
    </r>
  </si>
  <si>
    <r>
      <rPr>
        <sz val="12"/>
        <color rgb="FF212529"/>
        <rFont val="Quattrocento Sans"/>
      </rPr>
      <t>16. В каком биоме растут кактусы? </t>
    </r>
    <r>
      <rPr>
        <b/>
        <sz val="12"/>
        <color rgb="FF212529"/>
        <rFont val="Segoe UI"/>
      </rPr>
      <t>а) Пустыня</t>
    </r>
    <r>
      <rPr>
        <sz val="12"/>
        <color rgb="FF212529"/>
        <rFont val="Segoe UI"/>
      </rPr>
      <t> б) Лес в) Тундра г) Джунгли</t>
    </r>
  </si>
  <si>
    <r>
      <rPr>
        <sz val="12"/>
        <color rgb="FF212529"/>
        <rFont val="Quattrocento Sans"/>
      </rPr>
      <t>17. Какой биом содержит много воды и лилий? </t>
    </r>
    <r>
      <rPr>
        <b/>
        <sz val="12"/>
        <color rgb="FF212529"/>
        <rFont val="Segoe UI"/>
      </rPr>
      <t>а) Болото</t>
    </r>
    <r>
      <rPr>
        <sz val="12"/>
        <color rgb="FF212529"/>
        <rFont val="Segoe UI"/>
      </rPr>
      <t> б) Горы в) Равнина г) Саванна</t>
    </r>
  </si>
  <si>
    <r>
      <rPr>
        <sz val="12"/>
        <color rgb="FF212529"/>
        <rFont val="Quattrocento Sans"/>
      </rPr>
      <t>18. В каком биоме выпадает снег? </t>
    </r>
    <r>
      <rPr>
        <b/>
        <sz val="12"/>
        <color rgb="FF212529"/>
        <rFont val="Segoe UI"/>
      </rPr>
      <t>а) Тундра</t>
    </r>
    <r>
      <rPr>
        <sz val="12"/>
        <color rgb="FF212529"/>
        <rFont val="Segoe UI"/>
      </rPr>
      <t> б) Пустыня в) Джунгли г) Саванна</t>
    </r>
  </si>
  <si>
    <r>
      <rPr>
        <sz val="12"/>
        <color rgb="FF212529"/>
        <rFont val="Quattrocento Sans"/>
      </rPr>
      <t>19. Какой биом известен своими высокими деревьями и лианами? </t>
    </r>
    <r>
      <rPr>
        <b/>
        <sz val="12"/>
        <color rgb="FF212529"/>
        <rFont val="Segoe UI"/>
      </rPr>
      <t>а) Джунгли</t>
    </r>
    <r>
      <rPr>
        <sz val="12"/>
        <color rgb="FF212529"/>
        <rFont val="Segoe UI"/>
      </rPr>
      <t> б) Равнина в) Горы г) Тундра</t>
    </r>
  </si>
  <si>
    <r>
      <rPr>
        <sz val="12"/>
        <color rgb="FF212529"/>
        <rFont val="Quattrocento Sans"/>
      </rPr>
      <t>20. Какой биом содержит много грибов? </t>
    </r>
    <r>
      <rPr>
        <b/>
        <sz val="12"/>
        <color rgb="FF212529"/>
        <rFont val="Segoe UI"/>
      </rPr>
      <t>а) Грибной остров</t>
    </r>
    <r>
      <rPr>
        <sz val="12"/>
        <color rgb="FF212529"/>
        <rFont val="Segoe UI"/>
      </rPr>
      <t> б) Лес в) Пустыня г) Тайга</t>
    </r>
  </si>
  <si>
    <r>
      <rPr>
        <sz val="12"/>
        <color rgb="FF212529"/>
        <rFont val="Quattrocento Sans"/>
      </rPr>
      <t>21. Какую структуру можно найти в пустыне? </t>
    </r>
    <r>
      <rPr>
        <b/>
        <sz val="12"/>
        <color rgb="FF212529"/>
        <rFont val="Segoe UI"/>
      </rPr>
      <t>а) Пирамида</t>
    </r>
    <r>
      <rPr>
        <sz val="12"/>
        <color rgb="FF212529"/>
        <rFont val="Segoe UI"/>
      </rPr>
      <t> б) Деревня в) Крепость г) Шахта</t>
    </r>
  </si>
  <si>
    <r>
      <rPr>
        <sz val="12"/>
        <color rgb="FF212529"/>
        <rFont val="Quattrocento Sans"/>
      </rPr>
      <t>22. Какую структуру можно найти в океане? </t>
    </r>
    <r>
      <rPr>
        <b/>
        <sz val="12"/>
        <color rgb="FF212529"/>
        <rFont val="Segoe UI"/>
      </rPr>
      <t>а) Морской монумент</t>
    </r>
    <r>
      <rPr>
        <sz val="12"/>
        <color rgb="FF212529"/>
        <rFont val="Segoe UI"/>
      </rPr>
      <t> б) Храм джунглей в) Иглу г) Заброшенная шахта</t>
    </r>
  </si>
  <si>
    <r>
      <rPr>
        <sz val="12"/>
        <color rgb="FF212529"/>
        <rFont val="Quattrocento Sans"/>
      </rPr>
      <t>23. В какой структуре можно найти сокровище? </t>
    </r>
    <r>
      <rPr>
        <b/>
        <sz val="12"/>
        <color rgb="FF212529"/>
        <rFont val="Segoe UI"/>
      </rPr>
      <t>а) Сундук с сокровищами</t>
    </r>
    <r>
      <rPr>
        <sz val="12"/>
        <color rgb="FF212529"/>
        <rFont val="Segoe UI"/>
      </rPr>
      <t> б) Дом деревенского жителя в) Верстак г) Печь</t>
    </r>
  </si>
  <si>
    <r>
      <rPr>
        <sz val="12"/>
        <color rgb="FF212529"/>
        <rFont val="Quattrocento Sans"/>
      </rPr>
      <t>24. Какую структуру можно найти в Нижнем мире? </t>
    </r>
    <r>
      <rPr>
        <b/>
        <sz val="12"/>
        <color rgb="FF212529"/>
        <rFont val="Segoe UI"/>
      </rPr>
      <t>а) Крепость Нижнего мира</t>
    </r>
    <r>
      <rPr>
        <sz val="12"/>
        <color rgb="FF212529"/>
        <rFont val="Segoe UI"/>
      </rPr>
      <t> б) Деревня в) Иглу г) Шахта</t>
    </r>
  </si>
  <si>
    <r>
      <rPr>
        <sz val="12"/>
        <color rgb="FF212529"/>
        <rFont val="Quattrocento Sans"/>
      </rPr>
      <t>26. Какой ингредиент нужен для создания зелья силы? </t>
    </r>
    <r>
      <rPr>
        <b/>
        <sz val="12"/>
        <color rgb="FF212529"/>
        <rFont val="Segoe UI"/>
      </rPr>
      <t>а) Адский нарост</t>
    </r>
    <r>
      <rPr>
        <sz val="12"/>
        <color rgb="FF212529"/>
        <rFont val="Segoe UI"/>
      </rPr>
      <t> б) Слеза гаста в) Красная пыль г) Золотая морковь</t>
    </r>
  </si>
  <si>
    <r>
      <rPr>
        <sz val="12"/>
        <color rgb="FF212529"/>
        <rFont val="Quattrocento Sans"/>
      </rPr>
      <t>28. Какое зачарование позволяет ходить по воде? </t>
    </r>
    <r>
      <rPr>
        <b/>
        <sz val="12"/>
        <color rgb="FF212529"/>
        <rFont val="Segoe UI"/>
      </rPr>
      <t>а) Ледоход</t>
    </r>
    <r>
      <rPr>
        <sz val="12"/>
        <color rgb="FF212529"/>
        <rFont val="Segoe UI"/>
      </rPr>
      <t> б) Починка в) Небесная кара г) Отдача</t>
    </r>
  </si>
  <si>
    <r>
      <rPr>
        <sz val="12"/>
        <color rgb="FF212529"/>
        <rFont val="Quattrocento Sans"/>
      </rPr>
      <t>29. Какое зачарование позволяет дышать под водой? </t>
    </r>
    <r>
      <rPr>
        <b/>
        <sz val="12"/>
        <color rgb="FF212529"/>
        <rFont val="Segoe UI"/>
      </rPr>
      <t>а) Подводное дыхание</t>
    </r>
    <r>
      <rPr>
        <sz val="12"/>
        <color rgb="FF212529"/>
        <rFont val="Segoe UI"/>
      </rPr>
      <t> б) Невесомость в) Регенерация г) Отдача</t>
    </r>
  </si>
  <si>
    <r>
      <rPr>
        <sz val="12"/>
        <color rgb="FF212529"/>
        <rFont val="Quattrocento Sans"/>
      </rPr>
      <t>30. Какой ингредиент используется для приготовления зелья невидимости? </t>
    </r>
    <r>
      <rPr>
        <b/>
        <sz val="12"/>
        <color rgb="FF212529"/>
        <rFont val="Segoe UI"/>
      </rPr>
      <t>а) Золотая морковь</t>
    </r>
    <r>
      <rPr>
        <sz val="12"/>
        <color rgb="FF212529"/>
        <rFont val="Segoe UI"/>
      </rPr>
      <t> б) Слеза гаста в) Адский нарост г) Красная пыль</t>
    </r>
  </si>
  <si>
    <r>
      <rPr>
        <sz val="12"/>
        <color rgb="FF212529"/>
        <rFont val="Quattrocento Sans"/>
      </rPr>
      <t>31. Какой блок передает редстоун сигнал? </t>
    </r>
    <r>
      <rPr>
        <b/>
        <sz val="12"/>
        <color rgb="FF212529"/>
        <rFont val="Segoe UI"/>
      </rPr>
      <t>а) Рычаг</t>
    </r>
    <r>
      <rPr>
        <sz val="12"/>
        <color rgb="FF212529"/>
        <rFont val="Segoe UI"/>
      </rPr>
      <t> б) Сундук в) Верстак г) Печь</t>
    </r>
  </si>
  <si>
    <r>
      <rPr>
        <sz val="12"/>
        <color rgb="FF212529"/>
        <rFont val="Quattrocento Sans"/>
      </rPr>
      <t>32. Какой блок используется для создания сложных механизмов? </t>
    </r>
    <r>
      <rPr>
        <b/>
        <sz val="12"/>
        <color rgb="FF212529"/>
        <rFont val="Segoe UI"/>
      </rPr>
      <t>а) Поршень</t>
    </r>
    <r>
      <rPr>
        <sz val="12"/>
        <color rgb="FF212529"/>
        <rFont val="Segoe UI"/>
      </rPr>
      <t> б) Дерево в) Камень г) Стекло</t>
    </r>
  </si>
  <si>
    <r>
      <rPr>
        <sz val="12"/>
        <color rgb="FF212529"/>
        <rFont val="Quattrocento Sans"/>
      </rPr>
      <t>35. Какой блок может передавать редстоун сигнал без проводов? </t>
    </r>
    <r>
      <rPr>
        <b/>
        <sz val="12"/>
        <color rgb="FF212529"/>
        <rFont val="Segoe UI"/>
      </rPr>
      <t>а) Наблюдатель</t>
    </r>
    <r>
      <rPr>
        <sz val="12"/>
        <color rgb="FF212529"/>
        <rFont val="Segoe UI"/>
      </rPr>
      <t> б) Компаратор в) Повторитель г) Поршень</t>
    </r>
  </si>
  <si>
    <r>
      <rPr>
        <sz val="12"/>
        <color rgb="FF212529"/>
        <rFont val="Quattrocento Sans"/>
      </rPr>
      <t>36. Какой предмет нужно использовать для создания брони? </t>
    </r>
    <r>
      <rPr>
        <b/>
        <sz val="12"/>
        <color rgb="FF212529"/>
        <rFont val="Segoe UI"/>
      </rPr>
      <t>а) Кожа</t>
    </r>
    <r>
      <rPr>
        <sz val="12"/>
        <color rgb="FF212529"/>
        <rFont val="Segoe UI"/>
      </rPr>
      <t> б) Земля в) Камень г) Песок</t>
    </r>
  </si>
  <si>
    <r>
      <rPr>
        <sz val="12"/>
        <color rgb="FF212529"/>
        <rFont val="Quattrocento Sans"/>
      </rPr>
      <t>37. Какой предмет позволяет быстро перемещаться по рельсам? </t>
    </r>
    <r>
      <rPr>
        <b/>
        <sz val="12"/>
        <color rgb="FF212529"/>
        <rFont val="Segoe UI"/>
      </rPr>
      <t>а) Вагонетка</t>
    </r>
    <r>
      <rPr>
        <sz val="12"/>
        <color rgb="FF212529"/>
        <rFont val="Segoe UI"/>
      </rPr>
      <t> б) Лодка в) Весло г) Лопата</t>
    </r>
  </si>
  <si>
    <r>
      <rPr>
        <sz val="12"/>
        <color rgb="FF212529"/>
        <rFont val="Quattrocento Sans"/>
      </rPr>
      <t>38. Какой блок нужен для создания зелья? </t>
    </r>
    <r>
      <rPr>
        <b/>
        <sz val="12"/>
        <color rgb="FF212529"/>
        <rFont val="Segoe UI"/>
      </rPr>
      <t>а) Варочная стойка</t>
    </r>
    <r>
      <rPr>
        <sz val="12"/>
        <color rgb="FF212529"/>
        <rFont val="Segoe UI"/>
      </rPr>
      <t> б) Верстак в) Печь г) Сундук</t>
    </r>
  </si>
  <si>
    <r>
      <rPr>
        <sz val="12"/>
        <color rgb="FF212529"/>
        <rFont val="Quattrocento Sans"/>
      </rPr>
      <t>39. Какой блок нужен для хранения предметов? </t>
    </r>
    <r>
      <rPr>
        <b/>
        <sz val="12"/>
        <color rgb="FF212529"/>
        <rFont val="Segoe UI"/>
      </rPr>
      <t>а) Сундук</t>
    </r>
    <r>
      <rPr>
        <sz val="12"/>
        <color rgb="FF212529"/>
        <rFont val="Segoe UI"/>
      </rPr>
      <t> б) Верстак в) Печь г) Камень</t>
    </r>
  </si>
  <si>
    <r>
      <rPr>
        <sz val="12"/>
        <color rgb="FF212529"/>
        <rFont val="Quattrocento Sans"/>
      </rPr>
      <t>40. Какой предмет используется для зачарования? </t>
    </r>
    <r>
      <rPr>
        <b/>
        <sz val="12"/>
        <color rgb="FF212529"/>
        <rFont val="Segoe UI"/>
      </rPr>
      <t>а) Зачаровальный стол</t>
    </r>
    <r>
      <rPr>
        <sz val="12"/>
        <color rgb="FF212529"/>
        <rFont val="Segoe UI"/>
      </rPr>
      <t> б) Печь в) Верстак г) Сундук</t>
    </r>
  </si>
  <si>
    <r>
      <rPr>
        <sz val="12"/>
        <color rgb="FF212529"/>
        <rFont val="Quattrocento Sans"/>
      </rPr>
      <t>41. Какое достижение дается за вход в Нижний мир? </t>
    </r>
    <r>
      <rPr>
        <b/>
        <sz val="12"/>
        <color rgb="FF212529"/>
        <rFont val="Segoe UI"/>
      </rPr>
      <t>а) “Огненные недра”</t>
    </r>
    <r>
      <rPr>
        <sz val="12"/>
        <color rgb="FF212529"/>
        <rFont val="Segoe UI"/>
      </rPr>
      <t> б) “На дно” в) “Свободное падение” г) “Начать гонку”</t>
    </r>
  </si>
  <si>
    <r>
      <rPr>
        <sz val="12"/>
        <color rgb="FF212529"/>
        <rFont val="Quattrocento Sans"/>
      </rPr>
      <t>42. Какое достижение дается за попадание в Край? </t>
    </r>
    <r>
      <rPr>
        <b/>
        <sz val="12"/>
        <color rgb="FF212529"/>
        <rFont val="Segoe UI"/>
      </rPr>
      <t>а) “Конец?”</t>
    </r>
    <r>
      <rPr>
        <sz val="12"/>
        <color rgb="FF212529"/>
        <rFont val="Segoe UI"/>
      </rPr>
      <t> б) “Выйти за рамки” в) “Начать гонку” г) “Дикий”</t>
    </r>
  </si>
  <si>
    <r>
      <rPr>
        <sz val="12"/>
        <color rgb="FF212529"/>
        <rFont val="Quattrocento Sans"/>
      </rPr>
      <t>43. Какое достижение дается за создание алмазной брони? </t>
    </r>
    <r>
      <rPr>
        <b/>
        <sz val="12"/>
        <color rgb="FF212529"/>
        <rFont val="Segoe UI"/>
      </rPr>
      <t>а) “Осыпь меня алмазами”</t>
    </r>
    <r>
      <rPr>
        <sz val="12"/>
        <color rgb="FF212529"/>
        <rFont val="Segoe UI"/>
      </rPr>
      <t> б) “Отправиться на войну” в) “Мы богачи” г) “Железный человек”</t>
    </r>
  </si>
  <si>
    <r>
      <rPr>
        <sz val="12"/>
        <color rgb="FF212529"/>
        <rFont val="Quattrocento Sans"/>
      </rPr>
      <t>51. Как называется моб, который охраняет сокровищницу в лесном особняке? </t>
    </r>
    <r>
      <rPr>
        <b/>
        <sz val="12"/>
        <color rgb="FF212529"/>
        <rFont val="Segoe UI"/>
      </rPr>
      <t>а) Разоритель</t>
    </r>
    <r>
      <rPr>
        <sz val="12"/>
        <color rgb="FF212529"/>
        <rFont val="Segoe UI"/>
      </rPr>
      <t> б) Страж в) Эндермен г) Гаст</t>
    </r>
  </si>
  <si>
    <r>
      <rPr>
        <sz val="12"/>
        <color rgb="FF212529"/>
        <rFont val="Quattrocento Sans"/>
      </rPr>
      <t>52. Какой предмет нужен для призыва Иссушителя? </t>
    </r>
    <r>
      <rPr>
        <b/>
        <sz val="12"/>
        <color rgb="FF212529"/>
        <rFont val="Segoe UI"/>
      </rPr>
      <t>а) Песок душ</t>
    </r>
    <r>
      <rPr>
        <sz val="12"/>
        <color rgb="FF212529"/>
        <rFont val="Segoe UI"/>
      </rPr>
      <t> б) Алмазный блок в) Железный слиток г) Золотой слиток</t>
    </r>
  </si>
  <si>
    <r>
      <rPr>
        <sz val="12"/>
        <color rgb="FF212529"/>
        <rFont val="Quattrocento Sans"/>
      </rPr>
      <t>53. Какой моб может телепортироваться и красть блоки? </t>
    </r>
    <r>
      <rPr>
        <b/>
        <sz val="12"/>
        <color rgb="FF212529"/>
        <rFont val="Segoe UI"/>
      </rPr>
      <t>а) Эндермен</t>
    </r>
    <r>
      <rPr>
        <sz val="12"/>
        <color rgb="FF212529"/>
        <rFont val="Segoe UI"/>
      </rPr>
      <t> б) Зомби в) Крипер г) Скелет</t>
    </r>
  </si>
  <si>
    <r>
      <rPr>
        <sz val="12"/>
        <color rgb="FF212529"/>
        <rFont val="Quattrocento Sans"/>
      </rPr>
      <t>54. Какой моб является боссом океанического монумента? </t>
    </r>
    <r>
      <rPr>
        <b/>
        <sz val="12"/>
        <color rgb="FF212529"/>
        <rFont val="Segoe UI"/>
      </rPr>
      <t>а) Древний страж</t>
    </r>
    <r>
      <rPr>
        <sz val="12"/>
        <color rgb="FF212529"/>
        <rFont val="Segoe UI"/>
      </rPr>
      <t> б) Страж в) Утопленник г) Гаст</t>
    </r>
  </si>
  <si>
    <r>
      <rPr>
        <sz val="12"/>
        <color rgb="FF212529"/>
        <rFont val="Quattrocento Sans"/>
      </rPr>
      <t>55. Какой моб является враждебной версией жителя деревни? </t>
    </r>
    <r>
      <rPr>
        <b/>
        <sz val="12"/>
        <color rgb="FF212529"/>
        <rFont val="Segoe UI"/>
      </rPr>
      <t>а) Разбойник</t>
    </r>
    <r>
      <rPr>
        <sz val="12"/>
        <color rgb="FF212529"/>
        <rFont val="Segoe UI"/>
      </rPr>
      <t> б) Зомби в) Скелет г) Крипер</t>
    </r>
  </si>
  <si>
    <r>
      <rPr>
        <sz val="12"/>
        <color rgb="FF212529"/>
        <rFont val="Quattrocento Sans"/>
      </rPr>
      <t>56. Какой инструмент используется для копания земли и песка? </t>
    </r>
    <r>
      <rPr>
        <b/>
        <sz val="12"/>
        <color rgb="FF212529"/>
        <rFont val="Segoe UI"/>
      </rPr>
      <t>а) Лопата</t>
    </r>
    <r>
      <rPr>
        <sz val="12"/>
        <color rgb="FF212529"/>
        <rFont val="Segoe UI"/>
      </rPr>
      <t> б) Кирка в) Топор г) Мотыга</t>
    </r>
  </si>
  <si>
    <r>
      <rPr>
        <sz val="12"/>
        <color rgb="FF212529"/>
        <rFont val="Quattrocento Sans"/>
      </rPr>
      <t>57. Какой инструмент используется для рубки дерева? </t>
    </r>
    <r>
      <rPr>
        <b/>
        <sz val="12"/>
        <color rgb="FF212529"/>
        <rFont val="Segoe UI"/>
      </rPr>
      <t>а) Топор</t>
    </r>
    <r>
      <rPr>
        <sz val="12"/>
        <color rgb="FF212529"/>
        <rFont val="Segoe UI"/>
      </rPr>
      <t> б) Кирка в) Лопата г) Мотыга</t>
    </r>
  </si>
  <si>
    <r>
      <rPr>
        <sz val="12"/>
        <color rgb="FF212529"/>
        <rFont val="Quattrocento Sans"/>
      </rPr>
      <t>58. Какой предмет используется для создания стрел? </t>
    </r>
    <r>
      <rPr>
        <b/>
        <sz val="12"/>
        <color rgb="FF212529"/>
        <rFont val="Segoe UI"/>
      </rPr>
      <t>а) Кремний</t>
    </r>
    <r>
      <rPr>
        <sz val="12"/>
        <color rgb="FF212529"/>
        <rFont val="Segoe UI"/>
      </rPr>
      <t> б) Уголь в) Железо г) Золото</t>
    </r>
  </si>
  <si>
    <r>
      <rPr>
        <sz val="12"/>
        <color rgb="FF212529"/>
        <rFont val="Quattrocento Sans"/>
      </rPr>
      <t>60. Какой предмет используется для стрельбы стрелами? </t>
    </r>
    <r>
      <rPr>
        <b/>
        <sz val="12"/>
        <color rgb="FF212529"/>
        <rFont val="Segoe UI"/>
      </rPr>
      <t>а) Лук</t>
    </r>
    <r>
      <rPr>
        <sz val="12"/>
        <color rgb="FF212529"/>
        <rFont val="Segoe UI"/>
      </rPr>
      <t> б) Меч в) Топор г) Мотыга</t>
    </r>
  </si>
  <si>
    <r>
      <rPr>
        <sz val="12"/>
        <color rgb="FF212529"/>
        <rFont val="Quattrocento Sans"/>
      </rPr>
      <t>62. Какой блок можно использовать для создания света? </t>
    </r>
    <r>
      <rPr>
        <b/>
        <sz val="12"/>
        <color rgb="FF212529"/>
        <rFont val="Segoe UI"/>
      </rPr>
      <t>а) Факел</t>
    </r>
    <r>
      <rPr>
        <sz val="12"/>
        <color rgb="FF212529"/>
        <rFont val="Segoe UI"/>
      </rPr>
      <t> б) Земля в) Камень г) Песок</t>
    </r>
  </si>
  <si>
    <r>
      <rPr>
        <sz val="12"/>
        <color rgb="FF212529"/>
        <rFont val="Quattrocento Sans"/>
      </rPr>
      <t>63. Какой блок используется для плавки руды? </t>
    </r>
    <r>
      <rPr>
        <b/>
        <sz val="12"/>
        <color rgb="FF212529"/>
        <rFont val="Segoe UI"/>
      </rPr>
      <t>а) Печь</t>
    </r>
    <r>
      <rPr>
        <sz val="12"/>
        <color rgb="FF212529"/>
        <rFont val="Segoe UI"/>
      </rPr>
      <t> б) Верстак в) Сундук г) Камень</t>
    </r>
  </si>
  <si>
    <r>
      <rPr>
        <sz val="12"/>
        <color rgb="FF212529"/>
        <rFont val="Quattrocento Sans"/>
      </rPr>
      <t>65. Какой блок используется для создания водяных лифтов? </t>
    </r>
    <r>
      <rPr>
        <b/>
        <sz val="12"/>
        <color rgb="FF212529"/>
        <rFont val="Segoe UI"/>
      </rPr>
      <t>а) Песок душ</t>
    </r>
    <r>
      <rPr>
        <sz val="12"/>
        <color rgb="FF212529"/>
        <rFont val="Segoe UI"/>
      </rPr>
      <t> б) Факел в) Камень г) Земля</t>
    </r>
  </si>
  <si>
    <r>
      <rPr>
        <sz val="12"/>
        <color rgb="FF212529"/>
        <rFont val="Quattrocento Sans"/>
      </rPr>
      <t>71. Как называется мир, который является “адом” в Minecraft? </t>
    </r>
    <r>
      <rPr>
        <b/>
        <sz val="12"/>
        <color rgb="FF212529"/>
        <rFont val="Segoe UI"/>
      </rPr>
      <t>а) Нижний мир</t>
    </r>
    <r>
      <rPr>
        <sz val="12"/>
        <color rgb="FF212529"/>
        <rFont val="Segoe UI"/>
      </rPr>
      <t> б) Край в) Верхний мир г) Измерение грибов</t>
    </r>
  </si>
  <si>
    <r>
      <rPr>
        <sz val="12"/>
        <color rgb="FF212529"/>
        <rFont val="Quattrocento Sans"/>
      </rPr>
      <t>74. Что является основной валютой для торговли с жителями деревни? </t>
    </r>
    <r>
      <rPr>
        <b/>
        <sz val="12"/>
        <color rgb="FF212529"/>
        <rFont val="Segoe UI"/>
      </rPr>
      <t>а) Изумруды</t>
    </r>
    <r>
      <rPr>
        <sz val="12"/>
        <color rgb="FF212529"/>
        <rFont val="Segoe UI"/>
      </rPr>
      <t> б) Золото в) Железо г) Алмазы</t>
    </r>
  </si>
  <si>
    <r>
      <rPr>
        <sz val="12"/>
        <color rgb="FF212529"/>
        <rFont val="Quattrocento Sans"/>
      </rPr>
      <t>76. Какое животное можно вырастить из яйца? </t>
    </r>
    <r>
      <rPr>
        <b/>
        <sz val="12"/>
        <color rgb="FF212529"/>
        <rFont val="Segoe UI"/>
      </rPr>
      <t>а) Курица</t>
    </r>
    <r>
      <rPr>
        <sz val="12"/>
        <color rgb="FF212529"/>
        <rFont val="Segoe UI"/>
      </rPr>
      <t> б) Овца в) Свинья г) Корова</t>
    </r>
  </si>
  <si>
    <r>
      <rPr>
        <sz val="12"/>
        <color rgb="FF212529"/>
        <rFont val="Quattrocento Sans"/>
      </rPr>
      <t>77. Какой предмет используется для создания лодки? </t>
    </r>
    <r>
      <rPr>
        <b/>
        <sz val="12"/>
        <color rgb="FF212529"/>
        <rFont val="Segoe UI"/>
      </rPr>
      <t>а) Дерево</t>
    </r>
    <r>
      <rPr>
        <sz val="12"/>
        <color rgb="FF212529"/>
        <rFont val="Segoe UI"/>
      </rPr>
      <t> б) Железо в) Алмазы г) Обсидиан</t>
    </r>
  </si>
  <si>
    <r>
      <rPr>
        <sz val="12"/>
        <color rgb="FF212529"/>
        <rFont val="Quattrocento Sans"/>
      </rPr>
      <t>79. Какой блок можно использовать для создания портала в Нижний мир? </t>
    </r>
    <r>
      <rPr>
        <b/>
        <sz val="12"/>
        <color rgb="FF212529"/>
        <rFont val="Segoe UI"/>
      </rPr>
      <t>а) Обсидиан</t>
    </r>
    <r>
      <rPr>
        <sz val="12"/>
        <color rgb="FF212529"/>
        <rFont val="Segoe UI"/>
      </rPr>
      <t> б) Железо в) Золото г) Алмаз</t>
    </r>
  </si>
  <si>
    <r>
      <rPr>
        <sz val="12"/>
        <color rgb="FF212529"/>
        <rFont val="Quattrocento Sans"/>
      </rPr>
      <t>82. Как называется режим игры, в котором у игрока есть только одна жизнь? </t>
    </r>
    <r>
      <rPr>
        <b/>
        <sz val="12"/>
        <color rgb="FF212529"/>
        <rFont val="Segoe UI"/>
      </rPr>
      <t>а) Хардкор</t>
    </r>
    <r>
      <rPr>
        <sz val="12"/>
        <color rgb="FF212529"/>
        <rFont val="Segoe UI"/>
      </rPr>
      <t> б) Выживание в) Приключение г) Креатив</t>
    </r>
  </si>
  <si>
    <r>
      <rPr>
        <sz val="12"/>
        <color rgb="FF212529"/>
        <rFont val="Quattrocento Sans"/>
      </rPr>
      <t>83. Как называется режим игры, в котором нужно добывать ресурсы и выживать? </t>
    </r>
    <r>
      <rPr>
        <b/>
        <sz val="12"/>
        <color rgb="FF212529"/>
        <rFont val="Segoe UI"/>
      </rPr>
      <t>а) Выживание</t>
    </r>
    <r>
      <rPr>
        <sz val="12"/>
        <color rgb="FF212529"/>
        <rFont val="Segoe UI"/>
      </rPr>
      <t> б) Хардкор в) Креатив г) Приключение</t>
    </r>
  </si>
  <si>
    <r>
      <rPr>
        <sz val="12"/>
        <color rgb="FF212529"/>
        <rFont val="Quattrocento Sans"/>
      </rPr>
      <t>84. Как называется режим игры, в котором нельзя ломать блоки? </t>
    </r>
    <r>
      <rPr>
        <b/>
        <sz val="12"/>
        <color rgb="FF212529"/>
        <rFont val="Segoe UI"/>
      </rPr>
      <t>а) Приключение</t>
    </r>
    <r>
      <rPr>
        <sz val="12"/>
        <color rgb="FF212529"/>
        <rFont val="Segoe UI"/>
      </rPr>
      <t> б) Хардкор в) Выживание г) Креатив</t>
    </r>
  </si>
  <si>
    <r>
      <rPr>
        <sz val="12"/>
        <color rgb="FF212529"/>
        <rFont val="Quattrocento Sans"/>
      </rPr>
      <t>86. В каком обновлении были добавлены лисы? </t>
    </r>
    <r>
      <rPr>
        <b/>
        <sz val="12"/>
        <color rgb="FF212529"/>
        <rFont val="Segoe UI"/>
      </rPr>
      <t>а) 1.14</t>
    </r>
    <r>
      <rPr>
        <sz val="12"/>
        <color rgb="FF212529"/>
        <rFont val="Segoe UI"/>
      </rPr>
      <t> б) 1.16 в) 1.17 г) 1.18</t>
    </r>
  </si>
  <si>
    <r>
      <rPr>
        <sz val="12"/>
        <color rgb="FF212529"/>
        <rFont val="Quattrocento Sans"/>
      </rPr>
      <t>87. В каком обновлении были добавлены незеритовые предметы? </t>
    </r>
    <r>
      <rPr>
        <b/>
        <sz val="12"/>
        <color rgb="FF212529"/>
        <rFont val="Segoe UI"/>
      </rPr>
      <t>а) 1.16</t>
    </r>
    <r>
      <rPr>
        <sz val="12"/>
        <color rgb="FF212529"/>
        <rFont val="Segoe UI"/>
      </rPr>
      <t> б) 1.14 в) 1.17 г) 1.18</t>
    </r>
  </si>
  <si>
    <r>
      <rPr>
        <sz val="12"/>
        <color rgb="FF212529"/>
        <rFont val="Quattrocento Sans"/>
      </rPr>
      <t>88. В каком обновлении был добавлен Варден? </t>
    </r>
    <r>
      <rPr>
        <b/>
        <sz val="12"/>
        <color rgb="FF212529"/>
        <rFont val="Segoe UI"/>
      </rPr>
      <t>а) 1.19</t>
    </r>
    <r>
      <rPr>
        <sz val="12"/>
        <color rgb="FF212529"/>
        <rFont val="Segoe UI"/>
      </rPr>
      <t> б) 1.17 в) 1.16 г) 1.15</t>
    </r>
  </si>
  <si>
    <r>
      <rPr>
        <sz val="12"/>
        <color rgb="FF212529"/>
        <rFont val="Quattrocento Sans"/>
      </rPr>
      <t>89. В каком обновлении были добавлены аксолотли? </t>
    </r>
    <r>
      <rPr>
        <b/>
        <sz val="12"/>
        <color rgb="FF212529"/>
        <rFont val="Segoe UI"/>
      </rPr>
      <t>а) 1.17</t>
    </r>
    <r>
      <rPr>
        <sz val="12"/>
        <color rgb="FF212529"/>
        <rFont val="Segoe UI"/>
      </rPr>
      <t> б) 1.19 в) 1.16 г) 1.15</t>
    </r>
  </si>
  <si>
    <r>
      <rPr>
        <sz val="12"/>
        <color rgb="FF212529"/>
        <rFont val="Quattrocento Sans"/>
      </rPr>
      <t>90. В каком обновлении были добавлены пещеры и скалы? </t>
    </r>
    <r>
      <rPr>
        <b/>
        <sz val="12"/>
        <color rgb="FF212529"/>
        <rFont val="Segoe UI"/>
      </rPr>
      <t>а) 1.18</t>
    </r>
    <r>
      <rPr>
        <sz val="12"/>
        <color rgb="FF212529"/>
        <rFont val="Segoe UI"/>
      </rPr>
      <t> б) 1.17 в) 1.19 г) 1.16</t>
    </r>
  </si>
  <si>
    <r>
      <rPr>
        <sz val="12"/>
        <color rgb="FF212529"/>
        <rFont val="Quattrocento Sans"/>
      </rPr>
      <t>91. Какая механика используется для создания сложных механизмов? </t>
    </r>
    <r>
      <rPr>
        <b/>
        <sz val="12"/>
        <color rgb="FF212529"/>
        <rFont val="Segoe UI"/>
      </rPr>
      <t>а) Редстоун</t>
    </r>
    <r>
      <rPr>
        <sz val="12"/>
        <color rgb="FF212529"/>
        <rFont val="Segoe UI"/>
      </rPr>
      <t> б) Камень в) Дерево г) Песок</t>
    </r>
  </si>
  <si>
    <r>
      <rPr>
        <sz val="12"/>
        <color rgb="FF212529"/>
        <rFont val="Quattrocento Sans"/>
      </rPr>
      <t>92. Как называется эффект от использования тотема бессмертия? </t>
    </r>
    <r>
      <rPr>
        <b/>
        <sz val="12"/>
        <color rgb="FF212529"/>
        <rFont val="Segoe UI"/>
      </rPr>
      <t>а) Поглощение урона</t>
    </r>
    <r>
      <rPr>
        <sz val="12"/>
        <color rgb="FF212529"/>
        <rFont val="Segoe UI"/>
      </rPr>
      <t> б) Скорость в) Ночное зрение г) Сила</t>
    </r>
  </si>
  <si>
    <r>
      <rPr>
        <sz val="12"/>
        <color rgb="FF212529"/>
        <rFont val="Quattrocento Sans"/>
      </rPr>
      <t>93. Как называется еда для приручения лошадей? </t>
    </r>
    <r>
      <rPr>
        <b/>
        <sz val="12"/>
        <color rgb="FF212529"/>
        <rFont val="Segoe UI"/>
      </rPr>
      <t>а) Золотое яблоко</t>
    </r>
    <r>
      <rPr>
        <sz val="12"/>
        <color rgb="FF212529"/>
        <rFont val="Segoe UI"/>
      </rPr>
      <t> б) Пшеница в) Морковь г) Сахар</t>
    </r>
  </si>
  <si>
    <r>
      <rPr>
        <sz val="12"/>
        <color rgb="FF212529"/>
        <rFont val="Quattrocento Sans"/>
      </rPr>
      <t>94. Какой инструмент используется для сбора меда? </t>
    </r>
    <r>
      <rPr>
        <b/>
        <sz val="12"/>
        <color rgb="FF212529"/>
        <rFont val="Segoe UI"/>
      </rPr>
      <t>а) Стеклянная бутылка</t>
    </r>
    <r>
      <rPr>
        <sz val="12"/>
        <color rgb="FF212529"/>
        <rFont val="Segoe UI"/>
      </rPr>
      <t> б) Топор в) Кирка г) Лопата</t>
    </r>
  </si>
  <si>
    <r>
      <rPr>
        <sz val="12"/>
        <color rgb="FF212529"/>
        <rFont val="Quattrocento Sans"/>
      </rPr>
      <t>95. Какой блок позволяет игроку спать ночью? </t>
    </r>
    <r>
      <rPr>
        <b/>
        <sz val="12"/>
        <color rgb="FF212529"/>
        <rFont val="Segoe UI"/>
      </rPr>
      <t>а) Кровать</t>
    </r>
    <r>
      <rPr>
        <sz val="12"/>
        <color rgb="FF212529"/>
        <rFont val="Segoe UI"/>
      </rPr>
      <t> б) Верстак в) Сундук г) Печь</t>
    </r>
  </si>
  <si>
    <r>
      <rPr>
        <sz val="12"/>
        <color rgb="FF212529"/>
        <rFont val="Quattrocento Sans"/>
      </rPr>
      <t>96. Какой моб в Minecraft не имеет ног? </t>
    </r>
    <r>
      <rPr>
        <b/>
        <sz val="12"/>
        <color rgb="FF212529"/>
        <rFont val="Segoe UI"/>
      </rPr>
      <t>а) Слизень</t>
    </r>
    <r>
      <rPr>
        <sz val="12"/>
        <color rgb="FF212529"/>
        <rFont val="Segoe UI"/>
      </rPr>
      <t> б) Зомби в) Скелет г) Крипер</t>
    </r>
  </si>
  <si>
    <r>
      <rPr>
        <sz val="12"/>
        <color rgb="FF212529"/>
        <rFont val="Quattrocento Sans"/>
      </rPr>
      <t>97. Какой блок используется для создания красителей? </t>
    </r>
    <r>
      <rPr>
        <b/>
        <sz val="12"/>
        <color rgb="FF212529"/>
        <rFont val="Segoe UI"/>
      </rPr>
      <t>а) Цветы</t>
    </r>
    <r>
      <rPr>
        <sz val="12"/>
        <color rgb="FF212529"/>
        <rFont val="Segoe UI"/>
      </rPr>
      <t> б) Камни в) Дерево г) Земля</t>
    </r>
  </si>
  <si>
    <r>
      <rPr>
        <sz val="12"/>
        <color rgb="FF212529"/>
        <rFont val="Quattrocento Sans"/>
      </rPr>
      <t>99. Какой предмет используется для создания фейерверков? </t>
    </r>
    <r>
      <rPr>
        <b/>
        <sz val="12"/>
        <color rgb="FF212529"/>
        <rFont val="Segoe UI"/>
      </rPr>
      <t>а) Порох</t>
    </r>
    <r>
      <rPr>
        <sz val="12"/>
        <color rgb="FF212529"/>
        <rFont val="Segoe UI"/>
      </rPr>
      <t> б) Алмазы в) Железо г) Золото</t>
    </r>
  </si>
  <si>
    <r>
      <rPr>
        <sz val="12"/>
        <color rgb="FF212529"/>
        <rFont val="Quattrocento Sans"/>
      </rPr>
      <t>100. Как называется предмет, позволяющий убирать зачарования с предметов? </t>
    </r>
    <r>
      <rPr>
        <b/>
        <sz val="12"/>
        <color rgb="FF212529"/>
        <rFont val="Segoe UI"/>
      </rPr>
      <t>а) Жернов</t>
    </r>
    <r>
      <rPr>
        <sz val="12"/>
        <color rgb="FF212529"/>
        <rFont val="Segoe UI"/>
      </rPr>
      <t> б) Верстак в) Печь г) Сундук</t>
    </r>
  </si>
  <si>
    <t>Какой моб является символом Minecraft? а) Крипер б) Скелет в) Зомби г) Эндермен</t>
  </si>
  <si>
    <t>Что необходимо для создания портала в Нижний мир? а) Обсидиан б) Лава в) Вода г) Алмазы</t>
  </si>
  <si>
    <t>Какой ресурс позволяет создавать прочнейшую броню? а) Незерит б) Алмаз в) Железо г) Золото</t>
  </si>
  <si>
    <t>Какой моб является боссом в измерении “Край”? а) Эндер-дракон б) Иссушитель в) Страж г) Гаст</t>
  </si>
  <si>
    <t>Какой эффект даёт золотое яблоко? а) Регенерация б) Скорость в) Сила г) Невидимость</t>
  </si>
  <si>
    <t>Какой блок используется для приготовления зелий? а) Варочная стойка б) Печь в) Верстак г) Компостер</t>
  </si>
  <si>
    <t>Какой моб спаунится только в темноте? а) Зомби б) Овца в) Курица г) Свинья</t>
  </si>
  <si>
    <t>Какой биом состоит в основном из песка? а) Пустыня б) Саванна в) Тайга г) Джунгли</t>
  </si>
  <si>
    <t>Что необходимо для создания хлеба? а) Пшеница б) Яблоки в) Морковь г) Картофель</t>
  </si>
  <si>
    <t>Какой моб дает молоко? а) Корова б) Свинья в) Овца г) Курица</t>
  </si>
  <si>
    <t>С помощью чего можно приручить лошадь? а) Яблоко б) Семена в) Кость г) Рыба</t>
  </si>
  <si>
    <t>Какой блок является источником света, который можно разместить на стене? а) Факел б) Лампа в) Фонарь г) Светокамень</t>
  </si>
  <si>
    <t>Какой предмет позволяет быстро передвигаться под водой? а) Трезубец б) Лодка в) Ведро г) Удочка</t>
  </si>
  <si>
    <t>Какой моб появляется из яйца, брошенного игроком? а) Курица б) Свинья в) Овца г) Корова</t>
  </si>
  <si>
    <t>Что позволяет быстро добывать листву? а) Ножницы б) Топор в) Кирка г) Лопата</t>
  </si>
  <si>
    <t>С помощью чего можно приручить волка? а) Кость б) Мясо в) Рыба г) Семена</t>
  </si>
  <si>
    <t>Какой блок используется для передачи сигнала редстоуна на расстояние? а) Повторитель б) Компаратор в) Поршень г) Наблюдатель</t>
  </si>
  <si>
    <t>Какой моб обладает способностью взбираться по стенам? а) Паук б) Зомби в) Скелет г) Крипер</t>
  </si>
  <si>
    <t>Какой моб появляется в аду и стреляет огненными шарами? а) Гаст б) Зомби-свиночеловек в) Скелет г) Лавовый куб</t>
  </si>
  <si>
    <t>Что является основным ресурсом для создания строительных лесов? а) Бамбук б) Дерево в) Камень г) Железо</t>
  </si>
  <si>
    <t>С помощью чего можно быстро вспахивать землю? а) Мотыга б) Лопата в) Кирка г) Топор</t>
  </si>
  <si>
    <t>Какой моб нападает на жителей деревень? а) Зомби б) Скелет в) Крипер г) Паук</t>
  </si>
  <si>
    <t>С помощью чего можно собирать мед из улья? а) Стеклянная бутылка б) Ведро в) Лопата г) Топор</t>
  </si>
  <si>
    <t>Какой предмет необходим для создания зелья невидимости? а) Золотая морковь б) Слеза гаста в) Алмаз г) Лава</t>
  </si>
  <si>
    <t>Что используется для создания музыкальных блоков? а) Дерево б) Камень в) Железо г) Алмаз</t>
  </si>
  <si>
    <t>Какой моб плавает в воде и может атаковать игрока? а) Утопленник б) Скелет в) Зомби г) Крипер</t>
  </si>
  <si>
    <t>Для чего нужно кострище? а) Для приготовления пищи б) Для украшения в) Для отпугивания мобов г) Для освещения территории</t>
  </si>
  <si>
    <t>С помощью чего можно быстро срубить огромное дерево? а) Топор б) Кирка в) Мотыга г) Лопата</t>
  </si>
  <si>
    <t>Что нужно для создания стола картографа? а) Бумага б) Камень в) Листья г) Редстоун</t>
  </si>
  <si>
    <t>Для чего нужен компас? а) Что бы не заблудиться б) Для ориентирования во времени в) Для поиска сокровищ г) Для полёта</t>
  </si>
  <si>
    <t>Что нужно для создания динамита? а) Порох б) Уголь в) Редстоун г) Железо</t>
  </si>
  <si>
    <t>Какой предмет можно использовать для телепортации? а) Жемчуг Края б) Камень Края в) Обсидиан г) Камень</t>
  </si>
  <si>
    <t>Как называется блок, который может липнуть к другим блокам? а) Липкий поршень б) Обычный поршень в) Слизь г) Мед</t>
  </si>
  <si>
    <t>Какую еду любят панды? а) Бамбук б) Яблоки в) Торт г) Семена</t>
  </si>
  <si>
    <t>Какой инструмент позволяет быстро копать песок и гравий? а) Лопата б) Кирка в) Топор г) Мотыга</t>
  </si>
  <si>
    <t>Какой моб превращается в ведьму от удара молнии? а) Житель б) Зомби в) Скелет г) Крипер</t>
  </si>
  <si>
    <t>Какой ресурс используется для создания стекла? а) Песок б) Камень в) Земля г) Гравий</t>
  </si>
  <si>
    <t>Какой блок используется для создания костра? а) Уголь б) Железо в) Золото г) Алмазы</t>
  </si>
  <si>
    <t>Где можно найти элитры? а) В корабле Края б) В сокровищнице в) В шахте г) В пещере</t>
  </si>
  <si>
    <t>Что используется для создания динамита? а) Порох б) Уголь в) Редстоун г) Железо</t>
  </si>
  <si>
    <t>Какой ресурс используется для создания фейерверков? а) Порох б) Уголь в) Редстоун г) Железо</t>
  </si>
  <si>
    <t>Какое животное можно найти в снежном биоме? а) Белый медведь б) Корова в) Овца г) Свинья</t>
  </si>
  <si>
    <t>Какой инструмент используется для создания карты? а) Компас б) Кирка в) Топор г) Лопата</t>
  </si>
  <si>
    <t>Какой блок позволяет получить случайный предмет? а) Раздатчик б) Сундук в) Верстак г) Печь</t>
  </si>
  <si>
    <t>Какой моб используется для передвижения в аду? а) Страйдер б) Зомби в) Крипер г) Скелет</t>
  </si>
  <si>
    <t>Что нужно для создания костра? а) Дерево б) Камень в) Железо г) Алмазы</t>
  </si>
  <si>
    <t>Какое растение можно использовать для создания красителя? а) Маки б) Пшеница в) Сахарный тростник г) Бамбук</t>
  </si>
  <si>
    <t>Как зовут главного врага жителей деревни? а) Разбойник б) Зомби в) Крипер г) Скелет</t>
  </si>
  <si>
    <t>Что необходимо для создания верстака? а) Деревянные доски б) Камень в) Железо г) Алмазы</t>
  </si>
  <si>
    <t>Какой моб боится кошек? а) Крипер б) Зомби в) Скелет г) Эндермен</t>
  </si>
  <si>
    <t>Каким образом можно усмирить оцелота? а) Рыбой б) Костью в) Семенами г) Яблоками</t>
  </si>
  <si>
    <t>С помощью чего можно добывать воду? а) Ведро б) Лопата в) Топор г) Кирка</t>
  </si>
  <si>
    <t>Какой блок нужен для разведения коров? а) Пшеница б) Камень в) Дерево г) Песок</t>
  </si>
  <si>
    <t>Какой моб дает нитки? а) Паук б) Слизень в) Зомби г) Крипер</t>
  </si>
  <si>
    <t>Какой инструмент используется для посадки семян? а) Мотыга б) Лопата в) Топор г) Кирка</t>
  </si>
  <si>
    <t>Что нужно для приручения попугая? а) Семена б) Кости в) Печенье г) Рыба</t>
  </si>
  <si>
    <t>Что едят кролики? а) Морковь б) Сено в) Яблоки г) Рыба</t>
  </si>
  <si>
    <t>Где можно найти глину? а) Возле водоёмов б) В шахтах в) В лесах г) В пустынях</t>
  </si>
  <si>
    <t>Какой моб всегда нападает группами? а) Волки б) Зомби в) Скелеты г) Криперы</t>
  </si>
  <si>
    <t>Что можно получить из переплавленного песка? а) Стекло б) Камень в) Кирпич г) Глину</t>
  </si>
  <si>
    <t>Ответ 2</t>
  </si>
  <si>
    <t>Ответ 3</t>
  </si>
  <si>
    <t>Ответ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</si>
</sst>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1"/>
      <color rgb="FF242F26"/>
      <name val="Arial"/>
    </font>
    <font>
      <sz val="10"/>
      <color theme="1"/>
      <name val="Arial"/>
    </font>
    <font>
      <sz val="12"/>
      <color rgb="FF212529"/>
      <name val="Quattrocento Sans"/>
    </font>
    <font>
      <sz val="10"/>
      <color rgb="FF000000"/>
      <name val="Arial"/>
    </font>
    <font>
      <sz val="10"/>
      <color theme="1"/>
      <name val="Arial"/>
      <scheme val="minor"/>
    </font>
    <font>
      <sz val="12"/>
      <color rgb="FF212529"/>
      <name val="-apple-system"/>
    </font>
    <font>
      <sz val="12"/>
      <color rgb="FF212529"/>
      <name val="Arial"/>
    </font>
    <font>
      <b/>
      <sz val="12"/>
      <color rgb="FF212529"/>
      <name val="Segoe UI"/>
    </font>
    <font>
      <sz val="12"/>
      <color rgb="FF212529"/>
      <name val="Segoe UI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/>
    <xf numFmtId="0" fontId="6" fillId="0" borderId="2" xfId="0" applyFont="1" applyBorder="1"/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6" fillId="0" borderId="0" xfId="0" applyFont="1" applyAlignment="1">
      <alignment wrapText="1"/>
    </xf>
  </cellXfs>
  <cellStyles count="1">
    <cellStyle name="Обычный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Майнкрафт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34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Майнкрафт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20"/>
  <sheetViews>
    <sheetView tabSelected="1" topLeftCell="A109" workbookViewId="0">
      <selection activeCell="E121" sqref="E121"/>
    </sheetView>
  </sheetViews>
  <sheetFormatPr defaultColWidth="12.5703125" defaultRowHeight="15" customHeight="1"/>
  <cols>
    <col min="1" max="1" width="21.85546875" customWidth="1"/>
    <col min="2" max="3" width="18.140625" customWidth="1"/>
    <col min="4" max="7" width="31.140625" customWidth="1"/>
    <col min="8" max="8" width="5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F1" s="1" t="s">
        <v>135</v>
      </c>
      <c r="G1" s="1" t="s">
        <v>136</v>
      </c>
      <c r="H1" s="2" t="s">
        <v>4</v>
      </c>
    </row>
    <row r="2" spans="1:8" ht="45">
      <c r="A2" s="3" t="str">
        <f ca="1">IFERROR(__xludf.DUMMYFUNCTION("REGEXEXTRACT(H2, ""\d+\.\s*(.*?)\s*а\)"")"),"Какой блок является основным строительным материалом в Minecraft? ")</f>
        <v>Какой блок является основным строительным материалом в Minecraft? </v>
      </c>
      <c r="B2" s="3">
        <v>1</v>
      </c>
      <c r="C2" s="3"/>
      <c r="D2" s="3" t="str">
        <f ca="1">IFERROR(__xludf.DUMMYFUNCTION("REGEXREPLACE(REGEXEXTRACT(H2, ""а\)\s*(.*?)\s*б\)""), ""^\s*"", """")"),"Камень ")</f>
        <v>Камень </v>
      </c>
      <c r="E2" s="3" t="str">
        <f ca="1">IFERROR(__xludf.DUMMYFUNCTION("REGEXREPLACE(REGEXEXTRACT(H2, ""б\)\s*(.*?)\s*в\)""), ""^\s*"", """")"),"Песок")</f>
        <v>Песок</v>
      </c>
      <c r="F2" s="3" t="str">
        <f ca="1">IFERROR(__xludf.DUMMYFUNCTION("REGEXREPLACE(REGEXEXTRACT(H2, ""в\)\s*(.*?)\s*г\)""), ""^\s*"", """")"),"Земля")</f>
        <v>Земля</v>
      </c>
      <c r="G2" s="3" t="str">
        <f ca="1">IFERROR(__xludf.DUMMYFUNCTION("REGEXREPLACE(REGEXEXTRACT(H2, ""г\)\s*(.*)""), ""^\s*"", """")"),"Гравий")</f>
        <v>Гравий</v>
      </c>
      <c r="H2" s="4" t="s">
        <v>5</v>
      </c>
    </row>
    <row r="3" spans="1:8" ht="25.5">
      <c r="A3" s="3" t="str">
        <f ca="1">IFERROR(__xludf.DUMMYFUNCTION("REGEXEXTRACT(H3, ""\d+\.\s*(.*?)\s*а\)"")"),"Как называется измерение, где обитает Эндер-дракон? ")</f>
        <v>Как называется измерение, где обитает Эндер-дракон? </v>
      </c>
      <c r="B3" s="3">
        <v>1</v>
      </c>
      <c r="C3" s="3"/>
      <c r="D3" s="3" t="str">
        <f ca="1">IFERROR(__xludf.DUMMYFUNCTION("REGEXREPLACE(REGEXEXTRACT(H3, ""а\)\s*(.*?)\s*б\)""), ""^\s*"", """")"),"Край ")</f>
        <v>Край </v>
      </c>
      <c r="E3" s="3" t="str">
        <f ca="1">IFERROR(__xludf.DUMMYFUNCTION("REGEXREPLACE(REGEXEXTRACT(H3, ""б\)\s*(.*?)\s*в\)""), ""^\s*"", """")"),"Ад")</f>
        <v>Ад</v>
      </c>
      <c r="F3" s="3" t="str">
        <f ca="1">IFERROR(__xludf.DUMMYFUNCTION("REGEXREPLACE(REGEXEXTRACT(H3, ""в\)\s*(.*?)\s*г\)""), ""^\s*"", """")"),"Верхний мир")</f>
        <v>Верхний мир</v>
      </c>
      <c r="G3" s="3" t="str">
        <f ca="1">IFERROR(__xludf.DUMMYFUNCTION("REGEXREPLACE(REGEXEXTRACT(H3, ""г\)\s*(.*)""), ""^\s*"", """")"),"Измерение грибов")</f>
        <v>Измерение грибов</v>
      </c>
      <c r="H3" s="5" t="s">
        <v>6</v>
      </c>
    </row>
    <row r="4" spans="1:8" ht="32.25">
      <c r="A4" s="3" t="str">
        <f ca="1">IFERROR(__xludf.DUMMYFUNCTION("REGEXEXTRACT(H4, ""\d+\.\s*(.*?)\s*а\)"")"),"Какой моб взрывается при приближении к игроку? ")</f>
        <v>Какой моб взрывается при приближении к игроку? </v>
      </c>
      <c r="B4" s="3">
        <v>1</v>
      </c>
      <c r="C4" s="3"/>
      <c r="D4" s="3" t="str">
        <f ca="1">IFERROR(__xludf.DUMMYFUNCTION("REGEXREPLACE(REGEXEXTRACT(H4, ""а\)\s*(.*?)\s*б\)""), ""^\s*"", """")"),"Крипер ")</f>
        <v>Крипер </v>
      </c>
      <c r="E4" s="3" t="str">
        <f ca="1">IFERROR(__xludf.DUMMYFUNCTION("REGEXREPLACE(REGEXEXTRACT(H4, ""б\)\s*(.*?)\s*в\)""), ""^\s*"", """")"),"Скелет")</f>
        <v>Скелет</v>
      </c>
      <c r="F4" s="3" t="str">
        <f ca="1">IFERROR(__xludf.DUMMYFUNCTION("REGEXREPLACE(REGEXEXTRACT(H4, ""в\)\s*(.*?)\s*г\)""), ""^\s*"", """")"),"Зомби")</f>
        <v>Зомби</v>
      </c>
      <c r="G4" s="3" t="str">
        <f ca="1">IFERROR(__xludf.DUMMYFUNCTION("REGEXREPLACE(REGEXEXTRACT(H4, ""г\)\s*(.*)""), ""^\s*"", """")"),"Паук")</f>
        <v>Паук</v>
      </c>
      <c r="H4" s="4" t="s">
        <v>7</v>
      </c>
    </row>
    <row r="5" spans="1:8" ht="34.5">
      <c r="A5" s="3" t="str">
        <f ca="1">IFERROR(__xludf.DUMMYFUNCTION("REGEXEXTRACT(H5, ""\d+\.\s*(.*?)\s*а\)"")"),"Какой моб сбрасывает стрелы? ")</f>
        <v>Какой моб сбрасывает стрелы? </v>
      </c>
      <c r="B5" s="3">
        <v>1</v>
      </c>
      <c r="C5" s="6"/>
      <c r="D5" s="3" t="str">
        <f ca="1">IFERROR(__xludf.DUMMYFUNCTION("REGEXREPLACE(REGEXEXTRACT(H5, ""а\)\s*(.*?)\s*б\)""), ""^\s*"", """")"),"Скелет ")</f>
        <v>Скелет </v>
      </c>
      <c r="E5" s="3" t="str">
        <f ca="1">IFERROR(__xludf.DUMMYFUNCTION("REGEXREPLACE(REGEXEXTRACT(H5, ""б\)\s*(.*?)\s*в\)""), ""^\s*"", """")"),"Зомби")</f>
        <v>Зомби</v>
      </c>
      <c r="F5" s="3" t="str">
        <f ca="1">IFERROR(__xludf.DUMMYFUNCTION("REGEXREPLACE(REGEXEXTRACT(H5, ""в\)\s*(.*?)\s*г\)""), ""^\s*"", """")"),"Крипер")</f>
        <v>Крипер</v>
      </c>
      <c r="G5" s="3" t="str">
        <f ca="1">IFERROR(__xludf.DUMMYFUNCTION("REGEXREPLACE(REGEXEXTRACT(H5, ""г\)\s*(.*)""), ""^\s*"", """")"),"Паук")</f>
        <v>Паук</v>
      </c>
      <c r="H5" s="4" t="s">
        <v>8</v>
      </c>
    </row>
    <row r="6" spans="1:8" ht="49.5">
      <c r="A6" s="3" t="str">
        <f ca="1">IFERROR(__xludf.DUMMYFUNCTION("REGEXEXTRACT(H6, ""\d+\.\s*(.*?)\s*а\)"")"),"Какой моб плавает в воде и может атаковать игрока? ")</f>
        <v>Какой моб плавает в воде и может атаковать игрока? </v>
      </c>
      <c r="B6" s="3">
        <v>1</v>
      </c>
      <c r="C6" s="6"/>
      <c r="D6" s="3" t="str">
        <f ca="1">IFERROR(__xludf.DUMMYFUNCTION("REGEXREPLACE(REGEXEXTRACT(H6, ""а\)\s*(.*?)\s*б\)""), ""^\s*"", """")"),"Утопленник ")</f>
        <v>Утопленник </v>
      </c>
      <c r="E6" s="3" t="str">
        <f ca="1">IFERROR(__xludf.DUMMYFUNCTION("REGEXREPLACE(REGEXEXTRACT(H6, ""б\)\s*(.*?)\s*в\)""), ""^\s*"", """")"),"Овца")</f>
        <v>Овца</v>
      </c>
      <c r="F6" s="3" t="str">
        <f ca="1">IFERROR(__xludf.DUMMYFUNCTION("REGEXREPLACE(REGEXEXTRACT(H6, ""в\)\s*(.*?)\s*г\)""), ""^\s*"", """")"),"Свинья")</f>
        <v>Свинья</v>
      </c>
      <c r="G6" s="3" t="str">
        <f ca="1">IFERROR(__xludf.DUMMYFUNCTION("REGEXREPLACE(REGEXEXTRACT(H6, ""г\)\s*(.*)""), ""^\s*"", """")"),"Корова")</f>
        <v>Корова</v>
      </c>
      <c r="H6" s="4" t="s">
        <v>9</v>
      </c>
    </row>
    <row r="7" spans="1:8" ht="32.25">
      <c r="A7" s="3" t="str">
        <f ca="1">IFERROR(__xludf.DUMMYFUNCTION("REGEXEXTRACT(H7, ""\d+\.\s*(.*?)\s*а\)"")"),"Какого моба можно приручить с помощью костей? ")</f>
        <v>Какого моба можно приручить с помощью костей? </v>
      </c>
      <c r="B7" s="3">
        <v>1</v>
      </c>
      <c r="C7" s="6"/>
      <c r="D7" s="3" t="str">
        <f ca="1">IFERROR(__xludf.DUMMYFUNCTION("REGEXREPLACE(REGEXEXTRACT(H7, ""а\)\s*(.*?)\s*б\)""), ""^\s*"", """")"),"Волк ")</f>
        <v>Волк </v>
      </c>
      <c r="E7" s="3" t="str">
        <f ca="1">IFERROR(__xludf.DUMMYFUNCTION("REGEXREPLACE(REGEXEXTRACT(H7, ""б\)\s*(.*?)\s*в\)""), ""^\s*"", """")"),"Кошка")</f>
        <v>Кошка</v>
      </c>
      <c r="F7" s="3" t="str">
        <f ca="1">IFERROR(__xludf.DUMMYFUNCTION("REGEXREPLACE(REGEXEXTRACT(H7, ""в\)\s*(.*?)\s*г\)""), ""^\s*"", """")"),"Лошадь")</f>
        <v>Лошадь</v>
      </c>
      <c r="G7" s="3" t="str">
        <f ca="1">IFERROR(__xludf.DUMMYFUNCTION("REGEXREPLACE(REGEXEXTRACT(H7, ""г\)\s*(.*)""), ""^\s*"", """")"),"Попугай")</f>
        <v>Попугай</v>
      </c>
      <c r="H7" s="4" t="s">
        <v>10</v>
      </c>
    </row>
    <row r="8" spans="1:8" ht="49.5">
      <c r="A8" s="3" t="str">
        <f ca="1">IFERROR(__xludf.DUMMYFUNCTION("REGEXEXTRACT(H8, ""\d+\.\s*(.*?)\s*а\)"")"),"Какой моб можно найти в аду и он стреляет огненными шарами? ")</f>
        <v>Какой моб можно найти в аду и он стреляет огненными шарами? </v>
      </c>
      <c r="B8" s="3">
        <v>1</v>
      </c>
      <c r="C8" s="6"/>
      <c r="D8" s="3" t="str">
        <f ca="1">IFERROR(__xludf.DUMMYFUNCTION("REGEXREPLACE(REGEXEXTRACT(H8, ""а\)\s*(.*?)\s*б\)""), ""^\s*"", """")"),"Гаст ")</f>
        <v>Гаст </v>
      </c>
      <c r="E8" s="3" t="str">
        <f ca="1">IFERROR(__xludf.DUMMYFUNCTION("REGEXREPLACE(REGEXEXTRACT(H8, ""б\)\s*(.*?)\s*в\)""), ""^\s*"", """")"),"Эндермен")</f>
        <v>Эндермен</v>
      </c>
      <c r="F8" s="3" t="str">
        <f ca="1">IFERROR(__xludf.DUMMYFUNCTION("REGEXREPLACE(REGEXEXTRACT(H8, ""в\)\s*(.*?)\s*г\)""), ""^\s*"", """")"),"Зомби-свиночеловек")</f>
        <v>Зомби-свиночеловек</v>
      </c>
      <c r="G8" s="3" t="str">
        <f ca="1">IFERROR(__xludf.DUMMYFUNCTION("REGEXREPLACE(REGEXEXTRACT(H8, ""г\)\s*(.*)""), ""^\s*"", """")"),"Страж")</f>
        <v>Страж</v>
      </c>
      <c r="H8" s="4" t="s">
        <v>11</v>
      </c>
    </row>
    <row r="9" spans="1:8" ht="34.5">
      <c r="A9" s="3" t="str">
        <f ca="1">IFERROR(__xludf.DUMMYFUNCTION("REGEXEXTRACT(H9, ""\d+\.\s*(.*?)\s*а\)"")"),"Какой моб даёт шерсть? ")</f>
        <v>Какой моб даёт шерсть? </v>
      </c>
      <c r="B9" s="3">
        <v>1</v>
      </c>
      <c r="C9" s="6"/>
      <c r="D9" s="3" t="str">
        <f ca="1">IFERROR(__xludf.DUMMYFUNCTION("REGEXREPLACE(REGEXEXTRACT(H9, ""а\)\s*(.*?)\s*б\)""), ""^\s*"", """")"),"Овца ")</f>
        <v>Овца </v>
      </c>
      <c r="E9" s="3" t="str">
        <f ca="1">IFERROR(__xludf.DUMMYFUNCTION("REGEXREPLACE(REGEXEXTRACT(H9, ""б\)\s*(.*?)\s*в\)""), ""^\s*"", """")"),"Курица")</f>
        <v>Курица</v>
      </c>
      <c r="F9" s="3" t="str">
        <f ca="1">IFERROR(__xludf.DUMMYFUNCTION("REGEXREPLACE(REGEXEXTRACT(H9, ""в\)\s*(.*?)\s*г\)""), ""^\s*"", """")"),"Свинья")</f>
        <v>Свинья</v>
      </c>
      <c r="G9" s="3" t="str">
        <f ca="1">IFERROR(__xludf.DUMMYFUNCTION("REGEXREPLACE(REGEXEXTRACT(H9, ""г\)\s*(.*)""), ""^\s*"", """")"),"Корова")</f>
        <v>Корова</v>
      </c>
      <c r="H9" s="4" t="s">
        <v>12</v>
      </c>
    </row>
    <row r="10" spans="1:8" ht="49.5">
      <c r="A10" s="3" t="str">
        <f ca="1">IFERROR(__xludf.DUMMYFUNCTION("REGEXEXTRACT(H10, ""\d+\.\s*(.*?)\s*а\)"")"),"Какой предмет используется для создания портала в Нижний мир? ")</f>
        <v>Какой предмет используется для создания портала в Нижний мир? </v>
      </c>
      <c r="B10" s="3">
        <v>1</v>
      </c>
      <c r="C10" s="6"/>
      <c r="D10" s="3" t="str">
        <f ca="1">IFERROR(__xludf.DUMMYFUNCTION("REGEXREPLACE(REGEXEXTRACT(H10, ""а\)\s*(.*?)\s*б\)""), ""^\s*"", """")"),"Обсидиан ")</f>
        <v>Обсидиан </v>
      </c>
      <c r="E10" s="3" t="str">
        <f ca="1">IFERROR(__xludf.DUMMYFUNCTION("REGEXREPLACE(REGEXEXTRACT(H10, ""б\)\s*(.*?)\s*в\)""), ""^\s*"", """")"),"Алмаз")</f>
        <v>Алмаз</v>
      </c>
      <c r="F10" s="3" t="str">
        <f ca="1">IFERROR(__xludf.DUMMYFUNCTION("REGEXREPLACE(REGEXEXTRACT(H10, ""в\)\s*(.*?)\s*г\)""), ""^\s*"", """")"),"Золото")</f>
        <v>Золото</v>
      </c>
      <c r="G10" s="3" t="str">
        <f ca="1">IFERROR(__xludf.DUMMYFUNCTION("REGEXREPLACE(REGEXEXTRACT(H10, ""г\)\s*(.*)""), ""^\s*"", """")"),"Железо")</f>
        <v>Железо</v>
      </c>
      <c r="H10" s="4" t="s">
        <v>13</v>
      </c>
    </row>
    <row r="11" spans="1:8" ht="34.5">
      <c r="A11" s="3" t="str">
        <f ca="1">IFERROR(__xludf.DUMMYFUNCTION("REGEXEXTRACT(H11, ""\d+\.\s*(.*?)\s*а\)"")"),"Какой предмет нужен для создания хлеба? ")</f>
        <v>Какой предмет нужен для создания хлеба? </v>
      </c>
      <c r="B11" s="3">
        <v>1</v>
      </c>
      <c r="C11" s="6"/>
      <c r="D11" s="3" t="str">
        <f ca="1">IFERROR(__xludf.DUMMYFUNCTION("REGEXREPLACE(REGEXEXTRACT(H11, ""а\)\s*(.*?)\s*б\)""), ""^\s*"", """")"),"Пшеница ")</f>
        <v>Пшеница </v>
      </c>
      <c r="E11" s="3" t="str">
        <f ca="1">IFERROR(__xludf.DUMMYFUNCTION("REGEXREPLACE(REGEXEXTRACT(H11, ""б\)\s*(.*?)\s*в\)""), ""^\s*"", """")"),"Камень")</f>
        <v>Камень</v>
      </c>
      <c r="F11" s="3" t="str">
        <f ca="1">IFERROR(__xludf.DUMMYFUNCTION("REGEXREPLACE(REGEXEXTRACT(H11, ""в\)\s*(.*?)\s*г\)""), ""^\s*"", """")"),"Дерево")</f>
        <v>Дерево</v>
      </c>
      <c r="G11" s="3" t="str">
        <f ca="1">IFERROR(__xludf.DUMMYFUNCTION("REGEXREPLACE(REGEXEXTRACT(H11, ""г\)\s*(.*)""), ""^\s*"", """")"),"Уголь")</f>
        <v>Уголь</v>
      </c>
      <c r="H11" s="4" t="s">
        <v>14</v>
      </c>
    </row>
    <row r="12" spans="1:8" ht="32.25">
      <c r="A12" s="3" t="str">
        <f ca="1">IFERROR(__xludf.DUMMYFUNCTION("REGEXEXTRACT(H12, ""\d+\.\s*(.*?)\s*а\)"")"),"Какой предмет используется для создания факелов? ")</f>
        <v>Какой предмет используется для создания факелов? </v>
      </c>
      <c r="B12" s="3">
        <v>1</v>
      </c>
      <c r="C12" s="6"/>
      <c r="D12" s="3" t="str">
        <f ca="1">IFERROR(__xludf.DUMMYFUNCTION("REGEXREPLACE(REGEXEXTRACT(H12, ""а\)\s*(.*?)\s*б\)""), ""^\s*"", """")"),"Уголь ")</f>
        <v>Уголь </v>
      </c>
      <c r="E12" s="3" t="str">
        <f ca="1">IFERROR(__xludf.DUMMYFUNCTION("REGEXREPLACE(REGEXEXTRACT(H12, ""б\)\s*(.*?)\s*в\)""), ""^\s*"", """")"),"Алмаз")</f>
        <v>Алмаз</v>
      </c>
      <c r="F12" s="3" t="str">
        <f ca="1">IFERROR(__xludf.DUMMYFUNCTION("REGEXREPLACE(REGEXEXTRACT(H12, ""в\)\s*(.*?)\s*г\)""), ""^\s*"", """")"),"Золото")</f>
        <v>Золото</v>
      </c>
      <c r="G12" s="3" t="str">
        <f ca="1">IFERROR(__xludf.DUMMYFUNCTION("REGEXREPLACE(REGEXEXTRACT(H12, ""г\)\s*(.*)""), ""^\s*"", """")"),"Железо")</f>
        <v>Железо</v>
      </c>
      <c r="H12" s="4" t="s">
        <v>15</v>
      </c>
    </row>
    <row r="13" spans="1:8" ht="34.5">
      <c r="A13" s="3" t="str">
        <f ca="1">IFERROR(__xludf.DUMMYFUNCTION("REGEXEXTRACT(H13, ""\d+\.\s*(.*?)\s*а\)"")"),"В каком биоме растут кактусы? ")</f>
        <v>В каком биоме растут кактусы? </v>
      </c>
      <c r="B13" s="3">
        <v>1</v>
      </c>
      <c r="C13" s="6"/>
      <c r="D13" s="3" t="str">
        <f ca="1">IFERROR(__xludf.DUMMYFUNCTION("REGEXREPLACE(REGEXEXTRACT(H13, ""а\)\s*(.*?)\s*б\)""), ""^\s*"", """")"),"Пустыня ")</f>
        <v>Пустыня </v>
      </c>
      <c r="E13" s="3" t="str">
        <f ca="1">IFERROR(__xludf.DUMMYFUNCTION("REGEXREPLACE(REGEXEXTRACT(H13, ""б\)\s*(.*?)\s*в\)""), ""^\s*"", """")"),"Лес")</f>
        <v>Лес</v>
      </c>
      <c r="F13" s="3" t="str">
        <f ca="1">IFERROR(__xludf.DUMMYFUNCTION("REGEXREPLACE(REGEXEXTRACT(H13, ""в\)\s*(.*?)\s*г\)""), ""^\s*"", """")"),"Тундра")</f>
        <v>Тундра</v>
      </c>
      <c r="G13" s="3" t="str">
        <f ca="1">IFERROR(__xludf.DUMMYFUNCTION("REGEXREPLACE(REGEXEXTRACT(H13, ""г\)\s*(.*)""), ""^\s*"", """")"),"Джунгли")</f>
        <v>Джунгли</v>
      </c>
      <c r="H13" s="4" t="s">
        <v>16</v>
      </c>
    </row>
    <row r="14" spans="1:8" ht="32.25">
      <c r="A14" s="3" t="str">
        <f ca="1">IFERROR(__xludf.DUMMYFUNCTION("REGEXEXTRACT(H14, ""\d+\.\s*(.*?)\s*а\)"")"),"Какой биом содержит много воды и лилий? ")</f>
        <v>Какой биом содержит много воды и лилий? </v>
      </c>
      <c r="B14" s="3">
        <v>1</v>
      </c>
      <c r="C14" s="6"/>
      <c r="D14" s="3" t="str">
        <f ca="1">IFERROR(__xludf.DUMMYFUNCTION("REGEXREPLACE(REGEXEXTRACT(H14, ""а\)\s*(.*?)\s*б\)""), ""^\s*"", """")"),"Болото ")</f>
        <v>Болото </v>
      </c>
      <c r="E14" s="3" t="str">
        <f ca="1">IFERROR(__xludf.DUMMYFUNCTION("REGEXREPLACE(REGEXEXTRACT(H14, ""б\)\s*(.*?)\s*в\)""), ""^\s*"", """")"),"Горы")</f>
        <v>Горы</v>
      </c>
      <c r="F14" s="3" t="str">
        <f ca="1">IFERROR(__xludf.DUMMYFUNCTION("REGEXREPLACE(REGEXEXTRACT(H14, ""в\)\s*(.*?)\s*г\)""), ""^\s*"", """")"),"Равнина")</f>
        <v>Равнина</v>
      </c>
      <c r="G14" s="3" t="str">
        <f ca="1">IFERROR(__xludf.DUMMYFUNCTION("REGEXREPLACE(REGEXEXTRACT(H14, ""г\)\s*(.*)""), ""^\s*"", """")"),"Саванна")</f>
        <v>Саванна</v>
      </c>
      <c r="H14" s="4" t="s">
        <v>17</v>
      </c>
    </row>
    <row r="15" spans="1:8" ht="34.5">
      <c r="A15" s="3" t="str">
        <f ca="1">IFERROR(__xludf.DUMMYFUNCTION("REGEXEXTRACT(H15, ""\d+\.\s*(.*?)\s*а\)"")"),"В каком биоме выпадает снег? ")</f>
        <v>В каком биоме выпадает снег? </v>
      </c>
      <c r="B15" s="3">
        <v>1</v>
      </c>
      <c r="C15" s="6"/>
      <c r="D15" s="3" t="str">
        <f ca="1">IFERROR(__xludf.DUMMYFUNCTION("REGEXREPLACE(REGEXEXTRACT(H15, ""а\)\s*(.*?)\s*б\)""), ""^\s*"", """")"),"Тундра ")</f>
        <v>Тундра </v>
      </c>
      <c r="E15" s="3" t="str">
        <f ca="1">IFERROR(__xludf.DUMMYFUNCTION("REGEXREPLACE(REGEXEXTRACT(H15, ""б\)\s*(.*?)\s*в\)""), ""^\s*"", """")"),"Пустыня")</f>
        <v>Пустыня</v>
      </c>
      <c r="F15" s="3" t="str">
        <f ca="1">IFERROR(__xludf.DUMMYFUNCTION("REGEXREPLACE(REGEXEXTRACT(H15, ""в\)\s*(.*?)\s*г\)""), ""^\s*"", """")"),"Джунгли")</f>
        <v>Джунгли</v>
      </c>
      <c r="G15" s="3" t="str">
        <f ca="1">IFERROR(__xludf.DUMMYFUNCTION("REGEXREPLACE(REGEXEXTRACT(H15, ""г\)\s*(.*)""), ""^\s*"", """")"),"Саванна")</f>
        <v>Саванна</v>
      </c>
      <c r="H15" s="4" t="s">
        <v>18</v>
      </c>
    </row>
    <row r="16" spans="1:8" ht="49.5">
      <c r="A16" s="3" t="str">
        <f ca="1">IFERROR(__xludf.DUMMYFUNCTION("REGEXEXTRACT(H16, ""\d+\.\s*(.*?)\s*а\)"")"),"Какой биом известен своими высокими деревьями и лианами? ")</f>
        <v>Какой биом известен своими высокими деревьями и лианами? </v>
      </c>
      <c r="B16" s="3">
        <v>1</v>
      </c>
      <c r="C16" s="6"/>
      <c r="D16" s="3" t="str">
        <f ca="1">IFERROR(__xludf.DUMMYFUNCTION("REGEXREPLACE(REGEXEXTRACT(H16, ""а\)\s*(.*?)\s*б\)""), ""^\s*"", """")"),"Джунгли ")</f>
        <v>Джунгли </v>
      </c>
      <c r="E16" s="3" t="str">
        <f ca="1">IFERROR(__xludf.DUMMYFUNCTION("REGEXREPLACE(REGEXEXTRACT(H16, ""б\)\s*(.*?)\s*в\)""), ""^\s*"", """")"),"Равнина")</f>
        <v>Равнина</v>
      </c>
      <c r="F16" s="3" t="str">
        <f ca="1">IFERROR(__xludf.DUMMYFUNCTION("REGEXREPLACE(REGEXEXTRACT(H16, ""в\)\s*(.*?)\s*г\)""), ""^\s*"", """")"),"Горы")</f>
        <v>Горы</v>
      </c>
      <c r="G16" s="3" t="str">
        <f ca="1">IFERROR(__xludf.DUMMYFUNCTION("REGEXREPLACE(REGEXEXTRACT(H16, ""г\)\s*(.*)""), ""^\s*"", """")"),"Тундра")</f>
        <v>Тундра</v>
      </c>
      <c r="H16" s="4" t="s">
        <v>19</v>
      </c>
    </row>
    <row r="17" spans="1:8" ht="34.5">
      <c r="A17" s="3" t="str">
        <f ca="1">IFERROR(__xludf.DUMMYFUNCTION("REGEXEXTRACT(H17, ""\d+\.\s*(.*?)\s*а\)"")"),"Какой биом содержит много грибов? ")</f>
        <v>Какой биом содержит много грибов? </v>
      </c>
      <c r="B17" s="3">
        <v>1</v>
      </c>
      <c r="C17" s="6"/>
      <c r="D17" s="3" t="str">
        <f ca="1">IFERROR(__xludf.DUMMYFUNCTION("REGEXREPLACE(REGEXEXTRACT(H17, ""а\)\s*(.*?)\s*б\)""), ""^\s*"", """")"),"Грибной остров ")</f>
        <v>Грибной остров </v>
      </c>
      <c r="E17" s="3" t="str">
        <f ca="1">IFERROR(__xludf.DUMMYFUNCTION("REGEXREPLACE(REGEXEXTRACT(H17, ""б\)\s*(.*?)\s*в\)""), ""^\s*"", """")"),"Лес")</f>
        <v>Лес</v>
      </c>
      <c r="F17" s="3" t="str">
        <f ca="1">IFERROR(__xludf.DUMMYFUNCTION("REGEXREPLACE(REGEXEXTRACT(H17, ""в\)\s*(.*?)\s*г\)""), ""^\s*"", """")"),"Пустыня")</f>
        <v>Пустыня</v>
      </c>
      <c r="G17" s="3" t="str">
        <f ca="1">IFERROR(__xludf.DUMMYFUNCTION("REGEXREPLACE(REGEXEXTRACT(H17, ""г\)\s*(.*)""), ""^\s*"", """")"),"Тайга")</f>
        <v>Тайга</v>
      </c>
      <c r="H17" s="4" t="s">
        <v>20</v>
      </c>
    </row>
    <row r="18" spans="1:8" ht="34.5">
      <c r="A18" s="3" t="str">
        <f ca="1">IFERROR(__xludf.DUMMYFUNCTION("REGEXEXTRACT(H18, ""\d+\.\s*(.*?)\s*а\)"")"),"Какую структуру можно найти в пустыне? ")</f>
        <v>Какую структуру можно найти в пустыне? </v>
      </c>
      <c r="B18" s="3">
        <v>1</v>
      </c>
      <c r="C18" s="6"/>
      <c r="D18" s="3" t="str">
        <f ca="1">IFERROR(__xludf.DUMMYFUNCTION("REGEXREPLACE(REGEXEXTRACT(H18, ""а\)\s*(.*?)\s*б\)""), ""^\s*"", """")"),"Пирамида ")</f>
        <v>Пирамида </v>
      </c>
      <c r="E18" s="3" t="str">
        <f ca="1">IFERROR(__xludf.DUMMYFUNCTION("REGEXREPLACE(REGEXEXTRACT(H18, ""б\)\s*(.*?)\s*в\)""), ""^\s*"", """")"),"Деревня")</f>
        <v>Деревня</v>
      </c>
      <c r="F18" s="3" t="str">
        <f ca="1">IFERROR(__xludf.DUMMYFUNCTION("REGEXREPLACE(REGEXEXTRACT(H18, ""в\)\s*(.*?)\s*г\)""), ""^\s*"", """")"),"Крепость")</f>
        <v>Крепость</v>
      </c>
      <c r="G18" s="3" t="str">
        <f ca="1">IFERROR(__xludf.DUMMYFUNCTION("REGEXREPLACE(REGEXEXTRACT(H18, ""г\)\s*(.*)""), ""^\s*"", """")"),"Шахта")</f>
        <v>Шахта</v>
      </c>
      <c r="H18" s="4" t="s">
        <v>21</v>
      </c>
    </row>
    <row r="19" spans="1:8" ht="51.75">
      <c r="A19" s="3" t="str">
        <f ca="1">IFERROR(__xludf.DUMMYFUNCTION("REGEXEXTRACT(H19, ""\d+\.\s*(.*?)\s*а\)"")"),"Какую структуру можно найти в океане? ")</f>
        <v>Какую структуру можно найти в океане? </v>
      </c>
      <c r="B19" s="3">
        <v>1</v>
      </c>
      <c r="C19" s="6"/>
      <c r="D19" s="3" t="str">
        <f ca="1">IFERROR(__xludf.DUMMYFUNCTION("REGEXREPLACE(REGEXEXTRACT(H19, ""а\)\s*(.*?)\s*б\)""), ""^\s*"", """")"),"Морской монумент ")</f>
        <v>Морской монумент </v>
      </c>
      <c r="E19" s="3" t="str">
        <f ca="1">IFERROR(__xludf.DUMMYFUNCTION("REGEXREPLACE(REGEXEXTRACT(H19, ""б\)\s*(.*?)\s*в\)""), ""^\s*"", """")"),"Храм джунглей")</f>
        <v>Храм джунглей</v>
      </c>
      <c r="F19" s="3" t="str">
        <f ca="1">IFERROR(__xludf.DUMMYFUNCTION("REGEXREPLACE(REGEXEXTRACT(H19, ""в\)\s*(.*?)\s*г\)""), ""^\s*"", """")"),"Иглу")</f>
        <v>Иглу</v>
      </c>
      <c r="G19" s="3" t="str">
        <f ca="1">IFERROR(__xludf.DUMMYFUNCTION("REGEXREPLACE(REGEXEXTRACT(H19, ""г\)\s*(.*)""), ""^\s*"", """")"),"Заброшенная шахта")</f>
        <v>Заброшенная шахта</v>
      </c>
      <c r="H19" s="4" t="s">
        <v>22</v>
      </c>
    </row>
    <row r="20" spans="1:8" ht="49.5">
      <c r="A20" s="3" t="str">
        <f ca="1">IFERROR(__xludf.DUMMYFUNCTION("REGEXEXTRACT(H20, ""\d+\.\s*(.*?)\s*а\)"")"),"В какой структуре можно найти сокровище? ")</f>
        <v>В какой структуре можно найти сокровище? </v>
      </c>
      <c r="B20" s="3">
        <v>1</v>
      </c>
      <c r="C20" s="6"/>
      <c r="D20" s="3" t="str">
        <f ca="1">IFERROR(__xludf.DUMMYFUNCTION("REGEXREPLACE(REGEXEXTRACT(H20, ""а\)\s*(.*?)\s*б\)""), ""^\s*"", """")"),"Сундук с сокровищами ")</f>
        <v>Сундук с сокровищами </v>
      </c>
      <c r="E20" s="3" t="str">
        <f ca="1">IFERROR(__xludf.DUMMYFUNCTION("REGEXREPLACE(REGEXEXTRACT(H20, ""б\)\s*(.*?)\s*в\)""), ""^\s*"", """")"),"Дом деревенского жителя")</f>
        <v>Дом деревенского жителя</v>
      </c>
      <c r="F20" s="3" t="str">
        <f ca="1">IFERROR(__xludf.DUMMYFUNCTION("REGEXREPLACE(REGEXEXTRACT(H20, ""в\)\s*(.*?)\s*г\)""), ""^\s*"", """")"),"Верстак")</f>
        <v>Верстак</v>
      </c>
      <c r="G20" s="3" t="str">
        <f ca="1">IFERROR(__xludf.DUMMYFUNCTION("REGEXREPLACE(REGEXEXTRACT(H20, ""г\)\s*(.*)""), ""^\s*"", """")"),"Печь")</f>
        <v>Печь</v>
      </c>
      <c r="H20" s="4" t="s">
        <v>23</v>
      </c>
    </row>
    <row r="21" spans="1:8" ht="49.5">
      <c r="A21" s="3" t="str">
        <f ca="1">IFERROR(__xludf.DUMMYFUNCTION("REGEXEXTRACT(H21, ""\d+\.\s*(.*?)\s*а\)"")"),"Какую структуру можно найти в Нижнем мире? ")</f>
        <v>Какую структуру можно найти в Нижнем мире? </v>
      </c>
      <c r="B21" s="3">
        <v>1</v>
      </c>
      <c r="C21" s="6"/>
      <c r="D21" s="3" t="str">
        <f ca="1">IFERROR(__xludf.DUMMYFUNCTION("REGEXREPLACE(REGEXEXTRACT(H21, ""а\)\s*(.*?)\s*б\)""), ""^\s*"", """")"),"Крепость Нижнего мира ")</f>
        <v>Крепость Нижнего мира </v>
      </c>
      <c r="E21" s="3" t="str">
        <f ca="1">IFERROR(__xludf.DUMMYFUNCTION("REGEXREPLACE(REGEXEXTRACT(H21, ""б\)\s*(.*?)\s*в\)""), ""^\s*"", """")"),"Деревня")</f>
        <v>Деревня</v>
      </c>
      <c r="F21" s="3" t="str">
        <f ca="1">IFERROR(__xludf.DUMMYFUNCTION("REGEXREPLACE(REGEXEXTRACT(H21, ""в\)\s*(.*?)\s*г\)""), ""^\s*"", """")"),"Иглу")</f>
        <v>Иглу</v>
      </c>
      <c r="G21" s="3" t="str">
        <f ca="1">IFERROR(__xludf.DUMMYFUNCTION("REGEXREPLACE(REGEXEXTRACT(H21, ""г\)\s*(.*)""), ""^\s*"", """")"),"Шахта")</f>
        <v>Шахта</v>
      </c>
      <c r="H21" s="4" t="s">
        <v>24</v>
      </c>
    </row>
    <row r="22" spans="1:8" ht="49.5">
      <c r="A22" s="3" t="str">
        <f ca="1">IFERROR(__xludf.DUMMYFUNCTION("REGEXEXTRACT(H22, ""\d+\.\s*(.*?)\s*а\)"")"),"Какой ингредиент нужен для создания зелья силы? ")</f>
        <v>Какой ингредиент нужен для создания зелья силы? </v>
      </c>
      <c r="B22" s="3">
        <v>1</v>
      </c>
      <c r="C22" s="6"/>
      <c r="D22" s="3" t="str">
        <f ca="1">IFERROR(__xludf.DUMMYFUNCTION("REGEXREPLACE(REGEXEXTRACT(H22, ""а\)\s*(.*?)\s*б\)""), ""^\s*"", """")"),"Адский нарост ")</f>
        <v>Адский нарост </v>
      </c>
      <c r="E22" s="3" t="str">
        <f ca="1">IFERROR(__xludf.DUMMYFUNCTION("REGEXREPLACE(REGEXEXTRACT(H22, ""б\)\s*(.*?)\s*в\)""), ""^\s*"", """")"),"Слеза гаста")</f>
        <v>Слеза гаста</v>
      </c>
      <c r="F22" s="3" t="str">
        <f ca="1">IFERROR(__xludf.DUMMYFUNCTION("REGEXREPLACE(REGEXEXTRACT(H22, ""в\)\s*(.*?)\s*г\)""), ""^\s*"", """")"),"Красная пыль")</f>
        <v>Красная пыль</v>
      </c>
      <c r="G22" s="3" t="str">
        <f ca="1">IFERROR(__xludf.DUMMYFUNCTION("REGEXREPLACE(REGEXEXTRACT(H22, ""г\)\s*(.*)""), ""^\s*"", """")"),"Золотая морковь")</f>
        <v>Золотая морковь</v>
      </c>
      <c r="H22" s="4" t="s">
        <v>25</v>
      </c>
    </row>
    <row r="23" spans="1:8" ht="49.5">
      <c r="A23" s="3" t="str">
        <f ca="1">IFERROR(__xludf.DUMMYFUNCTION("REGEXEXTRACT(H23, ""\d+\.\s*(.*?)\s*а\)"")"),"Какое зачарование позволяет ходить по воде? ")</f>
        <v>Какое зачарование позволяет ходить по воде? </v>
      </c>
      <c r="B23" s="3">
        <v>1</v>
      </c>
      <c r="C23" s="6"/>
      <c r="D23" s="3" t="str">
        <f ca="1">IFERROR(__xludf.DUMMYFUNCTION("REGEXREPLACE(REGEXEXTRACT(H23, ""а\)\s*(.*?)\s*б\)""), ""^\s*"", """")"),"Ледоход ")</f>
        <v>Ледоход </v>
      </c>
      <c r="E23" s="3" t="str">
        <f ca="1">IFERROR(__xludf.DUMMYFUNCTION("REGEXREPLACE(REGEXEXTRACT(H23, ""б\)\s*(.*?)\s*в\)""), ""^\s*"", """")"),"Починка")</f>
        <v>Починка</v>
      </c>
      <c r="F23" s="3" t="str">
        <f ca="1">IFERROR(__xludf.DUMMYFUNCTION("REGEXREPLACE(REGEXEXTRACT(H23, ""в\)\s*(.*?)\s*г\)""), ""^\s*"", """")"),"Небесная кара")</f>
        <v>Небесная кара</v>
      </c>
      <c r="G23" s="3" t="str">
        <f ca="1">IFERROR(__xludf.DUMMYFUNCTION("REGEXREPLACE(REGEXEXTRACT(H23, ""г\)\s*(.*)""), ""^\s*"", """")"),"Отдача")</f>
        <v>Отдача</v>
      </c>
      <c r="H23" s="4" t="s">
        <v>26</v>
      </c>
    </row>
    <row r="24" spans="1:8" ht="49.5">
      <c r="A24" s="3" t="str">
        <f ca="1">IFERROR(__xludf.DUMMYFUNCTION("REGEXEXTRACT(H24, ""\d+\.\s*(.*?)\s*а\)"")"),"Какое зачарование позволяет дышать под водой? ")</f>
        <v>Какое зачарование позволяет дышать под водой? </v>
      </c>
      <c r="B24" s="3">
        <v>1</v>
      </c>
      <c r="C24" s="6"/>
      <c r="D24" s="3" t="str">
        <f ca="1">IFERROR(__xludf.DUMMYFUNCTION("REGEXREPLACE(REGEXEXTRACT(H24, ""а\)\s*(.*?)\s*б\)""), ""^\s*"", """")"),"Подводное дыхание ")</f>
        <v>Подводное дыхание </v>
      </c>
      <c r="E24" s="3" t="str">
        <f ca="1">IFERROR(__xludf.DUMMYFUNCTION("REGEXREPLACE(REGEXEXTRACT(H24, ""б\)\s*(.*?)\s*в\)""), ""^\s*"", """")"),"Невесомость")</f>
        <v>Невесомость</v>
      </c>
      <c r="F24" s="3" t="str">
        <f ca="1">IFERROR(__xludf.DUMMYFUNCTION("REGEXREPLACE(REGEXEXTRACT(H24, ""в\)\s*(.*?)\s*г\)""), ""^\s*"", """")"),"Регенерация")</f>
        <v>Регенерация</v>
      </c>
      <c r="G24" s="3" t="str">
        <f ca="1">IFERROR(__xludf.DUMMYFUNCTION("REGEXREPLACE(REGEXEXTRACT(H24, ""г\)\s*(.*)""), ""^\s*"", """")"),"Отдача")</f>
        <v>Отдача</v>
      </c>
      <c r="H24" s="4" t="s">
        <v>27</v>
      </c>
    </row>
    <row r="25" spans="1:8" ht="66.75">
      <c r="A25" s="3" t="str">
        <f ca="1">IFERROR(__xludf.DUMMYFUNCTION("REGEXEXTRACT(H25, ""\d+\.\s*(.*?)\s*а\)"")"),"Какой ингредиент используется для приготовления зелья невидимости? ")</f>
        <v>Какой ингредиент используется для приготовления зелья невидимости? </v>
      </c>
      <c r="B25" s="3">
        <v>1</v>
      </c>
      <c r="C25" s="6"/>
      <c r="D25" s="3" t="str">
        <f ca="1">IFERROR(__xludf.DUMMYFUNCTION("REGEXREPLACE(REGEXEXTRACT(H25, ""а\)\s*(.*?)\s*б\)""), ""^\s*"", """")"),"Золотая морковь ")</f>
        <v>Золотая морковь </v>
      </c>
      <c r="E25" s="3" t="str">
        <f ca="1">IFERROR(__xludf.DUMMYFUNCTION("REGEXREPLACE(REGEXEXTRACT(H25, ""б\)\s*(.*?)\s*в\)""), ""^\s*"", """")"),"Слеза гаста")</f>
        <v>Слеза гаста</v>
      </c>
      <c r="F25" s="3" t="str">
        <f ca="1">IFERROR(__xludf.DUMMYFUNCTION("REGEXREPLACE(REGEXEXTRACT(H25, ""в\)\s*(.*?)\s*г\)""), ""^\s*"", """")"),"Адский нарост")</f>
        <v>Адский нарост</v>
      </c>
      <c r="G25" s="3" t="str">
        <f ca="1">IFERROR(__xludf.DUMMYFUNCTION("REGEXREPLACE(REGEXEXTRACT(H25, ""г\)\s*(.*)""), ""^\s*"", """")"),"Красная пыль")</f>
        <v>Красная пыль</v>
      </c>
      <c r="H25" s="4" t="s">
        <v>28</v>
      </c>
    </row>
    <row r="26" spans="1:8" ht="34.5">
      <c r="A26" s="3" t="str">
        <f ca="1">IFERROR(__xludf.DUMMYFUNCTION("REGEXEXTRACT(H26, ""\d+\.\s*(.*?)\s*а\)"")"),"Какой блок передает редстоун сигнал? ")</f>
        <v>Какой блок передает редстоун сигнал? </v>
      </c>
      <c r="B26" s="3">
        <v>1</v>
      </c>
      <c r="C26" s="6"/>
      <c r="D26" s="3" t="str">
        <f ca="1">IFERROR(__xludf.DUMMYFUNCTION("REGEXREPLACE(REGEXEXTRACT(H26, ""а\)\s*(.*?)\s*б\)""), ""^\s*"", """")"),"Рычаг ")</f>
        <v>Рычаг </v>
      </c>
      <c r="E26" s="3" t="str">
        <f ca="1">IFERROR(__xludf.DUMMYFUNCTION("REGEXREPLACE(REGEXEXTRACT(H26, ""б\)\s*(.*?)\s*в\)""), ""^\s*"", """")"),"Сундук")</f>
        <v>Сундук</v>
      </c>
      <c r="F26" s="3" t="str">
        <f ca="1">IFERROR(__xludf.DUMMYFUNCTION("REGEXREPLACE(REGEXEXTRACT(H26, ""в\)\s*(.*?)\s*г\)""), ""^\s*"", """")"),"Верстак")</f>
        <v>Верстак</v>
      </c>
      <c r="G26" s="3" t="str">
        <f ca="1">IFERROR(__xludf.DUMMYFUNCTION("REGEXREPLACE(REGEXEXTRACT(H26, ""г\)\s*(.*)""), ""^\s*"", """")"),"Печь")</f>
        <v>Печь</v>
      </c>
      <c r="H26" s="4" t="s">
        <v>29</v>
      </c>
    </row>
    <row r="27" spans="1:8" ht="49.5">
      <c r="A27" s="3" t="str">
        <f ca="1">IFERROR(__xludf.DUMMYFUNCTION("REGEXEXTRACT(H27, ""\d+\.\s*(.*?)\s*а\)"")"),"Какой блок используется для создания сложных механизмов? ")</f>
        <v>Какой блок используется для создания сложных механизмов? </v>
      </c>
      <c r="B27" s="3">
        <v>1</v>
      </c>
      <c r="C27" s="6"/>
      <c r="D27" s="3" t="str">
        <f ca="1">IFERROR(__xludf.DUMMYFUNCTION("REGEXREPLACE(REGEXEXTRACT(H27, ""а\)\s*(.*?)\s*б\)""), ""^\s*"", """")"),"Поршень ")</f>
        <v>Поршень </v>
      </c>
      <c r="E27" s="3" t="str">
        <f ca="1">IFERROR(__xludf.DUMMYFUNCTION("REGEXREPLACE(REGEXEXTRACT(H27, ""б\)\s*(.*?)\s*в\)""), ""^\s*"", """")"),"Дерево")</f>
        <v>Дерево</v>
      </c>
      <c r="F27" s="3" t="str">
        <f ca="1">IFERROR(__xludf.DUMMYFUNCTION("REGEXREPLACE(REGEXEXTRACT(H27, ""в\)\s*(.*?)\s*г\)""), ""^\s*"", """")"),"Камень")</f>
        <v>Камень</v>
      </c>
      <c r="G27" s="3" t="str">
        <f ca="1">IFERROR(__xludf.DUMMYFUNCTION("REGEXREPLACE(REGEXEXTRACT(H27, ""г\)\s*(.*)""), ""^\s*"", """")"),"Стекло")</f>
        <v>Стекло</v>
      </c>
      <c r="H27" s="4" t="s">
        <v>30</v>
      </c>
    </row>
    <row r="28" spans="1:8" ht="49.5">
      <c r="A28" s="3" t="str">
        <f ca="1">IFERROR(__xludf.DUMMYFUNCTION("REGEXEXTRACT(H28, ""\d+\.\s*(.*?)\s*а\)"")"),"Какой блок может передавать редстоун сигнал без проводов? ")</f>
        <v>Какой блок может передавать редстоун сигнал без проводов? </v>
      </c>
      <c r="B28" s="3">
        <v>1</v>
      </c>
      <c r="C28" s="6"/>
      <c r="D28" s="3" t="str">
        <f ca="1">IFERROR(__xludf.DUMMYFUNCTION("REGEXREPLACE(REGEXEXTRACT(H28, ""а\)\s*(.*?)\s*б\)""), ""^\s*"", """")"),"Наблюдатель ")</f>
        <v>Наблюдатель </v>
      </c>
      <c r="E28" s="3" t="str">
        <f ca="1">IFERROR(__xludf.DUMMYFUNCTION("REGEXREPLACE(REGEXEXTRACT(H28, ""б\)\s*(.*?)\s*в\)""), ""^\s*"", """")"),"Компаратор")</f>
        <v>Компаратор</v>
      </c>
      <c r="F28" s="3" t="str">
        <f ca="1">IFERROR(__xludf.DUMMYFUNCTION("REGEXREPLACE(REGEXEXTRACT(H28, ""в\)\s*(.*?)\s*г\)""), ""^\s*"", """")"),"Повторитель")</f>
        <v>Повторитель</v>
      </c>
      <c r="G28" s="3" t="str">
        <f ca="1">IFERROR(__xludf.DUMMYFUNCTION("REGEXREPLACE(REGEXEXTRACT(H28, ""г\)\s*(.*)""), ""^\s*"", """")"),"Поршень")</f>
        <v>Поршень</v>
      </c>
      <c r="H28" s="4" t="s">
        <v>31</v>
      </c>
    </row>
    <row r="29" spans="1:8" ht="49.5">
      <c r="A29" s="3" t="str">
        <f ca="1">IFERROR(__xludf.DUMMYFUNCTION("REGEXEXTRACT(H29, ""\d+\.\s*(.*?)\s*а\)"")"),"Какой предмет нужно использовать для создания брони? ")</f>
        <v>Какой предмет нужно использовать для создания брони? </v>
      </c>
      <c r="B29" s="3">
        <v>1</v>
      </c>
      <c r="C29" s="6"/>
      <c r="D29" s="3" t="str">
        <f ca="1">IFERROR(__xludf.DUMMYFUNCTION("REGEXREPLACE(REGEXEXTRACT(H29, ""а\)\s*(.*?)\s*б\)""), ""^\s*"", """")"),"Кожа ")</f>
        <v>Кожа </v>
      </c>
      <c r="E29" s="3" t="str">
        <f ca="1">IFERROR(__xludf.DUMMYFUNCTION("REGEXREPLACE(REGEXEXTRACT(H29, ""б\)\s*(.*?)\s*в\)""), ""^\s*"", """")"),"Земля")</f>
        <v>Земля</v>
      </c>
      <c r="F29" s="3" t="str">
        <f ca="1">IFERROR(__xludf.DUMMYFUNCTION("REGEXREPLACE(REGEXEXTRACT(H29, ""в\)\s*(.*?)\s*г\)""), ""^\s*"", """")"),"Камень")</f>
        <v>Камень</v>
      </c>
      <c r="G29" s="3" t="str">
        <f ca="1">IFERROR(__xludf.DUMMYFUNCTION("REGEXREPLACE(REGEXEXTRACT(H29, ""г\)\s*(.*)""), ""^\s*"", """")"),"Песок")</f>
        <v>Песок</v>
      </c>
      <c r="H29" s="4" t="s">
        <v>32</v>
      </c>
    </row>
    <row r="30" spans="1:8" ht="49.5">
      <c r="A30" s="3" t="str">
        <f ca="1">IFERROR(__xludf.DUMMYFUNCTION("REGEXEXTRACT(H30, ""\d+\.\s*(.*?)\s*а\)"")"),"Какой предмет позволяет быстро перемещаться по рельсам? ")</f>
        <v>Какой предмет позволяет быстро перемещаться по рельсам? </v>
      </c>
      <c r="B30" s="3">
        <v>1</v>
      </c>
      <c r="C30" s="6"/>
      <c r="D30" s="3" t="str">
        <f ca="1">IFERROR(__xludf.DUMMYFUNCTION("REGEXREPLACE(REGEXEXTRACT(H30, ""а\)\s*(.*?)\s*б\)""), ""^\s*"", """")"),"Вагонетка ")</f>
        <v>Вагонетка </v>
      </c>
      <c r="E30" s="3" t="str">
        <f ca="1">IFERROR(__xludf.DUMMYFUNCTION("REGEXREPLACE(REGEXEXTRACT(H30, ""б\)\s*(.*?)\s*в\)""), ""^\s*"", """")"),"Лодка")</f>
        <v>Лодка</v>
      </c>
      <c r="F30" s="3" t="str">
        <f ca="1">IFERROR(__xludf.DUMMYFUNCTION("REGEXREPLACE(REGEXEXTRACT(H30, ""в\)\s*(.*?)\s*г\)""), ""^\s*"", """")"),"Весло")</f>
        <v>Весло</v>
      </c>
      <c r="G30" s="3" t="str">
        <f ca="1">IFERROR(__xludf.DUMMYFUNCTION("REGEXREPLACE(REGEXEXTRACT(H30, ""г\)\s*(.*)""), ""^\s*"", """")"),"Лопата")</f>
        <v>Лопата</v>
      </c>
      <c r="H30" s="4" t="s">
        <v>33</v>
      </c>
    </row>
    <row r="31" spans="1:8" ht="34.5">
      <c r="A31" s="3" t="str">
        <f ca="1">IFERROR(__xludf.DUMMYFUNCTION("REGEXEXTRACT(H31, ""\d+\.\s*(.*?)\s*а\)"")"),"Какой блок нужен для создания зелья? ")</f>
        <v>Какой блок нужен для создания зелья? </v>
      </c>
      <c r="B31" s="3">
        <v>1</v>
      </c>
      <c r="C31" s="6"/>
      <c r="D31" s="3" t="str">
        <f ca="1">IFERROR(__xludf.DUMMYFUNCTION("REGEXREPLACE(REGEXEXTRACT(H31, ""а\)\s*(.*?)\s*б\)""), ""^\s*"", """")"),"Варочная стойка ")</f>
        <v>Варочная стойка </v>
      </c>
      <c r="E31" s="3" t="str">
        <f ca="1">IFERROR(__xludf.DUMMYFUNCTION("REGEXREPLACE(REGEXEXTRACT(H31, ""б\)\s*(.*?)\s*в\)""), ""^\s*"", """")"),"Верстак")</f>
        <v>Верстак</v>
      </c>
      <c r="F31" s="3" t="str">
        <f ca="1">IFERROR(__xludf.DUMMYFUNCTION("REGEXREPLACE(REGEXEXTRACT(H31, ""в\)\s*(.*?)\s*г\)""), ""^\s*"", """")"),"Печь")</f>
        <v>Печь</v>
      </c>
      <c r="G31" s="3" t="str">
        <f ca="1">IFERROR(__xludf.DUMMYFUNCTION("REGEXREPLACE(REGEXEXTRACT(H31, ""г\)\s*(.*)""), ""^\s*"", """")"),"Сундук")</f>
        <v>Сундук</v>
      </c>
      <c r="H31" s="4" t="s">
        <v>34</v>
      </c>
    </row>
    <row r="32" spans="1:8" ht="49.5">
      <c r="A32" s="3" t="str">
        <f ca="1">IFERROR(__xludf.DUMMYFUNCTION("REGEXEXTRACT(H32, ""\d+\.\s*(.*?)\s*а\)"")"),"Какой блок нужен для хранения предметов? ")</f>
        <v>Какой блок нужен для хранения предметов? </v>
      </c>
      <c r="B32" s="3">
        <v>1</v>
      </c>
      <c r="C32" s="6"/>
      <c r="D32" s="3" t="str">
        <f ca="1">IFERROR(__xludf.DUMMYFUNCTION("REGEXREPLACE(REGEXEXTRACT(H32, ""а\)\s*(.*?)\s*б\)""), ""^\s*"", """")"),"Сундук ")</f>
        <v>Сундук </v>
      </c>
      <c r="E32" s="3" t="str">
        <f ca="1">IFERROR(__xludf.DUMMYFUNCTION("REGEXREPLACE(REGEXEXTRACT(H32, ""б\)\s*(.*?)\s*в\)""), ""^\s*"", """")"),"Верстак")</f>
        <v>Верстак</v>
      </c>
      <c r="F32" s="3" t="str">
        <f ca="1">IFERROR(__xludf.DUMMYFUNCTION("REGEXREPLACE(REGEXEXTRACT(H32, ""в\)\s*(.*?)\s*г\)""), ""^\s*"", """")"),"Печь")</f>
        <v>Печь</v>
      </c>
      <c r="G32" s="3" t="str">
        <f ca="1">IFERROR(__xludf.DUMMYFUNCTION("REGEXREPLACE(REGEXEXTRACT(H32, ""г\)\s*(.*)""), ""^\s*"", """")"),"Камень")</f>
        <v>Камень</v>
      </c>
      <c r="H32" s="4" t="s">
        <v>35</v>
      </c>
    </row>
    <row r="33" spans="1:8" ht="49.5">
      <c r="A33" s="3" t="str">
        <f ca="1">IFERROR(__xludf.DUMMYFUNCTION("REGEXEXTRACT(H33, ""\d+\.\s*(.*?)\s*а\)"")"),"Какой предмет используется для зачарования? ")</f>
        <v>Какой предмет используется для зачарования? </v>
      </c>
      <c r="B33" s="3">
        <v>1</v>
      </c>
      <c r="C33" s="6"/>
      <c r="D33" s="3" t="str">
        <f ca="1">IFERROR(__xludf.DUMMYFUNCTION("REGEXREPLACE(REGEXEXTRACT(H33, ""а\)\s*(.*?)\s*б\)""), ""^\s*"", """")"),"Зачаровальный стол ")</f>
        <v>Зачаровальный стол </v>
      </c>
      <c r="E33" s="3" t="str">
        <f ca="1">IFERROR(__xludf.DUMMYFUNCTION("REGEXREPLACE(REGEXEXTRACT(H33, ""б\)\s*(.*?)\s*в\)""), ""^\s*"", """")"),"Печь")</f>
        <v>Печь</v>
      </c>
      <c r="F33" s="3" t="str">
        <f ca="1">IFERROR(__xludf.DUMMYFUNCTION("REGEXREPLACE(REGEXEXTRACT(H33, ""в\)\s*(.*?)\s*г\)""), ""^\s*"", """")"),"Верстак")</f>
        <v>Верстак</v>
      </c>
      <c r="G33" s="3" t="str">
        <f ca="1">IFERROR(__xludf.DUMMYFUNCTION("REGEXREPLACE(REGEXEXTRACT(H33, ""г\)\s*(.*)""), ""^\s*"", """")"),"Сундук")</f>
        <v>Сундук</v>
      </c>
      <c r="H33" s="4" t="s">
        <v>36</v>
      </c>
    </row>
    <row r="34" spans="1:8" ht="49.5">
      <c r="A34" s="3" t="str">
        <f ca="1">IFERROR(__xludf.DUMMYFUNCTION("REGEXEXTRACT(H34, ""\d+\.\s*(.*?)\s*а\)"")"),"Какое достижение дается за вход в Нижний мир? ")</f>
        <v>Какое достижение дается за вход в Нижний мир? </v>
      </c>
      <c r="B34" s="3">
        <v>1</v>
      </c>
      <c r="C34" s="6"/>
      <c r="D34" s="3" t="str">
        <f ca="1">IFERROR(__xludf.DUMMYFUNCTION("REGEXREPLACE(REGEXEXTRACT(H34, ""а\)\s*(.*?)\s*б\)""), ""^\s*"", """")"),"“Огненные недра” ")</f>
        <v>“Огненные недра” </v>
      </c>
      <c r="E34" s="3" t="str">
        <f ca="1">IFERROR(__xludf.DUMMYFUNCTION("REGEXREPLACE(REGEXEXTRACT(H34, ""б\)\s*(.*?)\s*в\)""), ""^\s*"", """")"),"“На дно”")</f>
        <v>“На дно”</v>
      </c>
      <c r="F34" s="3" t="str">
        <f ca="1">IFERROR(__xludf.DUMMYFUNCTION("REGEXREPLACE(REGEXEXTRACT(H34, ""в\)\s*(.*?)\s*г\)""), ""^\s*"", """")"),"“Свободное падение”")</f>
        <v>“Свободное падение”</v>
      </c>
      <c r="G34" s="3" t="str">
        <f ca="1">IFERROR(__xludf.DUMMYFUNCTION("REGEXREPLACE(REGEXEXTRACT(H34, ""г\)\s*(.*)""), ""^\s*"", """")"),"“Начать гонку”")</f>
        <v>“Начать гонку”</v>
      </c>
      <c r="H34" s="4" t="s">
        <v>37</v>
      </c>
    </row>
    <row r="35" spans="1:8" ht="49.5">
      <c r="A35" s="3" t="str">
        <f ca="1">IFERROR(__xludf.DUMMYFUNCTION("REGEXEXTRACT(H35, ""\d+\.\s*(.*?)\s*а\)"")"),"Какое достижение дается за попадание в Край? ")</f>
        <v>Какое достижение дается за попадание в Край? </v>
      </c>
      <c r="B35" s="3">
        <v>1</v>
      </c>
      <c r="C35" s="7"/>
      <c r="D35" s="3" t="str">
        <f ca="1">IFERROR(__xludf.DUMMYFUNCTION("REGEXREPLACE(REGEXEXTRACT(H35, ""а\)\s*(.*?)\s*б\)""), ""^\s*"", """")"),"“Конец?” ")</f>
        <v>“Конец?” </v>
      </c>
      <c r="E35" s="3" t="str">
        <f ca="1">IFERROR(__xludf.DUMMYFUNCTION("REGEXREPLACE(REGEXEXTRACT(H35, ""б\)\s*(.*?)\s*в\)""), ""^\s*"", """")"),"“Выйти за рамки”")</f>
        <v>“Выйти за рамки”</v>
      </c>
      <c r="F35" s="3" t="str">
        <f ca="1">IFERROR(__xludf.DUMMYFUNCTION("REGEXREPLACE(REGEXEXTRACT(H35, ""в\)\s*(.*?)\s*г\)""), ""^\s*"", """")"),"“Начать гонку”")</f>
        <v>“Начать гонку”</v>
      </c>
      <c r="G35" s="3" t="str">
        <f ca="1">IFERROR(__xludf.DUMMYFUNCTION("REGEXREPLACE(REGEXEXTRACT(H35, ""г\)\s*(.*)""), ""^\s*"", """")"),"“Дикий”")</f>
        <v>“Дикий”</v>
      </c>
      <c r="H35" s="4" t="s">
        <v>38</v>
      </c>
    </row>
    <row r="36" spans="1:8" ht="66.75">
      <c r="A36" s="3" t="str">
        <f ca="1">IFERROR(__xludf.DUMMYFUNCTION("REGEXEXTRACT(H36, ""\d+\.\s*(.*?)\s*а\)"")"),"Какое достижение дается за создание алмазной брони? ")</f>
        <v>Какое достижение дается за создание алмазной брони? </v>
      </c>
      <c r="B36" s="3">
        <v>1</v>
      </c>
      <c r="C36" s="7"/>
      <c r="D36" s="3" t="str">
        <f ca="1">IFERROR(__xludf.DUMMYFUNCTION("REGEXREPLACE(REGEXEXTRACT(H36, ""а\)\s*(.*?)\s*б\)""), ""^\s*"", """")"),"“Осыпь меня алмазами” ")</f>
        <v>“Осыпь меня алмазами” </v>
      </c>
      <c r="E36" s="3" t="str">
        <f ca="1">IFERROR(__xludf.DUMMYFUNCTION("REGEXREPLACE(REGEXEXTRACT(H36, ""б\)\s*(.*?)\s*в\)""), ""^\s*"", """")"),"“Отправиться на войну”")</f>
        <v>“Отправиться на войну”</v>
      </c>
      <c r="F36" s="3" t="str">
        <f ca="1">IFERROR(__xludf.DUMMYFUNCTION("REGEXREPLACE(REGEXEXTRACT(H36, ""в\)\s*(.*?)\s*г\)""), ""^\s*"", """")"),"“Мы богачи”")</f>
        <v>“Мы богачи”</v>
      </c>
      <c r="G36" s="3" t="str">
        <f ca="1">IFERROR(__xludf.DUMMYFUNCTION("REGEXREPLACE(REGEXEXTRACT(H36, ""г\)\s*(.*)""), ""^\s*"", """")"),"“Железный человек”")</f>
        <v>“Железный человек”</v>
      </c>
      <c r="H36" s="4" t="s">
        <v>39</v>
      </c>
    </row>
    <row r="37" spans="1:8" ht="49.5">
      <c r="A37" s="3" t="str">
        <f ca="1">IFERROR(__xludf.DUMMYFUNCTION("REGEXEXTRACT(H37, ""\d+\.\s*(.*?)\s*а\)"")"),"Как называется моб, который охраняет сокровищницу в лесном особняке? ")</f>
        <v>Как называется моб, который охраняет сокровищницу в лесном особняке? </v>
      </c>
      <c r="B37" s="3">
        <v>1</v>
      </c>
      <c r="C37" s="7"/>
      <c r="D37" s="3" t="str">
        <f ca="1">IFERROR(__xludf.DUMMYFUNCTION("REGEXREPLACE(REGEXEXTRACT(H37, ""а\)\s*(.*?)\s*б\)""), ""^\s*"", """")"),"Разоритель ")</f>
        <v>Разоритель </v>
      </c>
      <c r="E37" s="3" t="str">
        <f ca="1">IFERROR(__xludf.DUMMYFUNCTION("REGEXREPLACE(REGEXEXTRACT(H37, ""б\)\s*(.*?)\s*в\)""), ""^\s*"", """")"),"Страж")</f>
        <v>Страж</v>
      </c>
      <c r="F37" s="3" t="str">
        <f ca="1">IFERROR(__xludf.DUMMYFUNCTION("REGEXREPLACE(REGEXEXTRACT(H37, ""в\)\s*(.*?)\s*г\)""), ""^\s*"", """")"),"Эндермен")</f>
        <v>Эндермен</v>
      </c>
      <c r="G37" s="3" t="str">
        <f ca="1">IFERROR(__xludf.DUMMYFUNCTION("REGEXREPLACE(REGEXEXTRACT(H37, ""г\)\s*(.*)""), ""^\s*"", """")"),"Гаст")</f>
        <v>Гаст</v>
      </c>
      <c r="H37" s="4" t="s">
        <v>40</v>
      </c>
    </row>
    <row r="38" spans="1:8" ht="49.5">
      <c r="A38" s="3" t="str">
        <f ca="1">IFERROR(__xludf.DUMMYFUNCTION("REGEXEXTRACT(H38, ""\d+\.\s*(.*?)\s*а\)"")"),"Какой предмет нужен для призыва Иссушителя? ")</f>
        <v>Какой предмет нужен для призыва Иссушителя? </v>
      </c>
      <c r="B38" s="3">
        <v>1</v>
      </c>
      <c r="C38" s="7"/>
      <c r="D38" s="3" t="str">
        <f ca="1">IFERROR(__xludf.DUMMYFUNCTION("REGEXREPLACE(REGEXEXTRACT(H38, ""а\)\s*(.*?)\s*б\)""), ""^\s*"", """")"),"Песок душ ")</f>
        <v>Песок душ </v>
      </c>
      <c r="E38" s="3" t="str">
        <f ca="1">IFERROR(__xludf.DUMMYFUNCTION("REGEXREPLACE(REGEXEXTRACT(H38, ""б\)\s*(.*?)\s*в\)""), ""^\s*"", """")"),"Алмазный блок")</f>
        <v>Алмазный блок</v>
      </c>
      <c r="F38" s="3" t="str">
        <f ca="1">IFERROR(__xludf.DUMMYFUNCTION("REGEXREPLACE(REGEXEXTRACT(H38, ""в\)\s*(.*?)\s*г\)""), ""^\s*"", """")"),"Железный слиток")</f>
        <v>Железный слиток</v>
      </c>
      <c r="G38" s="3" t="str">
        <f ca="1">IFERROR(__xludf.DUMMYFUNCTION("REGEXREPLACE(REGEXEXTRACT(H38, ""г\)\s*(.*)""), ""^\s*"", """")"),"Золотой слиток")</f>
        <v>Золотой слиток</v>
      </c>
      <c r="H38" s="4" t="s">
        <v>41</v>
      </c>
    </row>
    <row r="39" spans="1:8" ht="49.5">
      <c r="A39" s="3" t="str">
        <f ca="1">IFERROR(__xludf.DUMMYFUNCTION("REGEXEXTRACT(H39, ""\d+\.\s*(.*?)\s*а\)"")"),"Какой моб может телепортироваться и красть блоки? ")</f>
        <v>Какой моб может телепортироваться и красть блоки? </v>
      </c>
      <c r="B39" s="3">
        <v>1</v>
      </c>
      <c r="C39" s="7"/>
      <c r="D39" s="3" t="str">
        <f ca="1">IFERROR(__xludf.DUMMYFUNCTION("REGEXREPLACE(REGEXEXTRACT(H39, ""а\)\s*(.*?)\s*б\)""), ""^\s*"", """")"),"Эндермен ")</f>
        <v>Эндермен </v>
      </c>
      <c r="E39" s="3" t="str">
        <f ca="1">IFERROR(__xludf.DUMMYFUNCTION("REGEXREPLACE(REGEXEXTRACT(H39, ""б\)\s*(.*?)\s*в\)""), ""^\s*"", """")"),"Зомби")</f>
        <v>Зомби</v>
      </c>
      <c r="F39" s="3" t="str">
        <f ca="1">IFERROR(__xludf.DUMMYFUNCTION("REGEXREPLACE(REGEXEXTRACT(H39, ""в\)\s*(.*?)\s*г\)""), ""^\s*"", """")"),"Крипер")</f>
        <v>Крипер</v>
      </c>
      <c r="G39" s="3" t="str">
        <f ca="1">IFERROR(__xludf.DUMMYFUNCTION("REGEXREPLACE(REGEXEXTRACT(H39, ""г\)\s*(.*)""), ""^\s*"", """")"),"Скелет")</f>
        <v>Скелет</v>
      </c>
      <c r="H39" s="4" t="s">
        <v>42</v>
      </c>
    </row>
    <row r="40" spans="1:8" ht="49.5">
      <c r="A40" s="3" t="str">
        <f ca="1">IFERROR(__xludf.DUMMYFUNCTION("REGEXEXTRACT(H40, ""\d+\.\s*(.*?)\s*а\)"")"),"Какой моб является боссом океанического монумента? ")</f>
        <v>Какой моб является боссом океанического монумента? </v>
      </c>
      <c r="B40" s="3">
        <v>1</v>
      </c>
      <c r="C40" s="7"/>
      <c r="D40" s="3" t="str">
        <f ca="1">IFERROR(__xludf.DUMMYFUNCTION("REGEXREPLACE(REGEXEXTRACT(H40, ""а\)\s*(.*?)\s*б\)""), ""^\s*"", """")"),"Древний страж ")</f>
        <v>Древний страж </v>
      </c>
      <c r="E40" s="3" t="str">
        <f ca="1">IFERROR(__xludf.DUMMYFUNCTION("REGEXREPLACE(REGEXEXTRACT(H40, ""б\)\s*(.*?)\s*в\)""), ""^\s*"", """")"),"Страж")</f>
        <v>Страж</v>
      </c>
      <c r="F40" s="3" t="str">
        <f ca="1">IFERROR(__xludf.DUMMYFUNCTION("REGEXREPLACE(REGEXEXTRACT(H40, ""в\)\s*(.*?)\s*г\)""), ""^\s*"", """")"),"Утопленник")</f>
        <v>Утопленник</v>
      </c>
      <c r="G40" s="3" t="str">
        <f ca="1">IFERROR(__xludf.DUMMYFUNCTION("REGEXREPLACE(REGEXEXTRACT(H40, ""г\)\s*(.*)""), ""^\s*"", """")"),"Гаст")</f>
        <v>Гаст</v>
      </c>
      <c r="H40" s="4" t="s">
        <v>43</v>
      </c>
    </row>
    <row r="41" spans="1:8" ht="49.5">
      <c r="A41" s="3" t="str">
        <f ca="1">IFERROR(__xludf.DUMMYFUNCTION("REGEXEXTRACT(H41, ""\d+\.\s*(.*?)\s*а\)"")"),"Какой моб является враждебной версией жителя деревни? ")</f>
        <v>Какой моб является враждебной версией жителя деревни? </v>
      </c>
      <c r="B41" s="3">
        <v>1</v>
      </c>
      <c r="C41" s="7"/>
      <c r="D41" s="3" t="str">
        <f ca="1">IFERROR(__xludf.DUMMYFUNCTION("REGEXREPLACE(REGEXEXTRACT(H41, ""а\)\s*(.*?)\s*б\)""), ""^\s*"", """")"),"Разбойник ")</f>
        <v>Разбойник </v>
      </c>
      <c r="E41" s="3" t="str">
        <f ca="1">IFERROR(__xludf.DUMMYFUNCTION("REGEXREPLACE(REGEXEXTRACT(H41, ""б\)\s*(.*?)\s*в\)""), ""^\s*"", """")"),"Зомби")</f>
        <v>Зомби</v>
      </c>
      <c r="F41" s="3" t="str">
        <f ca="1">IFERROR(__xludf.DUMMYFUNCTION("REGEXREPLACE(REGEXEXTRACT(H41, ""в\)\s*(.*?)\s*г\)""), ""^\s*"", """")"),"Скелет")</f>
        <v>Скелет</v>
      </c>
      <c r="G41" s="3" t="str">
        <f ca="1">IFERROR(__xludf.DUMMYFUNCTION("REGEXREPLACE(REGEXEXTRACT(H41, ""г\)\s*(.*)""), ""^\s*"", """")"),"Крипер")</f>
        <v>Крипер</v>
      </c>
      <c r="H41" s="4" t="s">
        <v>44</v>
      </c>
    </row>
    <row r="42" spans="1:8" ht="49.5">
      <c r="A42" s="3" t="str">
        <f ca="1">IFERROR(__xludf.DUMMYFUNCTION("REGEXEXTRACT(H42, ""\d+\.\s*(.*?)\s*а\)"")"),"Какой инструмент используется для копания земли и песка? ")</f>
        <v>Какой инструмент используется для копания земли и песка? </v>
      </c>
      <c r="B42" s="3">
        <v>1</v>
      </c>
      <c r="C42" s="7"/>
      <c r="D42" s="3" t="str">
        <f ca="1">IFERROR(__xludf.DUMMYFUNCTION("REGEXREPLACE(REGEXEXTRACT(H42, ""а\)\s*(.*?)\s*б\)""), ""^\s*"", """")"),"Лопата ")</f>
        <v>Лопата </v>
      </c>
      <c r="E42" s="3" t="str">
        <f ca="1">IFERROR(__xludf.DUMMYFUNCTION("REGEXREPLACE(REGEXEXTRACT(H42, ""б\)\s*(.*?)\s*в\)""), ""^\s*"", """")"),"Кирка")</f>
        <v>Кирка</v>
      </c>
      <c r="F42" s="3" t="str">
        <f ca="1">IFERROR(__xludf.DUMMYFUNCTION("REGEXREPLACE(REGEXEXTRACT(H42, ""в\)\s*(.*?)\s*г\)""), ""^\s*"", """")"),"Топор")</f>
        <v>Топор</v>
      </c>
      <c r="G42" s="3" t="str">
        <f ca="1">IFERROR(__xludf.DUMMYFUNCTION("REGEXREPLACE(REGEXEXTRACT(H42, ""г\)\s*(.*)""), ""^\s*"", """")"),"Мотыга")</f>
        <v>Мотыга</v>
      </c>
      <c r="H42" s="4" t="s">
        <v>45</v>
      </c>
    </row>
    <row r="43" spans="1:8" ht="32.25">
      <c r="A43" s="3" t="str">
        <f ca="1">IFERROR(__xludf.DUMMYFUNCTION("REGEXEXTRACT(H43, ""\d+\.\s*(.*?)\s*а\)"")"),"Какой инструмент используется для рубки дерева? ")</f>
        <v>Какой инструмент используется для рубки дерева? </v>
      </c>
      <c r="B43" s="3">
        <v>1</v>
      </c>
      <c r="C43" s="7"/>
      <c r="D43" s="3" t="str">
        <f ca="1">IFERROR(__xludf.DUMMYFUNCTION("REGEXREPLACE(REGEXEXTRACT(H43, ""а\)\s*(.*?)\s*б\)""), ""^\s*"", """")"),"Топор ")</f>
        <v>Топор </v>
      </c>
      <c r="E43" s="3" t="str">
        <f ca="1">IFERROR(__xludf.DUMMYFUNCTION("REGEXREPLACE(REGEXEXTRACT(H43, ""б\)\s*(.*?)\s*в\)""), ""^\s*"", """")"),"Кирка")</f>
        <v>Кирка</v>
      </c>
      <c r="F43" s="3" t="str">
        <f ca="1">IFERROR(__xludf.DUMMYFUNCTION("REGEXREPLACE(REGEXEXTRACT(H43, ""в\)\s*(.*?)\s*г\)""), ""^\s*"", """")"),"Лопата")</f>
        <v>Лопата</v>
      </c>
      <c r="G43" s="3" t="str">
        <f ca="1">IFERROR(__xludf.DUMMYFUNCTION("REGEXREPLACE(REGEXEXTRACT(H43, ""г\)\s*(.*)""), ""^\s*"", """")"),"Мотыга")</f>
        <v>Мотыга</v>
      </c>
      <c r="H43" s="4" t="s">
        <v>46</v>
      </c>
    </row>
    <row r="44" spans="1:8" ht="32.25">
      <c r="A44" s="3" t="str">
        <f ca="1">IFERROR(__xludf.DUMMYFUNCTION("REGEXEXTRACT(H44, ""\d+\.\s*(.*?)\s*а\)"")"),"Какой предмет используется для создания стрел? ")</f>
        <v>Какой предмет используется для создания стрел? </v>
      </c>
      <c r="B44" s="3">
        <v>1</v>
      </c>
      <c r="C44" s="7"/>
      <c r="D44" s="3" t="str">
        <f ca="1">IFERROR(__xludf.DUMMYFUNCTION("REGEXREPLACE(REGEXEXTRACT(H44, ""а\)\s*(.*?)\s*б\)""), ""^\s*"", """")"),"Кремний ")</f>
        <v>Кремний </v>
      </c>
      <c r="E44" s="3" t="str">
        <f ca="1">IFERROR(__xludf.DUMMYFUNCTION("REGEXREPLACE(REGEXEXTRACT(H44, ""б\)\s*(.*?)\s*в\)""), ""^\s*"", """")"),"Уголь")</f>
        <v>Уголь</v>
      </c>
      <c r="F44" s="3" t="str">
        <f ca="1">IFERROR(__xludf.DUMMYFUNCTION("REGEXREPLACE(REGEXEXTRACT(H44, ""в\)\s*(.*?)\s*г\)""), ""^\s*"", """")"),"Железо")</f>
        <v>Железо</v>
      </c>
      <c r="G44" s="3" t="str">
        <f ca="1">IFERROR(__xludf.DUMMYFUNCTION("REGEXREPLACE(REGEXEXTRACT(H44, ""г\)\s*(.*)""), ""^\s*"", """")"),"Золото")</f>
        <v>Золото</v>
      </c>
      <c r="H44" s="4" t="s">
        <v>47</v>
      </c>
    </row>
    <row r="45" spans="1:8" ht="32.25">
      <c r="A45" s="3" t="str">
        <f ca="1">IFERROR(__xludf.DUMMYFUNCTION("REGEXEXTRACT(H45, ""\d+\.\s*(.*?)\s*а\)"")"),"Какой предмет используется для стрельбы стрелами? ")</f>
        <v>Какой предмет используется для стрельбы стрелами? </v>
      </c>
      <c r="B45" s="3">
        <v>1</v>
      </c>
      <c r="C45" s="7"/>
      <c r="D45" s="3" t="str">
        <f ca="1">IFERROR(__xludf.DUMMYFUNCTION("REGEXREPLACE(REGEXEXTRACT(H45, ""а\)\s*(.*?)\s*б\)""), ""^\s*"", """")"),"Лук ")</f>
        <v>Лук </v>
      </c>
      <c r="E45" s="3" t="str">
        <f ca="1">IFERROR(__xludf.DUMMYFUNCTION("REGEXREPLACE(REGEXEXTRACT(H45, ""б\)\s*(.*?)\s*в\)""), ""^\s*"", """")"),"Меч")</f>
        <v>Меч</v>
      </c>
      <c r="F45" s="3" t="str">
        <f ca="1">IFERROR(__xludf.DUMMYFUNCTION("REGEXREPLACE(REGEXEXTRACT(H45, ""в\)\s*(.*?)\s*г\)""), ""^\s*"", """")"),"Топор")</f>
        <v>Топор</v>
      </c>
      <c r="G45" s="3" t="str">
        <f ca="1">IFERROR(__xludf.DUMMYFUNCTION("REGEXREPLACE(REGEXEXTRACT(H45, ""г\)\s*(.*)""), ""^\s*"", """")"),"Мотыга")</f>
        <v>Мотыга</v>
      </c>
      <c r="H45" s="4" t="s">
        <v>48</v>
      </c>
    </row>
    <row r="46" spans="1:8" ht="49.5">
      <c r="A46" s="3" t="str">
        <f ca="1">IFERROR(__xludf.DUMMYFUNCTION("REGEXEXTRACT(H46, ""\d+\.\s*(.*?)\s*а\)"")"),"Какой блок можно использовать для создания света? ")</f>
        <v>Какой блок можно использовать для создания света? </v>
      </c>
      <c r="B46" s="3">
        <v>1</v>
      </c>
      <c r="C46" s="7"/>
      <c r="D46" s="3" t="str">
        <f ca="1">IFERROR(__xludf.DUMMYFUNCTION("REGEXREPLACE(REGEXEXTRACT(H46, ""а\)\s*(.*?)\s*б\)""), ""^\s*"", """")"),"Факел ")</f>
        <v>Факел </v>
      </c>
      <c r="E46" s="3" t="str">
        <f ca="1">IFERROR(__xludf.DUMMYFUNCTION("REGEXREPLACE(REGEXEXTRACT(H46, ""б\)\s*(.*?)\s*в\)""), ""^\s*"", """")"),"Земля")</f>
        <v>Земля</v>
      </c>
      <c r="F46" s="3" t="str">
        <f ca="1">IFERROR(__xludf.DUMMYFUNCTION("REGEXREPLACE(REGEXEXTRACT(H46, ""в\)\s*(.*?)\s*г\)""), ""^\s*"", """")"),"Камень")</f>
        <v>Камень</v>
      </c>
      <c r="G46" s="3" t="str">
        <f ca="1">IFERROR(__xludf.DUMMYFUNCTION("REGEXREPLACE(REGEXEXTRACT(H46, ""г\)\s*(.*)""), ""^\s*"", """")"),"Песок")</f>
        <v>Песок</v>
      </c>
      <c r="H46" s="4" t="s">
        <v>49</v>
      </c>
    </row>
    <row r="47" spans="1:8" ht="32.25">
      <c r="A47" s="3" t="str">
        <f ca="1">IFERROR(__xludf.DUMMYFUNCTION("REGEXEXTRACT(H47, ""\d+\.\s*(.*?)\s*а\)"")"),"Какой блок используется для плавки руды? ")</f>
        <v>Какой блок используется для плавки руды? </v>
      </c>
      <c r="B47" s="3">
        <v>1</v>
      </c>
      <c r="C47" s="7"/>
      <c r="D47" s="3" t="str">
        <f ca="1">IFERROR(__xludf.DUMMYFUNCTION("REGEXREPLACE(REGEXEXTRACT(H47, ""а\)\s*(.*?)\s*б\)""), ""^\s*"", """")"),"Печь ")</f>
        <v>Печь </v>
      </c>
      <c r="E47" s="3" t="str">
        <f ca="1">IFERROR(__xludf.DUMMYFUNCTION("REGEXREPLACE(REGEXEXTRACT(H47, ""б\)\s*(.*?)\s*в\)""), ""^\s*"", """")"),"Верстак")</f>
        <v>Верстак</v>
      </c>
      <c r="F47" s="3" t="str">
        <f ca="1">IFERROR(__xludf.DUMMYFUNCTION("REGEXREPLACE(REGEXEXTRACT(H47, ""в\)\s*(.*?)\s*г\)""), ""^\s*"", """")"),"Сундук")</f>
        <v>Сундук</v>
      </c>
      <c r="G47" s="3" t="str">
        <f ca="1">IFERROR(__xludf.DUMMYFUNCTION("REGEXREPLACE(REGEXEXTRACT(H47, ""г\)\s*(.*)""), ""^\s*"", """")"),"Камень")</f>
        <v>Камень</v>
      </c>
      <c r="H47" s="4" t="s">
        <v>50</v>
      </c>
    </row>
    <row r="48" spans="1:8" ht="49.5">
      <c r="A48" s="3" t="str">
        <f ca="1">IFERROR(__xludf.DUMMYFUNCTION("REGEXEXTRACT(H48, ""\d+\.\s*(.*?)\s*а\)"")"),"Какой блок используется для создания водяных лифтов? ")</f>
        <v>Какой блок используется для создания водяных лифтов? </v>
      </c>
      <c r="B48" s="3">
        <v>1</v>
      </c>
      <c r="C48" s="7"/>
      <c r="D48" s="3" t="str">
        <f ca="1">IFERROR(__xludf.DUMMYFUNCTION("REGEXREPLACE(REGEXEXTRACT(H48, ""а\)\s*(.*?)\s*б\)""), ""^\s*"", """")"),"Песок душ ")</f>
        <v>Песок душ </v>
      </c>
      <c r="E48" s="3" t="str">
        <f ca="1">IFERROR(__xludf.DUMMYFUNCTION("REGEXREPLACE(REGEXEXTRACT(H48, ""б\)\s*(.*?)\s*в\)""), ""^\s*"", """")"),"Факел")</f>
        <v>Факел</v>
      </c>
      <c r="F48" s="3" t="str">
        <f ca="1">IFERROR(__xludf.DUMMYFUNCTION("REGEXREPLACE(REGEXEXTRACT(H48, ""в\)\s*(.*?)\s*г\)""), ""^\s*"", """")"),"Камень")</f>
        <v>Камень</v>
      </c>
      <c r="G48" s="3" t="str">
        <f ca="1">IFERROR(__xludf.DUMMYFUNCTION("REGEXREPLACE(REGEXEXTRACT(H48, ""г\)\s*(.*)""), ""^\s*"", """")"),"Земля")</f>
        <v>Земля</v>
      </c>
      <c r="H48" s="4" t="s">
        <v>51</v>
      </c>
    </row>
    <row r="49" spans="1:8" ht="49.5">
      <c r="A49" s="3" t="str">
        <f ca="1">IFERROR(__xludf.DUMMYFUNCTION("REGEXEXTRACT(H49, ""\d+\.\s*(.*?)\s*а\)"")"),"Как называется мир, который является “адом” в Minecraft? ")</f>
        <v>Как называется мир, который является “адом” в Minecraft? </v>
      </c>
      <c r="B49" s="3">
        <v>1</v>
      </c>
      <c r="C49" s="7"/>
      <c r="D49" s="3" t="str">
        <f ca="1">IFERROR(__xludf.DUMMYFUNCTION("REGEXREPLACE(REGEXEXTRACT(H49, ""а\)\s*(.*?)\s*б\)""), ""^\s*"", """")"),"Нижний мир ")</f>
        <v>Нижний мир </v>
      </c>
      <c r="E49" s="3" t="str">
        <f ca="1">IFERROR(__xludf.DUMMYFUNCTION("REGEXREPLACE(REGEXEXTRACT(H49, ""б\)\s*(.*?)\s*в\)""), ""^\s*"", """")"),"Край")</f>
        <v>Край</v>
      </c>
      <c r="F49" s="3" t="str">
        <f ca="1">IFERROR(__xludf.DUMMYFUNCTION("REGEXREPLACE(REGEXEXTRACT(H49, ""в\)\s*(.*?)\s*г\)""), ""^\s*"", """")"),"Верхний мир")</f>
        <v>Верхний мир</v>
      </c>
      <c r="G49" s="3" t="str">
        <f ca="1">IFERROR(__xludf.DUMMYFUNCTION("REGEXREPLACE(REGEXEXTRACT(H49, ""г\)\s*(.*)""), ""^\s*"", """")"),"Измерение грибов")</f>
        <v>Измерение грибов</v>
      </c>
      <c r="H49" s="4" t="s">
        <v>52</v>
      </c>
    </row>
    <row r="50" spans="1:8" ht="49.5">
      <c r="A50" s="3" t="str">
        <f ca="1">IFERROR(__xludf.DUMMYFUNCTION("REGEXEXTRACT(H50, ""\d+\.\s*(.*?)\s*а\)"")"),"Что является основной валютой для торговли с жителями деревни? ")</f>
        <v>Что является основной валютой для торговли с жителями деревни? </v>
      </c>
      <c r="B50" s="3">
        <v>1</v>
      </c>
      <c r="C50" s="7"/>
      <c r="D50" s="3" t="str">
        <f ca="1">IFERROR(__xludf.DUMMYFUNCTION("REGEXREPLACE(REGEXEXTRACT(H50, ""а\)\s*(.*?)\s*б\)""), ""^\s*"", """")"),"Изумруды ")</f>
        <v>Изумруды </v>
      </c>
      <c r="E50" s="3" t="str">
        <f ca="1">IFERROR(__xludf.DUMMYFUNCTION("REGEXREPLACE(REGEXEXTRACT(H50, ""б\)\s*(.*?)\s*в\)""), ""^\s*"", """")"),"Золото")</f>
        <v>Золото</v>
      </c>
      <c r="F50" s="3" t="str">
        <f ca="1">IFERROR(__xludf.DUMMYFUNCTION("REGEXREPLACE(REGEXEXTRACT(H50, ""в\)\s*(.*?)\s*г\)""), ""^\s*"", """")"),"Железо")</f>
        <v>Железо</v>
      </c>
      <c r="G50" s="3" t="str">
        <f ca="1">IFERROR(__xludf.DUMMYFUNCTION("REGEXREPLACE(REGEXEXTRACT(H50, ""г\)\s*(.*)""), ""^\s*"", """")"),"Алмазы")</f>
        <v>Алмазы</v>
      </c>
      <c r="H50" s="4" t="s">
        <v>53</v>
      </c>
    </row>
    <row r="51" spans="1:8" ht="32.25">
      <c r="A51" s="3" t="str">
        <f ca="1">IFERROR(__xludf.DUMMYFUNCTION("REGEXEXTRACT(H51, ""\d+\.\s*(.*?)\s*а\)"")"),"Какое животное можно вырастить из яйца? ")</f>
        <v>Какое животное можно вырастить из яйца? </v>
      </c>
      <c r="B51" s="3">
        <v>1</v>
      </c>
      <c r="C51" s="7"/>
      <c r="D51" s="3" t="str">
        <f ca="1">IFERROR(__xludf.DUMMYFUNCTION("REGEXREPLACE(REGEXEXTRACT(H51, ""а\)\s*(.*?)\s*б\)""), ""^\s*"", """")"),"Курица ")</f>
        <v>Курица </v>
      </c>
      <c r="E51" s="3" t="str">
        <f ca="1">IFERROR(__xludf.DUMMYFUNCTION("REGEXREPLACE(REGEXEXTRACT(H51, ""б\)\s*(.*?)\s*в\)""), ""^\s*"", """")"),"Овца")</f>
        <v>Овца</v>
      </c>
      <c r="F51" s="3" t="str">
        <f ca="1">IFERROR(__xludf.DUMMYFUNCTION("REGEXREPLACE(REGEXEXTRACT(H51, ""в\)\s*(.*?)\s*г\)""), ""^\s*"", """")"),"Свинья")</f>
        <v>Свинья</v>
      </c>
      <c r="G51" s="3" t="str">
        <f ca="1">IFERROR(__xludf.DUMMYFUNCTION("REGEXREPLACE(REGEXEXTRACT(H51, ""г\)\s*(.*)""), ""^\s*"", """")"),"Корова")</f>
        <v>Корова</v>
      </c>
      <c r="H51" s="4" t="s">
        <v>54</v>
      </c>
    </row>
    <row r="52" spans="1:8" ht="49.5">
      <c r="A52" s="3" t="str">
        <f ca="1">IFERROR(__xludf.DUMMYFUNCTION("REGEXEXTRACT(H52, ""\d+\.\s*(.*?)\s*а\)"")"),"Какой предмет используется для создания лодки? ")</f>
        <v>Какой предмет используется для создания лодки? </v>
      </c>
      <c r="B52" s="3">
        <v>1</v>
      </c>
      <c r="C52" s="7"/>
      <c r="D52" s="3" t="str">
        <f ca="1">IFERROR(__xludf.DUMMYFUNCTION("REGEXREPLACE(REGEXEXTRACT(H52, ""а\)\s*(.*?)\s*б\)""), ""^\s*"", """")"),"Дерево ")</f>
        <v>Дерево </v>
      </c>
      <c r="E52" s="3" t="str">
        <f ca="1">IFERROR(__xludf.DUMMYFUNCTION("REGEXREPLACE(REGEXEXTRACT(H52, ""б\)\s*(.*?)\s*в\)""), ""^\s*"", """")"),"Железо")</f>
        <v>Железо</v>
      </c>
      <c r="F52" s="3" t="str">
        <f ca="1">IFERROR(__xludf.DUMMYFUNCTION("REGEXREPLACE(REGEXEXTRACT(H52, ""в\)\s*(.*?)\s*г\)""), ""^\s*"", """")"),"Алмазы")</f>
        <v>Алмазы</v>
      </c>
      <c r="G52" s="3" t="str">
        <f ca="1">IFERROR(__xludf.DUMMYFUNCTION("REGEXREPLACE(REGEXEXTRACT(H52, ""г\)\s*(.*)""), ""^\s*"", """")"),"Обсидиан")</f>
        <v>Обсидиан</v>
      </c>
      <c r="H52" s="4" t="s">
        <v>55</v>
      </c>
    </row>
    <row r="53" spans="1:8" ht="49.5">
      <c r="A53" s="3" t="str">
        <f ca="1">IFERROR(__xludf.DUMMYFUNCTION("REGEXEXTRACT(H53, ""\d+\.\s*(.*?)\s*а\)"")"),"Какой блок можно использовать для создания портала в Нижний мир? ")</f>
        <v>Какой блок можно использовать для создания портала в Нижний мир? </v>
      </c>
      <c r="B53" s="3">
        <v>1</v>
      </c>
      <c r="C53" s="7"/>
      <c r="D53" s="3" t="str">
        <f ca="1">IFERROR(__xludf.DUMMYFUNCTION("REGEXREPLACE(REGEXEXTRACT(H53, ""а\)\s*(.*?)\s*б\)""), ""^\s*"", """")"),"Обсидиан ")</f>
        <v>Обсидиан </v>
      </c>
      <c r="E53" s="3" t="str">
        <f ca="1">IFERROR(__xludf.DUMMYFUNCTION("REGEXREPLACE(REGEXEXTRACT(H53, ""б\)\s*(.*?)\s*в\)""), ""^\s*"", """")"),"Железо")</f>
        <v>Железо</v>
      </c>
      <c r="F53" s="3" t="str">
        <f ca="1">IFERROR(__xludf.DUMMYFUNCTION("REGEXREPLACE(REGEXEXTRACT(H53, ""в\)\s*(.*?)\s*г\)""), ""^\s*"", """")"),"Золото")</f>
        <v>Золото</v>
      </c>
      <c r="G53" s="3" t="str">
        <f ca="1">IFERROR(__xludf.DUMMYFUNCTION("REGEXREPLACE(REGEXEXTRACT(H53, ""г\)\s*(.*)""), ""^\s*"", """")"),"Алмаз")</f>
        <v>Алмаз</v>
      </c>
      <c r="H53" s="4" t="s">
        <v>56</v>
      </c>
    </row>
    <row r="54" spans="1:8" ht="49.5">
      <c r="A54" s="3" t="str">
        <f ca="1">IFERROR(__xludf.DUMMYFUNCTION("REGEXEXTRACT(H54, ""\d+\.\s*(.*?)\s*а\)"")"),"Как называется режим игры, в котором у игрока есть только одна жизнь? ")</f>
        <v>Как называется режим игры, в котором у игрока есть только одна жизнь? </v>
      </c>
      <c r="B54" s="3">
        <v>1</v>
      </c>
      <c r="C54" s="7"/>
      <c r="D54" s="3" t="str">
        <f ca="1">IFERROR(__xludf.DUMMYFUNCTION("REGEXREPLACE(REGEXEXTRACT(H54, ""а\)\s*(.*?)\s*б\)""), ""^\s*"", """")"),"Хардкор ")</f>
        <v>Хардкор </v>
      </c>
      <c r="E54" s="3" t="str">
        <f ca="1">IFERROR(__xludf.DUMMYFUNCTION("REGEXREPLACE(REGEXEXTRACT(H54, ""б\)\s*(.*?)\s*в\)""), ""^\s*"", """")"),"Выживание")</f>
        <v>Выживание</v>
      </c>
      <c r="F54" s="3" t="str">
        <f ca="1">IFERROR(__xludf.DUMMYFUNCTION("REGEXREPLACE(REGEXEXTRACT(H54, ""в\)\s*(.*?)\s*г\)""), ""^\s*"", """")"),"Приключение")</f>
        <v>Приключение</v>
      </c>
      <c r="G54" s="3" t="str">
        <f ca="1">IFERROR(__xludf.DUMMYFUNCTION("REGEXREPLACE(REGEXEXTRACT(H54, ""г\)\s*(.*)""), ""^\s*"", """")"),"Креатив")</f>
        <v>Креатив</v>
      </c>
      <c r="H54" s="4" t="s">
        <v>57</v>
      </c>
    </row>
    <row r="55" spans="1:8" ht="66.75">
      <c r="A55" s="3" t="str">
        <f ca="1">IFERROR(__xludf.DUMMYFUNCTION("REGEXEXTRACT(H55, ""\d+\.\s*(.*?)\s*а\)"")"),"Как называется режим игры, в котором нужно добывать ресурсы и выживать? ")</f>
        <v>Как называется режим игры, в котором нужно добывать ресурсы и выживать? </v>
      </c>
      <c r="B55" s="3">
        <v>1</v>
      </c>
      <c r="C55" s="7"/>
      <c r="D55" s="3" t="str">
        <f ca="1">IFERROR(__xludf.DUMMYFUNCTION("REGEXREPLACE(REGEXEXTRACT(H55, ""а\)\s*(.*?)\s*б\)""), ""^\s*"", """")"),"Выживание ")</f>
        <v>Выживание </v>
      </c>
      <c r="E55" s="3" t="str">
        <f ca="1">IFERROR(__xludf.DUMMYFUNCTION("REGEXREPLACE(REGEXEXTRACT(H55, ""б\)\s*(.*?)\s*в\)""), ""^\s*"", """")"),"Хардкор")</f>
        <v>Хардкор</v>
      </c>
      <c r="F55" s="3" t="str">
        <f ca="1">IFERROR(__xludf.DUMMYFUNCTION("REGEXREPLACE(REGEXEXTRACT(H55, ""в\)\s*(.*?)\s*г\)""), ""^\s*"", """")"),"Креатив")</f>
        <v>Креатив</v>
      </c>
      <c r="G55" s="3" t="str">
        <f ca="1">IFERROR(__xludf.DUMMYFUNCTION("REGEXREPLACE(REGEXEXTRACT(H55, ""г\)\s*(.*)""), ""^\s*"", """")"),"Приключение")</f>
        <v>Приключение</v>
      </c>
      <c r="H55" s="4" t="s">
        <v>58</v>
      </c>
    </row>
    <row r="56" spans="1:8" ht="49.5">
      <c r="A56" s="3" t="str">
        <f ca="1">IFERROR(__xludf.DUMMYFUNCTION("REGEXEXTRACT(H56, ""\d+\.\s*(.*?)\s*а\)"")"),"Как называется режим игры, в котором нельзя ломать блоки? ")</f>
        <v>Как называется режим игры, в котором нельзя ломать блоки? </v>
      </c>
      <c r="B56" s="3">
        <v>1</v>
      </c>
      <c r="C56" s="7"/>
      <c r="D56" s="3" t="str">
        <f ca="1">IFERROR(__xludf.DUMMYFUNCTION("REGEXREPLACE(REGEXEXTRACT(H56, ""а\)\s*(.*?)\s*б\)""), ""^\s*"", """")"),"Приключение ")</f>
        <v>Приключение </v>
      </c>
      <c r="E56" s="3" t="str">
        <f ca="1">IFERROR(__xludf.DUMMYFUNCTION("REGEXREPLACE(REGEXEXTRACT(H56, ""б\)\s*(.*?)\s*в\)""), ""^\s*"", """")"),"Хардкор")</f>
        <v>Хардкор</v>
      </c>
      <c r="F56" s="3" t="str">
        <f ca="1">IFERROR(__xludf.DUMMYFUNCTION("REGEXREPLACE(REGEXEXTRACT(H56, ""в\)\s*(.*?)\s*г\)""), ""^\s*"", """")"),"Выживание")</f>
        <v>Выживание</v>
      </c>
      <c r="G56" s="3" t="str">
        <f ca="1">IFERROR(__xludf.DUMMYFUNCTION("REGEXREPLACE(REGEXEXTRACT(H56, ""г\)\s*(.*)""), ""^\s*"", """")"),"Креатив")</f>
        <v>Креатив</v>
      </c>
      <c r="H56" s="4" t="s">
        <v>59</v>
      </c>
    </row>
    <row r="57" spans="1:8" ht="32.25">
      <c r="A57" s="3" t="str">
        <f ca="1">IFERROR(__xludf.DUMMYFUNCTION("REGEXEXTRACT(H57, ""\d+\.\s*(.*?)\s*а\)"")"),"В каком обновлении были добавлены лисы? ")</f>
        <v>В каком обновлении были добавлены лисы? </v>
      </c>
      <c r="B57" s="3">
        <v>1</v>
      </c>
      <c r="C57" s="7"/>
      <c r="D57" s="3" t="str">
        <f ca="1">IFERROR(__xludf.DUMMYFUNCTION("REGEXREPLACE(REGEXEXTRACT(H57, ""а\)\s*(.*?)\s*б\)""), ""^\s*"", """")"),"1.14 ")</f>
        <v>1.14 </v>
      </c>
      <c r="E57" s="3" t="str">
        <f ca="1">IFERROR(__xludf.DUMMYFUNCTION("REGEXREPLACE(REGEXEXTRACT(H57, ""б\)\s*(.*?)\s*в\)""), ""^\s*"", """")"),"1.16")</f>
        <v>1.16</v>
      </c>
      <c r="F57" s="3" t="str">
        <f ca="1">IFERROR(__xludf.DUMMYFUNCTION("REGEXREPLACE(REGEXEXTRACT(H57, ""в\)\s*(.*?)\s*г\)""), ""^\s*"", """")"),"1.17")</f>
        <v>1.17</v>
      </c>
      <c r="G57" s="3" t="str">
        <f ca="1">IFERROR(__xludf.DUMMYFUNCTION("REGEXREPLACE(REGEXEXTRACT(H57, ""г\)\s*(.*)""), ""^\s*"", """")"),"1.18")</f>
        <v>1.18</v>
      </c>
      <c r="H57" s="4" t="s">
        <v>60</v>
      </c>
    </row>
    <row r="58" spans="1:8" ht="49.5">
      <c r="A58" s="3" t="str">
        <f ca="1">IFERROR(__xludf.DUMMYFUNCTION("REGEXEXTRACT(H58, ""\d+\.\s*(.*?)\s*а\)"")"),"В каком обновлении были добавлены незеритовые предметы? ")</f>
        <v>В каком обновлении были добавлены незеритовые предметы? </v>
      </c>
      <c r="B58" s="3">
        <v>1</v>
      </c>
      <c r="C58" s="7"/>
      <c r="D58" s="3" t="str">
        <f ca="1">IFERROR(__xludf.DUMMYFUNCTION("REGEXREPLACE(REGEXEXTRACT(H58, ""а\)\s*(.*?)\s*б\)""), ""^\s*"", """")"),"1.16 ")</f>
        <v>1.16 </v>
      </c>
      <c r="E58" s="3" t="str">
        <f ca="1">IFERROR(__xludf.DUMMYFUNCTION("REGEXREPLACE(REGEXEXTRACT(H58, ""б\)\s*(.*?)\s*в\)""), ""^\s*"", """")"),"1.14")</f>
        <v>1.14</v>
      </c>
      <c r="F58" s="3" t="str">
        <f ca="1">IFERROR(__xludf.DUMMYFUNCTION("REGEXREPLACE(REGEXEXTRACT(H58, ""в\)\s*(.*?)\s*г\)""), ""^\s*"", """")"),"1.17")</f>
        <v>1.17</v>
      </c>
      <c r="G58" s="3" t="str">
        <f ca="1">IFERROR(__xludf.DUMMYFUNCTION("REGEXREPLACE(REGEXEXTRACT(H58, ""г\)\s*(.*)""), ""^\s*"", """")"),"1.18")</f>
        <v>1.18</v>
      </c>
      <c r="H58" s="4" t="s">
        <v>61</v>
      </c>
    </row>
    <row r="59" spans="1:8" ht="32.25">
      <c r="A59" s="3" t="str">
        <f ca="1">IFERROR(__xludf.DUMMYFUNCTION("REGEXEXTRACT(H59, ""\d+\.\s*(.*?)\s*а\)"")"),"В каком обновлении был добавлен Варден? ")</f>
        <v>В каком обновлении был добавлен Варден? </v>
      </c>
      <c r="B59" s="3">
        <v>1</v>
      </c>
      <c r="C59" s="7"/>
      <c r="D59" s="3" t="str">
        <f ca="1">IFERROR(__xludf.DUMMYFUNCTION("REGEXREPLACE(REGEXEXTRACT(H59, ""а\)\s*(.*?)\s*б\)""), ""^\s*"", """")"),"1.19 ")</f>
        <v>1.19 </v>
      </c>
      <c r="E59" s="3" t="str">
        <f ca="1">IFERROR(__xludf.DUMMYFUNCTION("REGEXREPLACE(REGEXEXTRACT(H59, ""б\)\s*(.*?)\s*в\)""), ""^\s*"", """")"),"1.17")</f>
        <v>1.17</v>
      </c>
      <c r="F59" s="3" t="str">
        <f ca="1">IFERROR(__xludf.DUMMYFUNCTION("REGEXREPLACE(REGEXEXTRACT(H59, ""в\)\s*(.*?)\s*г\)""), ""^\s*"", """")"),"1.16")</f>
        <v>1.16</v>
      </c>
      <c r="G59" s="3" t="str">
        <f ca="1">IFERROR(__xludf.DUMMYFUNCTION("REGEXREPLACE(REGEXEXTRACT(H59, ""г\)\s*(.*)""), ""^\s*"", """")"),"1.15")</f>
        <v>1.15</v>
      </c>
      <c r="H59" s="4" t="s">
        <v>62</v>
      </c>
    </row>
    <row r="60" spans="1:8" ht="32.25">
      <c r="A60" s="3" t="str">
        <f ca="1">IFERROR(__xludf.DUMMYFUNCTION("REGEXEXTRACT(H60, ""\d+\.\s*(.*?)\s*а\)"")"),"В каком обновлении были добавлены аксолотли? ")</f>
        <v>В каком обновлении были добавлены аксолотли? </v>
      </c>
      <c r="B60" s="3">
        <v>1</v>
      </c>
      <c r="C60" s="7"/>
      <c r="D60" s="3" t="str">
        <f ca="1">IFERROR(__xludf.DUMMYFUNCTION("REGEXREPLACE(REGEXEXTRACT(H60, ""а\)\s*(.*?)\s*б\)""), ""^\s*"", """")"),"1.17 ")</f>
        <v>1.17 </v>
      </c>
      <c r="E60" s="3" t="str">
        <f ca="1">IFERROR(__xludf.DUMMYFUNCTION("REGEXREPLACE(REGEXEXTRACT(H60, ""б\)\s*(.*?)\s*в\)""), ""^\s*"", """")"),"1.19")</f>
        <v>1.19</v>
      </c>
      <c r="F60" s="3" t="str">
        <f ca="1">IFERROR(__xludf.DUMMYFUNCTION("REGEXREPLACE(REGEXEXTRACT(H60, ""в\)\s*(.*?)\s*г\)""), ""^\s*"", """")"),"1.16")</f>
        <v>1.16</v>
      </c>
      <c r="G60" s="3" t="str">
        <f ca="1">IFERROR(__xludf.DUMMYFUNCTION("REGEXREPLACE(REGEXEXTRACT(H60, ""г\)\s*(.*)""), ""^\s*"", """")"),"1.15")</f>
        <v>1.15</v>
      </c>
      <c r="H60" s="4" t="s">
        <v>63</v>
      </c>
    </row>
    <row r="61" spans="1:8" ht="32.25">
      <c r="A61" s="3" t="str">
        <f ca="1">IFERROR(__xludf.DUMMYFUNCTION("REGEXEXTRACT(H61, ""\d+\.\s*(.*?)\s*а\)"")"),"В каком обновлении были добавлены пещеры и скалы? ")</f>
        <v>В каком обновлении были добавлены пещеры и скалы? </v>
      </c>
      <c r="B61" s="3">
        <v>1</v>
      </c>
      <c r="C61" s="7"/>
      <c r="D61" s="3" t="str">
        <f ca="1">IFERROR(__xludf.DUMMYFUNCTION("REGEXREPLACE(REGEXEXTRACT(H61, ""а\)\s*(.*?)\s*б\)""), ""^\s*"", """")"),"1.18 ")</f>
        <v>1.18 </v>
      </c>
      <c r="E61" s="3" t="str">
        <f ca="1">IFERROR(__xludf.DUMMYFUNCTION("REGEXREPLACE(REGEXEXTRACT(H61, ""б\)\s*(.*?)\s*в\)""), ""^\s*"", """")"),"1.17")</f>
        <v>1.17</v>
      </c>
      <c r="F61" s="3" t="str">
        <f ca="1">IFERROR(__xludf.DUMMYFUNCTION("REGEXREPLACE(REGEXEXTRACT(H61, ""в\)\s*(.*?)\s*г\)""), ""^\s*"", """")"),"1.19")</f>
        <v>1.19</v>
      </c>
      <c r="G61" s="3" t="str">
        <f ca="1">IFERROR(__xludf.DUMMYFUNCTION("REGEXREPLACE(REGEXEXTRACT(H61, ""г\)\s*(.*)""), ""^\s*"", """")"),"1.16")</f>
        <v>1.16</v>
      </c>
      <c r="H61" s="4" t="s">
        <v>64</v>
      </c>
    </row>
    <row r="62" spans="1:8" ht="49.5">
      <c r="A62" s="3" t="str">
        <f ca="1">IFERROR(__xludf.DUMMYFUNCTION("REGEXEXTRACT(H62, ""\d+\.\s*(.*?)\s*а\)"")"),"Какая механика используется для создания сложных механизмов? ")</f>
        <v>Какая механика используется для создания сложных механизмов? </v>
      </c>
      <c r="B62" s="3">
        <v>1</v>
      </c>
      <c r="C62" s="7"/>
      <c r="D62" s="3" t="str">
        <f ca="1">IFERROR(__xludf.DUMMYFUNCTION("REGEXREPLACE(REGEXEXTRACT(H62, ""а\)\s*(.*?)\s*б\)""), ""^\s*"", """")"),"Редстоун ")</f>
        <v>Редстоун </v>
      </c>
      <c r="E62" s="3" t="str">
        <f ca="1">IFERROR(__xludf.DUMMYFUNCTION("REGEXREPLACE(REGEXEXTRACT(H62, ""б\)\s*(.*?)\s*в\)""), ""^\s*"", """")"),"Камень")</f>
        <v>Камень</v>
      </c>
      <c r="F62" s="3" t="str">
        <f ca="1">IFERROR(__xludf.DUMMYFUNCTION("REGEXREPLACE(REGEXEXTRACT(H62, ""в\)\s*(.*?)\s*г\)""), ""^\s*"", """")"),"Дерево")</f>
        <v>Дерево</v>
      </c>
      <c r="G62" s="3" t="str">
        <f ca="1">IFERROR(__xludf.DUMMYFUNCTION("REGEXREPLACE(REGEXEXTRACT(H62, ""г\)\s*(.*)""), ""^\s*"", """")"),"Песок")</f>
        <v>Песок</v>
      </c>
      <c r="H62" s="4" t="s">
        <v>65</v>
      </c>
    </row>
    <row r="63" spans="1:8" ht="49.5">
      <c r="A63" s="3" t="str">
        <f ca="1">IFERROR(__xludf.DUMMYFUNCTION("REGEXEXTRACT(H63, ""\d+\.\s*(.*?)\s*а\)"")"),"Как называется эффект от использования тотема бессмертия? ")</f>
        <v>Как называется эффект от использования тотема бессмертия? </v>
      </c>
      <c r="B63" s="3">
        <v>1</v>
      </c>
      <c r="C63" s="7"/>
      <c r="D63" s="3" t="str">
        <f ca="1">IFERROR(__xludf.DUMMYFUNCTION("REGEXREPLACE(REGEXEXTRACT(H63, ""а\)\s*(.*?)\s*б\)""), ""^\s*"", """")"),"Поглощение урона ")</f>
        <v>Поглощение урона </v>
      </c>
      <c r="E63" s="3" t="str">
        <f ca="1">IFERROR(__xludf.DUMMYFUNCTION("REGEXREPLACE(REGEXEXTRACT(H63, ""б\)\s*(.*?)\s*в\)""), ""^\s*"", """")"),"Скорость")</f>
        <v>Скорость</v>
      </c>
      <c r="F63" s="3" t="str">
        <f ca="1">IFERROR(__xludf.DUMMYFUNCTION("REGEXREPLACE(REGEXEXTRACT(H63, ""в\)\s*(.*?)\s*г\)""), ""^\s*"", """")"),"Ночное зрение")</f>
        <v>Ночное зрение</v>
      </c>
      <c r="G63" s="3" t="str">
        <f ca="1">IFERROR(__xludf.DUMMYFUNCTION("REGEXREPLACE(REGEXEXTRACT(H63, ""г\)\s*(.*)""), ""^\s*"", """")"),"Сила")</f>
        <v>Сила</v>
      </c>
      <c r="H63" s="4" t="s">
        <v>66</v>
      </c>
    </row>
    <row r="64" spans="1:8" ht="49.5">
      <c r="A64" s="3" t="str">
        <f ca="1">IFERROR(__xludf.DUMMYFUNCTION("REGEXEXTRACT(H64, ""\d+\.\s*(.*?)\s*а\)"")"),"Как называется еда для приручения лошадей? ")</f>
        <v>Как называется еда для приручения лошадей? </v>
      </c>
      <c r="B64" s="3">
        <v>1</v>
      </c>
      <c r="C64" s="7"/>
      <c r="D64" s="3" t="str">
        <f ca="1">IFERROR(__xludf.DUMMYFUNCTION("REGEXREPLACE(REGEXEXTRACT(H64, ""а\)\s*(.*?)\s*б\)""), ""^\s*"", """")"),"Золотое яблоко ")</f>
        <v>Золотое яблоко </v>
      </c>
      <c r="E64" s="3" t="str">
        <f ca="1">IFERROR(__xludf.DUMMYFUNCTION("REGEXREPLACE(REGEXEXTRACT(H64, ""б\)\s*(.*?)\s*в\)""), ""^\s*"", """")"),"Пшеница")</f>
        <v>Пшеница</v>
      </c>
      <c r="F64" s="3" t="str">
        <f ca="1">IFERROR(__xludf.DUMMYFUNCTION("REGEXREPLACE(REGEXEXTRACT(H64, ""в\)\s*(.*?)\s*г\)""), ""^\s*"", """")"),"Морковь")</f>
        <v>Морковь</v>
      </c>
      <c r="G64" s="3" t="str">
        <f ca="1">IFERROR(__xludf.DUMMYFUNCTION("REGEXREPLACE(REGEXEXTRACT(H64, ""г\)\s*(.*)""), ""^\s*"", """")"),"Сахар")</f>
        <v>Сахар</v>
      </c>
      <c r="H64" s="4" t="s">
        <v>67</v>
      </c>
    </row>
    <row r="65" spans="1:8" ht="49.5">
      <c r="A65" s="3" t="str">
        <f ca="1">IFERROR(__xludf.DUMMYFUNCTION("REGEXEXTRACT(H65, ""\d+\.\s*(.*?)\s*а\)"")"),"Какой инструмент используется для сбора меда? ")</f>
        <v>Какой инструмент используется для сбора меда? </v>
      </c>
      <c r="B65" s="3">
        <v>1</v>
      </c>
      <c r="C65" s="7"/>
      <c r="D65" s="3" t="str">
        <f ca="1">IFERROR(__xludf.DUMMYFUNCTION("REGEXREPLACE(REGEXEXTRACT(H65, ""а\)\s*(.*?)\s*б\)""), ""^\s*"", """")"),"Стеклянная бутылка ")</f>
        <v>Стеклянная бутылка </v>
      </c>
      <c r="E65" s="3" t="str">
        <f ca="1">IFERROR(__xludf.DUMMYFUNCTION("REGEXREPLACE(REGEXEXTRACT(H65, ""б\)\s*(.*?)\s*в\)""), ""^\s*"", """")"),"Топор")</f>
        <v>Топор</v>
      </c>
      <c r="F65" s="3" t="str">
        <f ca="1">IFERROR(__xludf.DUMMYFUNCTION("REGEXREPLACE(REGEXEXTRACT(H65, ""в\)\s*(.*?)\s*г\)""), ""^\s*"", """")"),"Кирка")</f>
        <v>Кирка</v>
      </c>
      <c r="G65" s="3" t="str">
        <f ca="1">IFERROR(__xludf.DUMMYFUNCTION("REGEXREPLACE(REGEXEXTRACT(H65, ""г\)\s*(.*)""), ""^\s*"", """")"),"Лопата")</f>
        <v>Лопата</v>
      </c>
      <c r="H65" s="4" t="s">
        <v>68</v>
      </c>
    </row>
    <row r="66" spans="1:8" ht="32.25">
      <c r="A66" s="3" t="str">
        <f ca="1">IFERROR(__xludf.DUMMYFUNCTION("REGEXEXTRACT(H66, ""\d+\.\s*(.*?)\s*а\)"")"),"Какой блок позволяет игроку спать ночью? ")</f>
        <v>Какой блок позволяет игроку спать ночью? </v>
      </c>
      <c r="B66" s="3">
        <v>1</v>
      </c>
      <c r="C66" s="7"/>
      <c r="D66" s="3" t="str">
        <f ca="1">IFERROR(__xludf.DUMMYFUNCTION("REGEXREPLACE(REGEXEXTRACT(H66, ""а\)\s*(.*?)\s*б\)""), ""^\s*"", """")"),"Кровать ")</f>
        <v>Кровать </v>
      </c>
      <c r="E66" s="3" t="str">
        <f ca="1">IFERROR(__xludf.DUMMYFUNCTION("REGEXREPLACE(REGEXEXTRACT(H66, ""б\)\s*(.*?)\s*в\)""), ""^\s*"", """")"),"Верстак")</f>
        <v>Верстак</v>
      </c>
      <c r="F66" s="3" t="str">
        <f ca="1">IFERROR(__xludf.DUMMYFUNCTION("REGEXREPLACE(REGEXEXTRACT(H66, ""в\)\s*(.*?)\s*г\)""), ""^\s*"", """")"),"Сундук")</f>
        <v>Сундук</v>
      </c>
      <c r="G66" s="3" t="str">
        <f ca="1">IFERROR(__xludf.DUMMYFUNCTION("REGEXREPLACE(REGEXEXTRACT(H66, ""г\)\s*(.*)""), ""^\s*"", """")"),"Печь")</f>
        <v>Печь</v>
      </c>
      <c r="H66" s="4" t="s">
        <v>69</v>
      </c>
    </row>
    <row r="67" spans="1:8" ht="34.5">
      <c r="A67" s="3" t="str">
        <f ca="1">IFERROR(__xludf.DUMMYFUNCTION("REGEXEXTRACT(H67, ""\d+\.\s*(.*?)\s*а\)"")"),"Какой моб в Minecraft не имеет ног? ")</f>
        <v>Какой моб в Minecraft не имеет ног? </v>
      </c>
      <c r="B67" s="3">
        <v>1</v>
      </c>
      <c r="C67" s="7"/>
      <c r="D67" s="3" t="str">
        <f ca="1">IFERROR(__xludf.DUMMYFUNCTION("REGEXREPLACE(REGEXEXTRACT(H67, ""а\)\s*(.*?)\s*б\)""), ""^\s*"", """")"),"Слизень ")</f>
        <v>Слизень </v>
      </c>
      <c r="E67" s="3" t="str">
        <f ca="1">IFERROR(__xludf.DUMMYFUNCTION("REGEXREPLACE(REGEXEXTRACT(H67, ""б\)\s*(.*?)\s*в\)""), ""^\s*"", """")"),"Зомби")</f>
        <v>Зомби</v>
      </c>
      <c r="F67" s="3" t="str">
        <f ca="1">IFERROR(__xludf.DUMMYFUNCTION("REGEXREPLACE(REGEXEXTRACT(H67, ""в\)\s*(.*?)\s*г\)""), ""^\s*"", """")"),"Скелет")</f>
        <v>Скелет</v>
      </c>
      <c r="G67" s="3" t="str">
        <f ca="1">IFERROR(__xludf.DUMMYFUNCTION("REGEXREPLACE(REGEXEXTRACT(H67, ""г\)\s*(.*)""), ""^\s*"", """")"),"Крипер")</f>
        <v>Крипер</v>
      </c>
      <c r="H67" s="4" t="s">
        <v>70</v>
      </c>
    </row>
    <row r="68" spans="1:8" ht="49.5">
      <c r="A68" s="3" t="str">
        <f ca="1">IFERROR(__xludf.DUMMYFUNCTION("REGEXEXTRACT(H68, ""\d+\.\s*(.*?)\s*а\)"")"),"Какой блок используется для создания красителей? ")</f>
        <v>Какой блок используется для создания красителей? </v>
      </c>
      <c r="B68" s="3">
        <v>1</v>
      </c>
      <c r="C68" s="7"/>
      <c r="D68" s="3" t="str">
        <f ca="1">IFERROR(__xludf.DUMMYFUNCTION("REGEXREPLACE(REGEXEXTRACT(H68, ""а\)\s*(.*?)\s*б\)""), ""^\s*"", """")"),"Цветы ")</f>
        <v>Цветы </v>
      </c>
      <c r="E68" s="3" t="str">
        <f ca="1">IFERROR(__xludf.DUMMYFUNCTION("REGEXREPLACE(REGEXEXTRACT(H68, ""б\)\s*(.*?)\s*в\)""), ""^\s*"", """")"),"Камни")</f>
        <v>Камни</v>
      </c>
      <c r="F68" s="3" t="str">
        <f ca="1">IFERROR(__xludf.DUMMYFUNCTION("REGEXREPLACE(REGEXEXTRACT(H68, ""в\)\s*(.*?)\s*г\)""), ""^\s*"", """")"),"Дерево")</f>
        <v>Дерево</v>
      </c>
      <c r="G68" s="3" t="str">
        <f ca="1">IFERROR(__xludf.DUMMYFUNCTION("REGEXREPLACE(REGEXEXTRACT(H68, ""г\)\s*(.*)""), ""^\s*"", """")"),"Земля")</f>
        <v>Земля</v>
      </c>
      <c r="H68" s="4" t="s">
        <v>71</v>
      </c>
    </row>
    <row r="69" spans="1:8" ht="49.5">
      <c r="A69" s="3" t="str">
        <f ca="1">IFERROR(__xludf.DUMMYFUNCTION("REGEXEXTRACT(H69, ""\d+\.\s*(.*?)\s*а\)"")"),"Какой предмет используется для создания фейерверков? ")</f>
        <v>Какой предмет используется для создания фейерверков? </v>
      </c>
      <c r="B69" s="3">
        <v>1</v>
      </c>
      <c r="C69" s="7"/>
      <c r="D69" s="3" t="str">
        <f ca="1">IFERROR(__xludf.DUMMYFUNCTION("REGEXREPLACE(REGEXEXTRACT(H69, ""а\)\s*(.*?)\s*б\)""), ""^\s*"", """")"),"Порох ")</f>
        <v>Порох </v>
      </c>
      <c r="E69" s="3" t="str">
        <f ca="1">IFERROR(__xludf.DUMMYFUNCTION("REGEXREPLACE(REGEXEXTRACT(H69, ""б\)\s*(.*?)\s*в\)""), ""^\s*"", """")"),"Алмазы")</f>
        <v>Алмазы</v>
      </c>
      <c r="F69" s="3" t="str">
        <f ca="1">IFERROR(__xludf.DUMMYFUNCTION("REGEXREPLACE(REGEXEXTRACT(H69, ""в\)\s*(.*?)\s*г\)""), ""^\s*"", """")"),"Железо")</f>
        <v>Железо</v>
      </c>
      <c r="G69" s="3" t="str">
        <f ca="1">IFERROR(__xludf.DUMMYFUNCTION("REGEXREPLACE(REGEXEXTRACT(H69, ""г\)\s*(.*)""), ""^\s*"", """")"),"Золото")</f>
        <v>Золото</v>
      </c>
      <c r="H69" s="4" t="s">
        <v>72</v>
      </c>
    </row>
    <row r="70" spans="1:8" ht="49.5">
      <c r="A70" s="3" t="str">
        <f ca="1">IFERROR(__xludf.DUMMYFUNCTION("REGEXEXTRACT(H70, ""\d+\.\s*(.*?)\s*а\)"")"),"Как называется предмет, позволяющий убирать зачарования с предметов? ")</f>
        <v>Как называется предмет, позволяющий убирать зачарования с предметов? </v>
      </c>
      <c r="B70" s="3">
        <v>1</v>
      </c>
      <c r="C70" s="7"/>
      <c r="D70" s="3" t="str">
        <f ca="1">IFERROR(__xludf.DUMMYFUNCTION("REGEXREPLACE(REGEXEXTRACT(H70, ""а\)\s*(.*?)\s*б\)""), ""^\s*"", """")"),"Жернов ")</f>
        <v>Жернов </v>
      </c>
      <c r="E70" s="3" t="str">
        <f ca="1">IFERROR(__xludf.DUMMYFUNCTION("REGEXREPLACE(REGEXEXTRACT(H70, ""б\)\s*(.*?)\s*в\)""), ""^\s*"", """")"),"Верстак")</f>
        <v>Верстак</v>
      </c>
      <c r="F70" s="3" t="str">
        <f ca="1">IFERROR(__xludf.DUMMYFUNCTION("REGEXREPLACE(REGEXEXTRACT(H70, ""в\)\s*(.*?)\s*г\)""), ""^\s*"", """")"),"Печь")</f>
        <v>Печь</v>
      </c>
      <c r="G70" s="3" t="str">
        <f ca="1">IFERROR(__xludf.DUMMYFUNCTION("REGEXREPLACE(REGEXEXTRACT(H70, ""г\)\s*(.*)""), ""^\s*"", """")"),"Сундук")</f>
        <v>Сундук</v>
      </c>
      <c r="H70" s="4" t="s">
        <v>73</v>
      </c>
    </row>
    <row r="71" spans="1:8" ht="30">
      <c r="A71" s="3" t="str">
        <f ca="1">IFERROR(__xludf.DUMMYFUNCTION("REGEXEXTRACT(H71, ""s*(.*?)\s*а\)"")"),"Какой моб является символом Minecraft?")</f>
        <v>Какой моб является символом Minecraft?</v>
      </c>
      <c r="B71" s="3">
        <v>1</v>
      </c>
      <c r="D71" s="3" t="str">
        <f ca="1">IFERROR(__xludf.DUMMYFUNCTION("REGEXREPLACE(REGEXEXTRACT(H71, ""а\)\s*(.*?)\s*б\)""), ""^\s*"", """")"),"Крипер")</f>
        <v>Крипер</v>
      </c>
      <c r="E71" s="3" t="str">
        <f ca="1">IFERROR(__xludf.DUMMYFUNCTION("REGEXREPLACE(REGEXEXTRACT(H71, ""б\)\s*(.*?)\s*в\)""), ""^\s*"", """")"),"Скелет")</f>
        <v>Скелет</v>
      </c>
      <c r="F71" s="3" t="str">
        <f ca="1">IFERROR(__xludf.DUMMYFUNCTION("REGEXREPLACE(REGEXEXTRACT(H71, ""в\)\s*(.*?)\s*г\)""), ""^\s*"", """")"),"Зомби")</f>
        <v>Зомби</v>
      </c>
      <c r="G71" s="3" t="str">
        <f ca="1">IFERROR(__xludf.DUMMYFUNCTION("REGEXREPLACE(REGEXEXTRACT(H71, ""г\)\s*(.*)""), ""^\s*"", """")"),"Эндермен")</f>
        <v>Эндермен</v>
      </c>
      <c r="H71" s="8" t="s">
        <v>74</v>
      </c>
    </row>
    <row r="72" spans="1:8" ht="30">
      <c r="A72" s="3" t="str">
        <f ca="1">IFERROR(__xludf.DUMMYFUNCTION("REGEXEXTRACT(H72, ""s*(.*?)\s*а\)"")"),"Что необходимо для создания портала в Нижний мир?")</f>
        <v>Что необходимо для создания портала в Нижний мир?</v>
      </c>
      <c r="B72" s="3">
        <v>1</v>
      </c>
      <c r="D72" s="3" t="str">
        <f ca="1">IFERROR(__xludf.DUMMYFUNCTION("REGEXREPLACE(REGEXEXTRACT(H72, ""а\)\s*(.*?)\s*б\)""), ""^\s*"", """")"),"Обсидиан")</f>
        <v>Обсидиан</v>
      </c>
      <c r="E72" s="3" t="str">
        <f ca="1">IFERROR(__xludf.DUMMYFUNCTION("REGEXREPLACE(REGEXEXTRACT(H72, ""б\)\s*(.*?)\s*в\)""), ""^\s*"", """")"),"Лава")</f>
        <v>Лава</v>
      </c>
      <c r="F72" s="3" t="str">
        <f ca="1">IFERROR(__xludf.DUMMYFUNCTION("REGEXREPLACE(REGEXEXTRACT(H72, ""в\)\s*(.*?)\s*г\)""), ""^\s*"", """")"),"Вода")</f>
        <v>Вода</v>
      </c>
      <c r="G72" s="3" t="str">
        <f ca="1">IFERROR(__xludf.DUMMYFUNCTION("REGEXREPLACE(REGEXEXTRACT(H72, ""г\)\s*(.*)""), ""^\s*"", """")"),"Алмазы")</f>
        <v>Алмазы</v>
      </c>
      <c r="H72" s="8" t="s">
        <v>75</v>
      </c>
    </row>
    <row r="73" spans="1:8" ht="30">
      <c r="A73" s="3" t="str">
        <f ca="1">IFERROR(__xludf.DUMMYFUNCTION("REGEXEXTRACT(H73, ""s*(.*?)\s*а\)"")"),"Какой ресурс позволяет создавать прочнейшую броню?")</f>
        <v>Какой ресурс позволяет создавать прочнейшую броню?</v>
      </c>
      <c r="B73" s="3">
        <v>1</v>
      </c>
      <c r="D73" s="3" t="str">
        <f ca="1">IFERROR(__xludf.DUMMYFUNCTION("REGEXREPLACE(REGEXEXTRACT(H73, ""а\)\s*(.*?)\s*б\)""), ""^\s*"", """")"),"Незерит")</f>
        <v>Незерит</v>
      </c>
      <c r="E73" s="3" t="str">
        <f ca="1">IFERROR(__xludf.DUMMYFUNCTION("REGEXREPLACE(REGEXEXTRACT(H73, ""б\)\s*(.*?)\s*в\)""), ""^\s*"", """")"),"Алмаз")</f>
        <v>Алмаз</v>
      </c>
      <c r="F73" s="3" t="str">
        <f ca="1">IFERROR(__xludf.DUMMYFUNCTION("REGEXREPLACE(REGEXEXTRACT(H73, ""в\)\s*(.*?)\s*г\)""), ""^\s*"", """")"),"Железо")</f>
        <v>Железо</v>
      </c>
      <c r="G73" s="3" t="str">
        <f ca="1">IFERROR(__xludf.DUMMYFUNCTION("REGEXREPLACE(REGEXEXTRACT(H73, ""г\)\s*(.*)""), ""^\s*"", """")"),"Золото")</f>
        <v>Золото</v>
      </c>
      <c r="H73" s="8" t="s">
        <v>76</v>
      </c>
    </row>
    <row r="74" spans="1:8" ht="45">
      <c r="A74" s="3" t="str">
        <f ca="1">IFERROR(__xludf.DUMMYFUNCTION("REGEXEXTRACT(H74, ""s*(.*?)\s*а\)"")"),"Какой моб является боссом в измерении “Край”?")</f>
        <v>Какой моб является боссом в измерении “Край”?</v>
      </c>
      <c r="B74" s="3">
        <v>1</v>
      </c>
      <c r="D74" s="3" t="str">
        <f ca="1">IFERROR(__xludf.DUMMYFUNCTION("REGEXREPLACE(REGEXEXTRACT(H74, ""а\)\s*(.*?)\s*б\)""), ""^\s*"", """")"),"Эндер-дракон")</f>
        <v>Эндер-дракон</v>
      </c>
      <c r="E74" s="3" t="str">
        <f ca="1">IFERROR(__xludf.DUMMYFUNCTION("REGEXREPLACE(REGEXEXTRACT(H74, ""б\)\s*(.*?)\s*в\)""), ""^\s*"", """")"),"Иссушитель")</f>
        <v>Иссушитель</v>
      </c>
      <c r="F74" s="3" t="str">
        <f ca="1">IFERROR(__xludf.DUMMYFUNCTION("REGEXREPLACE(REGEXEXTRACT(H74, ""в\)\s*(.*?)\s*г\)""), ""^\s*"", """")"),"Страж")</f>
        <v>Страж</v>
      </c>
      <c r="G74" s="3" t="str">
        <f ca="1">IFERROR(__xludf.DUMMYFUNCTION("REGEXREPLACE(REGEXEXTRACT(H74, ""г\)\s*(.*)""), ""^\s*"", """")"),"Гаст")</f>
        <v>Гаст</v>
      </c>
      <c r="H74" s="8" t="s">
        <v>77</v>
      </c>
    </row>
    <row r="75" spans="1:8" ht="45">
      <c r="A75" s="3" t="str">
        <f ca="1">IFERROR(__xludf.DUMMYFUNCTION("REGEXEXTRACT(H75, ""s*(.*?)\s*а\)"")"),"Какой эффект даёт золотое яблоко?")</f>
        <v>Какой эффект даёт золотое яблоко?</v>
      </c>
      <c r="B75" s="3">
        <v>1</v>
      </c>
      <c r="D75" s="3" t="str">
        <f ca="1">IFERROR(__xludf.DUMMYFUNCTION("REGEXREPLACE(REGEXEXTRACT(H75, ""а\)\s*(.*?)\s*б\)""), ""^\s*"", """")"),"Регенерация")</f>
        <v>Регенерация</v>
      </c>
      <c r="E75" s="3" t="str">
        <f ca="1">IFERROR(__xludf.DUMMYFUNCTION("REGEXREPLACE(REGEXEXTRACT(H75, ""б\)\s*(.*?)\s*в\)""), ""^\s*"", """")"),"Скорость")</f>
        <v>Скорость</v>
      </c>
      <c r="F75" s="3" t="str">
        <f ca="1">IFERROR(__xludf.DUMMYFUNCTION("REGEXREPLACE(REGEXEXTRACT(H75, ""в\)\s*(.*?)\s*г\)""), ""^\s*"", """")"),"Сила")</f>
        <v>Сила</v>
      </c>
      <c r="G75" s="3" t="str">
        <f ca="1">IFERROR(__xludf.DUMMYFUNCTION("REGEXREPLACE(REGEXEXTRACT(H75, ""г\)\s*(.*)""), ""^\s*"", """")"),"Невидимость")</f>
        <v>Невидимость</v>
      </c>
      <c r="H75" s="8" t="s">
        <v>78</v>
      </c>
    </row>
    <row r="76" spans="1:8" ht="45">
      <c r="A76" s="3" t="str">
        <f ca="1">IFERROR(__xludf.DUMMYFUNCTION("REGEXEXTRACT(H76, ""s*(.*?)\s*а\)"")"),"Какой блок используется для приготовления зелий?")</f>
        <v>Какой блок используется для приготовления зелий?</v>
      </c>
      <c r="B76" s="3">
        <v>1</v>
      </c>
      <c r="D76" s="3" t="str">
        <f ca="1">IFERROR(__xludf.DUMMYFUNCTION("REGEXREPLACE(REGEXEXTRACT(H76, ""а\)\s*(.*?)\s*б\)""), ""^\s*"", """")"),"Варочная стойка")</f>
        <v>Варочная стойка</v>
      </c>
      <c r="E76" s="3" t="str">
        <f ca="1">IFERROR(__xludf.DUMMYFUNCTION("REGEXREPLACE(REGEXEXTRACT(H76, ""б\)\s*(.*?)\s*в\)""), ""^\s*"", """")"),"Печь")</f>
        <v>Печь</v>
      </c>
      <c r="F76" s="3" t="str">
        <f ca="1">IFERROR(__xludf.DUMMYFUNCTION("REGEXREPLACE(REGEXEXTRACT(H76, ""в\)\s*(.*?)\s*г\)""), ""^\s*"", """")"),"Верстак")</f>
        <v>Верстак</v>
      </c>
      <c r="G76" s="3" t="str">
        <f ca="1">IFERROR(__xludf.DUMMYFUNCTION("REGEXREPLACE(REGEXEXTRACT(H76, ""г\)\s*(.*)""), ""^\s*"", """")"),"Компостер")</f>
        <v>Компостер</v>
      </c>
      <c r="H76" s="8" t="s">
        <v>79</v>
      </c>
    </row>
    <row r="77" spans="1:8" ht="30">
      <c r="A77" s="3" t="str">
        <f ca="1">IFERROR(__xludf.DUMMYFUNCTION("REGEXEXTRACT(H77, ""s*(.*?)\s*а\)"")"),"Какой моб спаунится только в темноте?")</f>
        <v>Какой моб спаунится только в темноте?</v>
      </c>
      <c r="B77" s="3">
        <v>1</v>
      </c>
      <c r="D77" s="3" t="str">
        <f ca="1">IFERROR(__xludf.DUMMYFUNCTION("REGEXREPLACE(REGEXEXTRACT(H77, ""а\)\s*(.*?)\s*б\)""), ""^\s*"", """")"),"Зомби")</f>
        <v>Зомби</v>
      </c>
      <c r="E77" s="3" t="str">
        <f ca="1">IFERROR(__xludf.DUMMYFUNCTION("REGEXREPLACE(REGEXEXTRACT(H77, ""б\)\s*(.*?)\s*в\)""), ""^\s*"", """")"),"Овца")</f>
        <v>Овца</v>
      </c>
      <c r="F77" s="3" t="str">
        <f ca="1">IFERROR(__xludf.DUMMYFUNCTION("REGEXREPLACE(REGEXEXTRACT(H77, ""в\)\s*(.*?)\s*г\)""), ""^\s*"", """")"),"Курица")</f>
        <v>Курица</v>
      </c>
      <c r="G77" s="3" t="str">
        <f ca="1">IFERROR(__xludf.DUMMYFUNCTION("REGEXREPLACE(REGEXEXTRACT(H77, ""г\)\s*(.*)""), ""^\s*"", """")"),"Свинья")</f>
        <v>Свинья</v>
      </c>
      <c r="H77" s="8" t="s">
        <v>80</v>
      </c>
    </row>
    <row r="78" spans="1:8" ht="30">
      <c r="A78" s="3" t="str">
        <f ca="1">IFERROR(__xludf.DUMMYFUNCTION("REGEXEXTRACT(H78, ""s*(.*?)\s*а\)"")"),"Какой биом состоит в основном из песка?")</f>
        <v>Какой биом состоит в основном из песка?</v>
      </c>
      <c r="B78" s="3">
        <v>1</v>
      </c>
      <c r="D78" s="3" t="str">
        <f ca="1">IFERROR(__xludf.DUMMYFUNCTION("REGEXREPLACE(REGEXEXTRACT(H78, ""а\)\s*(.*?)\s*б\)""), ""^\s*"", """")"),"Пустыня")</f>
        <v>Пустыня</v>
      </c>
      <c r="E78" s="3" t="str">
        <f ca="1">IFERROR(__xludf.DUMMYFUNCTION("REGEXREPLACE(REGEXEXTRACT(H78, ""б\)\s*(.*?)\s*в\)""), ""^\s*"", """")"),"Саванна")</f>
        <v>Саванна</v>
      </c>
      <c r="F78" s="3" t="str">
        <f ca="1">IFERROR(__xludf.DUMMYFUNCTION("REGEXREPLACE(REGEXEXTRACT(H78, ""в\)\s*(.*?)\s*г\)""), ""^\s*"", """")"),"Тайга")</f>
        <v>Тайга</v>
      </c>
      <c r="G78" s="3" t="str">
        <f ca="1">IFERROR(__xludf.DUMMYFUNCTION("REGEXREPLACE(REGEXEXTRACT(H78, ""г\)\s*(.*)""), ""^\s*"", """")"),"Джунгли")</f>
        <v>Джунгли</v>
      </c>
      <c r="H78" s="8" t="s">
        <v>81</v>
      </c>
    </row>
    <row r="79" spans="1:8" ht="30">
      <c r="A79" s="3" t="str">
        <f ca="1">IFERROR(__xludf.DUMMYFUNCTION("REGEXEXTRACT(H79, ""s*(.*?)\s*а\)"")"),"Что необходимо для создания хлеба?")</f>
        <v>Что необходимо для создания хлеба?</v>
      </c>
      <c r="B79" s="3">
        <v>1</v>
      </c>
      <c r="D79" s="3" t="str">
        <f ca="1">IFERROR(__xludf.DUMMYFUNCTION("REGEXREPLACE(REGEXEXTRACT(H79, ""а\)\s*(.*?)\s*б\)""), ""^\s*"", """")"),"Пшеница")</f>
        <v>Пшеница</v>
      </c>
      <c r="E79" s="3" t="str">
        <f ca="1">IFERROR(__xludf.DUMMYFUNCTION("REGEXREPLACE(REGEXEXTRACT(H79, ""б\)\s*(.*?)\s*в\)""), ""^\s*"", """")"),"Яблоки")</f>
        <v>Яблоки</v>
      </c>
      <c r="F79" s="3" t="str">
        <f ca="1">IFERROR(__xludf.DUMMYFUNCTION("REGEXREPLACE(REGEXEXTRACT(H79, ""в\)\s*(.*?)\s*г\)""), ""^\s*"", """")"),"Морковь")</f>
        <v>Морковь</v>
      </c>
      <c r="G79" s="3" t="str">
        <f ca="1">IFERROR(__xludf.DUMMYFUNCTION("REGEXREPLACE(REGEXEXTRACT(H79, ""г\)\s*(.*)""), ""^\s*"", """")"),"Картофель")</f>
        <v>Картофель</v>
      </c>
      <c r="H79" s="8" t="s">
        <v>82</v>
      </c>
    </row>
    <row r="80" spans="1:8" ht="30">
      <c r="A80" s="3" t="str">
        <f ca="1">IFERROR(__xludf.DUMMYFUNCTION("REGEXEXTRACT(H80, ""s*(.*?)\s*а\)"")"),"Какой моб дает молоко?")</f>
        <v>Какой моб дает молоко?</v>
      </c>
      <c r="B80" s="3">
        <v>1</v>
      </c>
      <c r="D80" s="3" t="str">
        <f ca="1">IFERROR(__xludf.DUMMYFUNCTION("REGEXREPLACE(REGEXEXTRACT(H80, ""а\)\s*(.*?)\s*б\)""), ""^\s*"", """")"),"Корова")</f>
        <v>Корова</v>
      </c>
      <c r="E80" s="3" t="str">
        <f ca="1">IFERROR(__xludf.DUMMYFUNCTION("REGEXREPLACE(REGEXEXTRACT(H80, ""б\)\s*(.*?)\s*в\)""), ""^\s*"", """")"),"Свинья")</f>
        <v>Свинья</v>
      </c>
      <c r="F80" s="3" t="str">
        <f ca="1">IFERROR(__xludf.DUMMYFUNCTION("REGEXREPLACE(REGEXEXTRACT(H80, ""в\)\s*(.*?)\s*г\)""), ""^\s*"", """")"),"Овца")</f>
        <v>Овца</v>
      </c>
      <c r="G80" s="3" t="str">
        <f ca="1">IFERROR(__xludf.DUMMYFUNCTION("REGEXREPLACE(REGEXEXTRACT(H80, ""г\)\s*(.*)""), ""^\s*"", """")"),"Курица")</f>
        <v>Курица</v>
      </c>
      <c r="H80" s="8" t="s">
        <v>83</v>
      </c>
    </row>
    <row r="81" spans="1:8" ht="30">
      <c r="A81" s="3" t="str">
        <f ca="1">IFERROR(__xludf.DUMMYFUNCTION("REGEXEXTRACT(H81, ""s*(.*?)\s*а\)"")"),"С помощью чего можно приручить лошадь?")</f>
        <v>С помощью чего можно приручить лошадь?</v>
      </c>
      <c r="B81" s="3">
        <v>1</v>
      </c>
      <c r="D81" s="3" t="str">
        <f ca="1">IFERROR(__xludf.DUMMYFUNCTION("REGEXREPLACE(REGEXEXTRACT(H81, ""а\)\s*(.*?)\s*б\)""), ""^\s*"", """")"),"Яблоко")</f>
        <v>Яблоко</v>
      </c>
      <c r="E81" s="3" t="str">
        <f ca="1">IFERROR(__xludf.DUMMYFUNCTION("REGEXREPLACE(REGEXEXTRACT(H81, ""б\)\s*(.*?)\s*в\)""), ""^\s*"", """")"),"Семена")</f>
        <v>Семена</v>
      </c>
      <c r="F81" s="3" t="str">
        <f ca="1">IFERROR(__xludf.DUMMYFUNCTION("REGEXREPLACE(REGEXEXTRACT(H81, ""в\)\s*(.*?)\s*г\)""), ""^\s*"", """")"),"Кость")</f>
        <v>Кость</v>
      </c>
      <c r="G81" s="3" t="str">
        <f ca="1">IFERROR(__xludf.DUMMYFUNCTION("REGEXREPLACE(REGEXEXTRACT(H81, ""г\)\s*(.*)""), ""^\s*"", """")"),"Рыба")</f>
        <v>Рыба</v>
      </c>
      <c r="H81" s="8" t="s">
        <v>84</v>
      </c>
    </row>
    <row r="82" spans="1:8" ht="45">
      <c r="A82" s="3" t="str">
        <f ca="1">IFERROR(__xludf.DUMMYFUNCTION("REGEXEXTRACT(H82, ""s*(.*?)\s*а\)"")"),"Какой блок является источником света, который можно разместить на стене?")</f>
        <v>Какой блок является источником света, который можно разместить на стене?</v>
      </c>
      <c r="B82" s="3">
        <v>1</v>
      </c>
      <c r="D82" s="3" t="str">
        <f ca="1">IFERROR(__xludf.DUMMYFUNCTION("REGEXREPLACE(REGEXEXTRACT(H82, ""а\)\s*(.*?)\s*б\)""), ""^\s*"", """")"),"Факел")</f>
        <v>Факел</v>
      </c>
      <c r="E82" s="3" t="str">
        <f ca="1">IFERROR(__xludf.DUMMYFUNCTION("REGEXREPLACE(REGEXEXTRACT(H82, ""б\)\s*(.*?)\s*в\)""), ""^\s*"", """")"),"Лампа")</f>
        <v>Лампа</v>
      </c>
      <c r="F82" s="3" t="str">
        <f ca="1">IFERROR(__xludf.DUMMYFUNCTION("REGEXREPLACE(REGEXEXTRACT(H82, ""в\)\s*(.*?)\s*г\)""), ""^\s*"", """")"),"Фонарь")</f>
        <v>Фонарь</v>
      </c>
      <c r="G82" s="3" t="str">
        <f ca="1">IFERROR(__xludf.DUMMYFUNCTION("REGEXREPLACE(REGEXEXTRACT(H82, ""г\)\s*(.*)""), ""^\s*"", """")"),"Светокамень")</f>
        <v>Светокамень</v>
      </c>
      <c r="H82" s="8" t="s">
        <v>85</v>
      </c>
    </row>
    <row r="83" spans="1:8" ht="45">
      <c r="A83" s="3" t="str">
        <f ca="1">IFERROR(__xludf.DUMMYFUNCTION("REGEXEXTRACT(H83, ""s*(.*?)\s*а\)"")"),"Какой предмет позволяет быстро передвигаться под водой?")</f>
        <v>Какой предмет позволяет быстро передвигаться под водой?</v>
      </c>
      <c r="B83" s="3">
        <v>1</v>
      </c>
      <c r="D83" s="3" t="str">
        <f ca="1">IFERROR(__xludf.DUMMYFUNCTION("REGEXREPLACE(REGEXEXTRACT(H83, ""а\)\s*(.*?)\s*б\)""), ""^\s*"", """")"),"Трезубец")</f>
        <v>Трезубец</v>
      </c>
      <c r="E83" s="3" t="str">
        <f ca="1">IFERROR(__xludf.DUMMYFUNCTION("REGEXREPLACE(REGEXEXTRACT(H83, ""б\)\s*(.*?)\s*в\)""), ""^\s*"", """")"),"Лодка")</f>
        <v>Лодка</v>
      </c>
      <c r="F83" s="3" t="str">
        <f ca="1">IFERROR(__xludf.DUMMYFUNCTION("REGEXREPLACE(REGEXEXTRACT(H83, ""в\)\s*(.*?)\s*г\)""), ""^\s*"", """")"),"Ведро")</f>
        <v>Ведро</v>
      </c>
      <c r="G83" s="3" t="str">
        <f ca="1">IFERROR(__xludf.DUMMYFUNCTION("REGEXREPLACE(REGEXEXTRACT(H83, ""г\)\s*(.*)""), ""^\s*"", """")"),"Удочка")</f>
        <v>Удочка</v>
      </c>
      <c r="H83" s="8" t="s">
        <v>86</v>
      </c>
    </row>
    <row r="84" spans="1:8" ht="30">
      <c r="A84" s="3" t="str">
        <f ca="1">IFERROR(__xludf.DUMMYFUNCTION("REGEXEXTRACT(H84, ""s*(.*?)\s*а\)"")"),"Какой моб появляется из яйца, брошенного игроком?")</f>
        <v>Какой моб появляется из яйца, брошенного игроком?</v>
      </c>
      <c r="B84" s="3">
        <v>1</v>
      </c>
      <c r="D84" s="3" t="str">
        <f ca="1">IFERROR(__xludf.DUMMYFUNCTION("REGEXREPLACE(REGEXEXTRACT(H84, ""а\)\s*(.*?)\s*б\)""), ""^\s*"", """")"),"Курица")</f>
        <v>Курица</v>
      </c>
      <c r="E84" s="3" t="str">
        <f ca="1">IFERROR(__xludf.DUMMYFUNCTION("REGEXREPLACE(REGEXEXTRACT(H84, ""б\)\s*(.*?)\s*в\)""), ""^\s*"", """")"),"Свинья")</f>
        <v>Свинья</v>
      </c>
      <c r="F84" s="3" t="str">
        <f ca="1">IFERROR(__xludf.DUMMYFUNCTION("REGEXREPLACE(REGEXEXTRACT(H84, ""в\)\s*(.*?)\s*г\)""), ""^\s*"", """")"),"Овца")</f>
        <v>Овца</v>
      </c>
      <c r="G84" s="3" t="str">
        <f ca="1">IFERROR(__xludf.DUMMYFUNCTION("REGEXREPLACE(REGEXEXTRACT(H84, ""г\)\s*(.*)""), ""^\s*"", """")"),"Корова")</f>
        <v>Корова</v>
      </c>
      <c r="H84" s="8" t="s">
        <v>87</v>
      </c>
    </row>
    <row r="85" spans="1:8" ht="30">
      <c r="A85" s="3" t="str">
        <f ca="1">IFERROR(__xludf.DUMMYFUNCTION("REGEXEXTRACT(H85, ""s*(.*?)\s*а\)"")"),"Что позволяет быстро добывать листву?")</f>
        <v>Что позволяет быстро добывать листву?</v>
      </c>
      <c r="B85" s="3">
        <v>1</v>
      </c>
      <c r="D85" s="3" t="str">
        <f ca="1">IFERROR(__xludf.DUMMYFUNCTION("REGEXREPLACE(REGEXEXTRACT(H85, ""а\)\s*(.*?)\s*б\)""), ""^\s*"", """")"),"Ножницы")</f>
        <v>Ножницы</v>
      </c>
      <c r="E85" s="3" t="str">
        <f ca="1">IFERROR(__xludf.DUMMYFUNCTION("REGEXREPLACE(REGEXEXTRACT(H85, ""б\)\s*(.*?)\s*в\)""), ""^\s*"", """")"),"Топор")</f>
        <v>Топор</v>
      </c>
      <c r="F85" s="3" t="str">
        <f ca="1">IFERROR(__xludf.DUMMYFUNCTION("REGEXREPLACE(REGEXEXTRACT(H85, ""в\)\s*(.*?)\s*г\)""), ""^\s*"", """")"),"Кирка")</f>
        <v>Кирка</v>
      </c>
      <c r="G85" s="3" t="str">
        <f ca="1">IFERROR(__xludf.DUMMYFUNCTION("REGEXREPLACE(REGEXEXTRACT(H85, ""г\)\s*(.*)""), ""^\s*"", """")"),"Лопата")</f>
        <v>Лопата</v>
      </c>
      <c r="H85" s="8" t="s">
        <v>88</v>
      </c>
    </row>
    <row r="86" spans="1:8" ht="30">
      <c r="A86" s="3" t="str">
        <f ca="1">IFERROR(__xludf.DUMMYFUNCTION("REGEXEXTRACT(H86, ""s*(.*?)\s*а\)"")"),"С помощью чего можно приручить волка?")</f>
        <v>С помощью чего можно приручить волка?</v>
      </c>
      <c r="B86" s="3">
        <v>1</v>
      </c>
      <c r="D86" s="3" t="str">
        <f ca="1">IFERROR(__xludf.DUMMYFUNCTION("REGEXREPLACE(REGEXEXTRACT(H86, ""а\)\s*(.*?)\s*б\)""), ""^\s*"", """")"),"Кость")</f>
        <v>Кость</v>
      </c>
      <c r="E86" s="3" t="str">
        <f ca="1">IFERROR(__xludf.DUMMYFUNCTION("REGEXREPLACE(REGEXEXTRACT(H86, ""б\)\s*(.*?)\s*в\)""), ""^\s*"", """")"),"Мясо")</f>
        <v>Мясо</v>
      </c>
      <c r="F86" s="3" t="str">
        <f ca="1">IFERROR(__xludf.DUMMYFUNCTION("REGEXREPLACE(REGEXEXTRACT(H86, ""в\)\s*(.*?)\s*г\)""), ""^\s*"", """")"),"Рыба")</f>
        <v>Рыба</v>
      </c>
      <c r="G86" s="3" t="str">
        <f ca="1">IFERROR(__xludf.DUMMYFUNCTION("REGEXREPLACE(REGEXEXTRACT(H86, ""г\)\s*(.*)""), ""^\s*"", """")"),"Семена")</f>
        <v>Семена</v>
      </c>
      <c r="H86" s="8" t="s">
        <v>89</v>
      </c>
    </row>
    <row r="87" spans="1:8" ht="45">
      <c r="A87" s="3" t="str">
        <f ca="1">IFERROR(__xludf.DUMMYFUNCTION("REGEXEXTRACT(H87, ""s*(.*?)\s*а\)"")"),"Какой блок используется для передачи сигнала редстоуна на расстояние?")</f>
        <v>Какой блок используется для передачи сигнала редстоуна на расстояние?</v>
      </c>
      <c r="B87" s="3">
        <v>1</v>
      </c>
      <c r="D87" s="3" t="str">
        <f ca="1">IFERROR(__xludf.DUMMYFUNCTION("REGEXREPLACE(REGEXEXTRACT(H87, ""а\)\s*(.*?)\s*б\)""), ""^\s*"", """")"),"Повторитель")</f>
        <v>Повторитель</v>
      </c>
      <c r="E87" s="3" t="str">
        <f ca="1">IFERROR(__xludf.DUMMYFUNCTION("REGEXREPLACE(REGEXEXTRACT(H87, ""б\)\s*(.*?)\s*в\)""), ""^\s*"", """")"),"Компаратор")</f>
        <v>Компаратор</v>
      </c>
      <c r="F87" s="3" t="str">
        <f ca="1">IFERROR(__xludf.DUMMYFUNCTION("REGEXREPLACE(REGEXEXTRACT(H87, ""в\)\s*(.*?)\s*г\)""), ""^\s*"", """")"),"Поршень")</f>
        <v>Поршень</v>
      </c>
      <c r="G87" s="3" t="str">
        <f ca="1">IFERROR(__xludf.DUMMYFUNCTION("REGEXREPLACE(REGEXEXTRACT(H87, ""г\)\s*(.*)""), ""^\s*"", """")"),"Наблюдатель")</f>
        <v>Наблюдатель</v>
      </c>
      <c r="H87" s="8" t="s">
        <v>90</v>
      </c>
    </row>
    <row r="88" spans="1:8" ht="30">
      <c r="A88" s="3" t="str">
        <f ca="1">IFERROR(__xludf.DUMMYFUNCTION("REGEXEXTRACT(H88, ""s*(.*?)\s*а\)"")"),"Какой моб обладает способностью взбираться по стенам?")</f>
        <v>Какой моб обладает способностью взбираться по стенам?</v>
      </c>
      <c r="B88" s="3">
        <v>1</v>
      </c>
      <c r="D88" s="3" t="str">
        <f ca="1">IFERROR(__xludf.DUMMYFUNCTION("REGEXREPLACE(REGEXEXTRACT(H88, ""а\)\s*(.*?)\s*б\)""), ""^\s*"", """")"),"Паук")</f>
        <v>Паук</v>
      </c>
      <c r="E88" s="3" t="str">
        <f ca="1">IFERROR(__xludf.DUMMYFUNCTION("REGEXREPLACE(REGEXEXTRACT(H88, ""б\)\s*(.*?)\s*в\)""), ""^\s*"", """")"),"Зомби")</f>
        <v>Зомби</v>
      </c>
      <c r="F88" s="3" t="str">
        <f ca="1">IFERROR(__xludf.DUMMYFUNCTION("REGEXREPLACE(REGEXEXTRACT(H88, ""в\)\s*(.*?)\s*г\)""), ""^\s*"", """")"),"Скелет")</f>
        <v>Скелет</v>
      </c>
      <c r="G88" s="3" t="str">
        <f ca="1">IFERROR(__xludf.DUMMYFUNCTION("REGEXREPLACE(REGEXEXTRACT(H88, ""г\)\s*(.*)""), ""^\s*"", """")"),"Крипер")</f>
        <v>Крипер</v>
      </c>
      <c r="H88" s="8" t="s">
        <v>91</v>
      </c>
    </row>
    <row r="89" spans="1:8" ht="45">
      <c r="A89" s="3" t="str">
        <f ca="1">IFERROR(__xludf.DUMMYFUNCTION("REGEXEXTRACT(H89, ""s*(.*?)\s*а\)"")"),"Какой моб появляется в аду и стреляет огненными шарами?")</f>
        <v>Какой моб появляется в аду и стреляет огненными шарами?</v>
      </c>
      <c r="B89" s="3">
        <v>1</v>
      </c>
      <c r="D89" s="3" t="str">
        <f ca="1">IFERROR(__xludf.DUMMYFUNCTION("REGEXREPLACE(REGEXEXTRACT(H89, ""а\)\s*(.*?)\s*б\)""), ""^\s*"", """")"),"Гаст")</f>
        <v>Гаст</v>
      </c>
      <c r="E89" s="3" t="str">
        <f ca="1">IFERROR(__xludf.DUMMYFUNCTION("REGEXREPLACE(REGEXEXTRACT(H89, ""б\)\s*(.*?)\s*в\)""), ""^\s*"", """")"),"Зомби-свиночеловек")</f>
        <v>Зомби-свиночеловек</v>
      </c>
      <c r="F89" s="3" t="str">
        <f ca="1">IFERROR(__xludf.DUMMYFUNCTION("REGEXREPLACE(REGEXEXTRACT(H89, ""в\)\s*(.*?)\s*г\)""), ""^\s*"", """")"),"Скелет")</f>
        <v>Скелет</v>
      </c>
      <c r="G89" s="3" t="str">
        <f ca="1">IFERROR(__xludf.DUMMYFUNCTION("REGEXREPLACE(REGEXEXTRACT(H89, ""г\)\s*(.*)""), ""^\s*"", """")"),"Лавовый куб")</f>
        <v>Лавовый куб</v>
      </c>
      <c r="H89" s="8" t="s">
        <v>92</v>
      </c>
    </row>
    <row r="90" spans="1:8" ht="45">
      <c r="A90" s="3" t="str">
        <f ca="1">IFERROR(__xludf.DUMMYFUNCTION("REGEXEXTRACT(H90, ""s*(.*?)\s*а\)"")"),"Что является основным ресурсом для создания строительных лесов?")</f>
        <v>Что является основным ресурсом для создания строительных лесов?</v>
      </c>
      <c r="B90" s="3">
        <v>1</v>
      </c>
      <c r="D90" s="3" t="str">
        <f ca="1">IFERROR(__xludf.DUMMYFUNCTION("REGEXREPLACE(REGEXEXTRACT(H90, ""а\)\s*(.*?)\s*б\)""), ""^\s*"", """")"),"Бамбук")</f>
        <v>Бамбук</v>
      </c>
      <c r="E90" s="3" t="str">
        <f ca="1">IFERROR(__xludf.DUMMYFUNCTION("REGEXREPLACE(REGEXEXTRACT(H90, ""б\)\s*(.*?)\s*в\)""), ""^\s*"", """")"),"Дерево")</f>
        <v>Дерево</v>
      </c>
      <c r="F90" s="3" t="str">
        <f ca="1">IFERROR(__xludf.DUMMYFUNCTION("REGEXREPLACE(REGEXEXTRACT(H90, ""в\)\s*(.*?)\s*г\)""), ""^\s*"", """")"),"Камень")</f>
        <v>Камень</v>
      </c>
      <c r="G90" s="3" t="str">
        <f ca="1">IFERROR(__xludf.DUMMYFUNCTION("REGEXREPLACE(REGEXEXTRACT(H90, ""г\)\s*(.*)""), ""^\s*"", """")"),"Железо")</f>
        <v>Железо</v>
      </c>
      <c r="H90" s="8" t="s">
        <v>93</v>
      </c>
    </row>
    <row r="91" spans="1:8" ht="30">
      <c r="A91" s="3" t="str">
        <f ca="1">IFERROR(__xludf.DUMMYFUNCTION("REGEXEXTRACT(H91, ""s*(.*?)\s*а\)"")"),"С помощью чего можно быстро вспахивать землю?")</f>
        <v>С помощью чего можно быстро вспахивать землю?</v>
      </c>
      <c r="B91" s="3">
        <v>1</v>
      </c>
      <c r="D91" s="3" t="str">
        <f ca="1">IFERROR(__xludf.DUMMYFUNCTION("REGEXREPLACE(REGEXEXTRACT(H91, ""а\)\s*(.*?)\s*б\)""), ""^\s*"", """")"),"Мотыга")</f>
        <v>Мотыга</v>
      </c>
      <c r="E91" s="3" t="str">
        <f ca="1">IFERROR(__xludf.DUMMYFUNCTION("REGEXREPLACE(REGEXEXTRACT(H91, ""б\)\s*(.*?)\s*в\)""), ""^\s*"", """")"),"Лопата")</f>
        <v>Лопата</v>
      </c>
      <c r="F91" s="3" t="str">
        <f ca="1">IFERROR(__xludf.DUMMYFUNCTION("REGEXREPLACE(REGEXEXTRACT(H91, ""в\)\s*(.*?)\s*г\)""), ""^\s*"", """")"),"Кирка")</f>
        <v>Кирка</v>
      </c>
      <c r="G91" s="3" t="str">
        <f ca="1">IFERROR(__xludf.DUMMYFUNCTION("REGEXREPLACE(REGEXEXTRACT(H91, ""г\)\s*(.*)""), ""^\s*"", """")"),"Топор")</f>
        <v>Топор</v>
      </c>
      <c r="H91" s="8" t="s">
        <v>94</v>
      </c>
    </row>
    <row r="92" spans="1:8" ht="30">
      <c r="A92" s="3" t="str">
        <f ca="1">IFERROR(__xludf.DUMMYFUNCTION("REGEXEXTRACT(H92, ""s*(.*?)\s*а\)"")"),"Какой моб нападает на жителей деревень?")</f>
        <v>Какой моб нападает на жителей деревень?</v>
      </c>
      <c r="B92" s="3">
        <v>1</v>
      </c>
      <c r="D92" s="3" t="str">
        <f ca="1">IFERROR(__xludf.DUMMYFUNCTION("REGEXREPLACE(REGEXEXTRACT(H92, ""а\)\s*(.*?)\s*б\)""), ""^\s*"", """")"),"Зомби")</f>
        <v>Зомби</v>
      </c>
      <c r="E92" s="3" t="str">
        <f ca="1">IFERROR(__xludf.DUMMYFUNCTION("REGEXREPLACE(REGEXEXTRACT(H92, ""б\)\s*(.*?)\s*в\)""), ""^\s*"", """")"),"Скелет")</f>
        <v>Скелет</v>
      </c>
      <c r="F92" s="3" t="str">
        <f ca="1">IFERROR(__xludf.DUMMYFUNCTION("REGEXREPLACE(REGEXEXTRACT(H92, ""в\)\s*(.*?)\s*г\)""), ""^\s*"", """")"),"Крипер")</f>
        <v>Крипер</v>
      </c>
      <c r="G92" s="3" t="str">
        <f ca="1">IFERROR(__xludf.DUMMYFUNCTION("REGEXREPLACE(REGEXEXTRACT(H92, ""г\)\s*(.*)""), ""^\s*"", """")"),"Паук")</f>
        <v>Паук</v>
      </c>
      <c r="H92" s="8" t="s">
        <v>95</v>
      </c>
    </row>
    <row r="93" spans="1:8" ht="45">
      <c r="A93" s="3" t="str">
        <f ca="1">IFERROR(__xludf.DUMMYFUNCTION("REGEXEXTRACT(H93, ""s*(.*?)\s*а\)"")"),"С помощью чего можно собирать мед из улья?")</f>
        <v>С помощью чего можно собирать мед из улья?</v>
      </c>
      <c r="B93" s="3">
        <v>1</v>
      </c>
      <c r="D93" s="3" t="str">
        <f ca="1">IFERROR(__xludf.DUMMYFUNCTION("REGEXREPLACE(REGEXEXTRACT(H93, ""а\)\s*(.*?)\s*б\)""), ""^\s*"", """")"),"Стеклянная бутылка")</f>
        <v>Стеклянная бутылка</v>
      </c>
      <c r="E93" s="3" t="str">
        <f ca="1">IFERROR(__xludf.DUMMYFUNCTION("REGEXREPLACE(REGEXEXTRACT(H93, ""б\)\s*(.*?)\s*в\)""), ""^\s*"", """")"),"Ведро")</f>
        <v>Ведро</v>
      </c>
      <c r="F93" s="3" t="str">
        <f ca="1">IFERROR(__xludf.DUMMYFUNCTION("REGEXREPLACE(REGEXEXTRACT(H93, ""в\)\s*(.*?)\s*г\)""), ""^\s*"", """")"),"Лопата")</f>
        <v>Лопата</v>
      </c>
      <c r="G93" s="3" t="str">
        <f ca="1">IFERROR(__xludf.DUMMYFUNCTION("REGEXREPLACE(REGEXEXTRACT(H93, ""г\)\s*(.*)""), ""^\s*"", """")"),"Топор")</f>
        <v>Топор</v>
      </c>
      <c r="H93" s="8" t="s">
        <v>96</v>
      </c>
    </row>
    <row r="94" spans="1:8" ht="45">
      <c r="A94" s="3" t="str">
        <f ca="1">IFERROR(__xludf.DUMMYFUNCTION("REGEXEXTRACT(H94, ""s*(.*?)\s*а\)"")"),"Какой предмет необходим для создания зелья невидимости?")</f>
        <v>Какой предмет необходим для создания зелья невидимости?</v>
      </c>
      <c r="B94" s="3">
        <v>1</v>
      </c>
      <c r="D94" s="3" t="str">
        <f ca="1">IFERROR(__xludf.DUMMYFUNCTION("REGEXREPLACE(REGEXEXTRACT(H94, ""а\)\s*(.*?)\s*б\)""), ""^\s*"", """")"),"Золотая морковь")</f>
        <v>Золотая морковь</v>
      </c>
      <c r="E94" s="3" t="str">
        <f ca="1">IFERROR(__xludf.DUMMYFUNCTION("REGEXREPLACE(REGEXEXTRACT(H94, ""б\)\s*(.*?)\s*в\)""), ""^\s*"", """")"),"Слеза гаста")</f>
        <v>Слеза гаста</v>
      </c>
      <c r="F94" s="3" t="str">
        <f ca="1">IFERROR(__xludf.DUMMYFUNCTION("REGEXREPLACE(REGEXEXTRACT(H94, ""в\)\s*(.*?)\s*г\)""), ""^\s*"", """")"),"Алмаз")</f>
        <v>Алмаз</v>
      </c>
      <c r="G94" s="3" t="str">
        <f ca="1">IFERROR(__xludf.DUMMYFUNCTION("REGEXREPLACE(REGEXEXTRACT(H94, ""г\)\s*(.*)""), ""^\s*"", """")"),"Лава")</f>
        <v>Лава</v>
      </c>
      <c r="H94" s="8" t="s">
        <v>97</v>
      </c>
    </row>
    <row r="95" spans="1:8" ht="45">
      <c r="A95" s="3" t="str">
        <f ca="1">IFERROR(__xludf.DUMMYFUNCTION("REGEXEXTRACT(H95, ""s*(.*?)\s*а\)"")"),"Что используется для создания музыкальных блоков?")</f>
        <v>Что используется для создания музыкальных блоков?</v>
      </c>
      <c r="B95" s="3">
        <v>1</v>
      </c>
      <c r="D95" s="3" t="str">
        <f ca="1">IFERROR(__xludf.DUMMYFUNCTION("REGEXREPLACE(REGEXEXTRACT(H95, ""а\)\s*(.*?)\s*б\)""), ""^\s*"", """")"),"Дерево")</f>
        <v>Дерево</v>
      </c>
      <c r="E95" s="3" t="str">
        <f ca="1">IFERROR(__xludf.DUMMYFUNCTION("REGEXREPLACE(REGEXEXTRACT(H95, ""б\)\s*(.*?)\s*в\)""), ""^\s*"", """")"),"Камень")</f>
        <v>Камень</v>
      </c>
      <c r="F95" s="3" t="str">
        <f ca="1">IFERROR(__xludf.DUMMYFUNCTION("REGEXREPLACE(REGEXEXTRACT(H95, ""в\)\s*(.*?)\s*г\)""), ""^\s*"", """")"),"Железо")</f>
        <v>Железо</v>
      </c>
      <c r="G95" s="3" t="str">
        <f ca="1">IFERROR(__xludf.DUMMYFUNCTION("REGEXREPLACE(REGEXEXTRACT(H95, ""г\)\s*(.*)""), ""^\s*"", """")"),"Алмаз")</f>
        <v>Алмаз</v>
      </c>
      <c r="H95" s="8" t="s">
        <v>98</v>
      </c>
    </row>
    <row r="96" spans="1:8" ht="45">
      <c r="A96" s="3" t="str">
        <f ca="1">IFERROR(__xludf.DUMMYFUNCTION("REGEXEXTRACT(H96, ""s*(.*?)\s*а\)"")"),"Какой моб плавает в воде и может атаковать игрока?")</f>
        <v>Какой моб плавает в воде и может атаковать игрока?</v>
      </c>
      <c r="B96" s="3">
        <v>1</v>
      </c>
      <c r="D96" s="3" t="str">
        <f ca="1">IFERROR(__xludf.DUMMYFUNCTION("REGEXREPLACE(REGEXEXTRACT(H96, ""а\)\s*(.*?)\s*б\)""), ""^\s*"", """")"),"Утопленник")</f>
        <v>Утопленник</v>
      </c>
      <c r="E96" s="3" t="str">
        <f ca="1">IFERROR(__xludf.DUMMYFUNCTION("REGEXREPLACE(REGEXEXTRACT(H96, ""б\)\s*(.*?)\s*в\)""), ""^\s*"", """")"),"Скелет")</f>
        <v>Скелет</v>
      </c>
      <c r="F96" s="3" t="str">
        <f ca="1">IFERROR(__xludf.DUMMYFUNCTION("REGEXREPLACE(REGEXEXTRACT(H96, ""в\)\s*(.*?)\s*г\)""), ""^\s*"", """")"),"Зомби")</f>
        <v>Зомби</v>
      </c>
      <c r="G96" s="3" t="str">
        <f ca="1">IFERROR(__xludf.DUMMYFUNCTION("REGEXREPLACE(REGEXEXTRACT(H96, ""г\)\s*(.*)""), ""^\s*"", """")"),"Крипер")</f>
        <v>Крипер</v>
      </c>
      <c r="H96" s="8" t="s">
        <v>99</v>
      </c>
    </row>
    <row r="97" spans="1:8" ht="45">
      <c r="A97" s="3" t="str">
        <f ca="1">IFERROR(__xludf.DUMMYFUNCTION("REGEXEXTRACT(H97, ""s*(.*?)\s*а\)"")"),"Для чего нужно кострище?")</f>
        <v>Для чего нужно кострище?</v>
      </c>
      <c r="B97" s="3">
        <v>1</v>
      </c>
      <c r="D97" s="3" t="str">
        <f ca="1">IFERROR(__xludf.DUMMYFUNCTION("REGEXREPLACE(REGEXEXTRACT(H97, ""а\)\s*(.*?)\s*б\)""), ""^\s*"", """")"),"Для приготовления пищи")</f>
        <v>Для приготовления пищи</v>
      </c>
      <c r="E97" s="3" t="str">
        <f ca="1">IFERROR(__xludf.DUMMYFUNCTION("REGEXREPLACE(REGEXEXTRACT(H97, ""б\)\s*(.*?)\s*в\)""), ""^\s*"", """")"),"Для украшения")</f>
        <v>Для украшения</v>
      </c>
      <c r="F97" s="3" t="str">
        <f ca="1">IFERROR(__xludf.DUMMYFUNCTION("REGEXREPLACE(REGEXEXTRACT(H97, ""в\)\s*(.*?)\s*г\)""), ""^\s*"", """")"),"Для отпугивания мобов")</f>
        <v>Для отпугивания мобов</v>
      </c>
      <c r="G97" s="3" t="str">
        <f ca="1">IFERROR(__xludf.DUMMYFUNCTION("REGEXREPLACE(REGEXEXTRACT(H97, ""г\)\s*(.*)""), ""^\s*"", """")"),"Для освещения территории")</f>
        <v>Для освещения территории</v>
      </c>
      <c r="H97" s="8" t="s">
        <v>100</v>
      </c>
    </row>
    <row r="98" spans="1:8" ht="45">
      <c r="A98" s="3" t="str">
        <f ca="1">IFERROR(__xludf.DUMMYFUNCTION("REGEXEXTRACT(H98, ""s*(.*?)\s*а\)"")"),"С помощью чего можно быстро срубить огромное дерево?")</f>
        <v>С помощью чего можно быстро срубить огромное дерево?</v>
      </c>
      <c r="B98" s="3">
        <v>1</v>
      </c>
      <c r="D98" s="3" t="str">
        <f ca="1">IFERROR(__xludf.DUMMYFUNCTION("REGEXREPLACE(REGEXEXTRACT(H98, ""а\)\s*(.*?)\s*б\)""), ""^\s*"", """")"),"Топор")</f>
        <v>Топор</v>
      </c>
      <c r="E98" s="3" t="str">
        <f ca="1">IFERROR(__xludf.DUMMYFUNCTION("REGEXREPLACE(REGEXEXTRACT(H98, ""б\)\s*(.*?)\s*в\)""), ""^\s*"", """")"),"Кирка")</f>
        <v>Кирка</v>
      </c>
      <c r="F98" s="3" t="str">
        <f ca="1">IFERROR(__xludf.DUMMYFUNCTION("REGEXREPLACE(REGEXEXTRACT(H98, ""в\)\s*(.*?)\s*г\)""), ""^\s*"", """")"),"Мотыга")</f>
        <v>Мотыга</v>
      </c>
      <c r="G98" s="3" t="str">
        <f ca="1">IFERROR(__xludf.DUMMYFUNCTION("REGEXREPLACE(REGEXEXTRACT(H98, ""г\)\s*(.*)""), ""^\s*"", """")"),"Лопата")</f>
        <v>Лопата</v>
      </c>
      <c r="H98" s="8" t="s">
        <v>101</v>
      </c>
    </row>
    <row r="99" spans="1:8" ht="30">
      <c r="A99" s="3" t="str">
        <f ca="1">IFERROR(__xludf.DUMMYFUNCTION("REGEXEXTRACT(H99, ""s*(.*?)\s*а\)"")"),"Что нужно для создания стола картографа?")</f>
        <v>Что нужно для создания стола картографа?</v>
      </c>
      <c r="B99" s="3">
        <v>1</v>
      </c>
      <c r="D99" s="3" t="str">
        <f ca="1">IFERROR(__xludf.DUMMYFUNCTION("REGEXREPLACE(REGEXEXTRACT(H99, ""а\)\s*(.*?)\s*б\)""), ""^\s*"", """")"),"Бумага")</f>
        <v>Бумага</v>
      </c>
      <c r="E99" s="3" t="str">
        <f ca="1">IFERROR(__xludf.DUMMYFUNCTION("REGEXREPLACE(REGEXEXTRACT(H99, ""б\)\s*(.*?)\s*в\)""), ""^\s*"", """")"),"Камень")</f>
        <v>Камень</v>
      </c>
      <c r="F99" s="3" t="str">
        <f ca="1">IFERROR(__xludf.DUMMYFUNCTION("REGEXREPLACE(REGEXEXTRACT(H99, ""в\)\s*(.*?)\s*г\)""), ""^\s*"", """")"),"Листья")</f>
        <v>Листья</v>
      </c>
      <c r="G99" s="3" t="str">
        <f ca="1">IFERROR(__xludf.DUMMYFUNCTION("REGEXREPLACE(REGEXEXTRACT(H99, ""г\)\s*(.*)""), ""^\s*"", """")"),"Редстоун")</f>
        <v>Редстоун</v>
      </c>
      <c r="H99" s="8" t="s">
        <v>102</v>
      </c>
    </row>
    <row r="100" spans="1:8" ht="45">
      <c r="A100" s="3" t="str">
        <f ca="1">IFERROR(__xludf.DUMMYFUNCTION("REGEXEXTRACT(H100, ""s*(.*?)\s*а\)"")"),"Для чего нужен компас?")</f>
        <v>Для чего нужен компас?</v>
      </c>
      <c r="B100" s="3">
        <v>1</v>
      </c>
      <c r="D100" s="3" t="str">
        <f ca="1">IFERROR(__xludf.DUMMYFUNCTION("REGEXREPLACE(REGEXEXTRACT(H100, ""а\)\s*(.*?)\s*б\)""), ""^\s*"", """")"),"Что бы не заблудиться")</f>
        <v>Что бы не заблудиться</v>
      </c>
      <c r="E100" s="3" t="str">
        <f ca="1">IFERROR(__xludf.DUMMYFUNCTION("REGEXREPLACE(REGEXEXTRACT(H100, ""б\)\s*(.*?)\s*в\)""), ""^\s*"", """")"),"Для ориентирования во времени")</f>
        <v>Для ориентирования во времени</v>
      </c>
      <c r="F100" s="3" t="str">
        <f ca="1">IFERROR(__xludf.DUMMYFUNCTION("REGEXREPLACE(REGEXEXTRACT(H100, ""в\)\s*(.*?)\s*г\)""), ""^\s*"", """")"),"Для поиска сокровищ")</f>
        <v>Для поиска сокровищ</v>
      </c>
      <c r="G100" s="3" t="str">
        <f ca="1">IFERROR(__xludf.DUMMYFUNCTION("REGEXREPLACE(REGEXEXTRACT(H100, ""г\)\s*(.*)""), ""^\s*"", """")"),"Для полёта")</f>
        <v>Для полёта</v>
      </c>
      <c r="H100" s="8" t="s">
        <v>103</v>
      </c>
    </row>
    <row r="101" spans="1:8" ht="30">
      <c r="A101" s="3" t="str">
        <f ca="1">IFERROR(__xludf.DUMMYFUNCTION("REGEXEXTRACT(H101, ""s*(.*?)\s*а\)"")"),"Что нужно для создания динамита?")</f>
        <v>Что нужно для создания динамита?</v>
      </c>
      <c r="B101" s="3">
        <v>1</v>
      </c>
      <c r="D101" s="3" t="str">
        <f ca="1">IFERROR(__xludf.DUMMYFUNCTION("REGEXREPLACE(REGEXEXTRACT(H101, ""а\)\s*(.*?)\s*б\)""), ""^\s*"", """")"),"Порох")</f>
        <v>Порох</v>
      </c>
      <c r="E101" s="3" t="str">
        <f ca="1">IFERROR(__xludf.DUMMYFUNCTION("REGEXREPLACE(REGEXEXTRACT(H101, ""б\)\s*(.*?)\s*в\)""), ""^\s*"", """")"),"Уголь")</f>
        <v>Уголь</v>
      </c>
      <c r="F101" s="3" t="str">
        <f ca="1">IFERROR(__xludf.DUMMYFUNCTION("REGEXREPLACE(REGEXEXTRACT(H101, ""в\)\s*(.*?)\s*г\)""), ""^\s*"", """")"),"Редстоун")</f>
        <v>Редстоун</v>
      </c>
      <c r="G101" s="3" t="str">
        <f ca="1">IFERROR(__xludf.DUMMYFUNCTION("REGEXREPLACE(REGEXEXTRACT(H101, ""г\)\s*(.*)""), ""^\s*"", """")"),"Железо")</f>
        <v>Железо</v>
      </c>
      <c r="H101" s="8" t="s">
        <v>104</v>
      </c>
    </row>
    <row r="102" spans="1:8" ht="45">
      <c r="A102" s="3" t="str">
        <f ca="1">IFERROR(__xludf.DUMMYFUNCTION("REGEXEXTRACT(H102, ""s*(.*?)\s*а\)"")"),"Какой предмет можно использовать для телепортации?")</f>
        <v>Какой предмет можно использовать для телепортации?</v>
      </c>
      <c r="B102" s="3">
        <v>1</v>
      </c>
      <c r="D102" s="3" t="str">
        <f ca="1">IFERROR(__xludf.DUMMYFUNCTION("REGEXREPLACE(REGEXEXTRACT(H102, ""а\)\s*(.*?)\s*б\)""), ""^\s*"", """")"),"Жемчуг Края")</f>
        <v>Жемчуг Края</v>
      </c>
      <c r="E102" s="3" t="str">
        <f ca="1">IFERROR(__xludf.DUMMYFUNCTION("REGEXREPLACE(REGEXEXTRACT(H102, ""б\)\s*(.*?)\s*в\)""), ""^\s*"", """")"),"Камень Края")</f>
        <v>Камень Края</v>
      </c>
      <c r="F102" s="3" t="str">
        <f ca="1">IFERROR(__xludf.DUMMYFUNCTION("REGEXREPLACE(REGEXEXTRACT(H102, ""в\)\s*(.*?)\s*г\)""), ""^\s*"", """")"),"Обсидиан")</f>
        <v>Обсидиан</v>
      </c>
      <c r="G102" s="3" t="str">
        <f ca="1">IFERROR(__xludf.DUMMYFUNCTION("REGEXREPLACE(REGEXEXTRACT(H102, ""г\)\s*(.*)""), ""^\s*"", """")"),"Камень")</f>
        <v>Камень</v>
      </c>
      <c r="H102" s="8" t="s">
        <v>105</v>
      </c>
    </row>
    <row r="103" spans="1:8" ht="45">
      <c r="A103" s="3" t="str">
        <f ca="1">IFERROR(__xludf.DUMMYFUNCTION("REGEXEXTRACT(H103, ""s*(.*?)\s*а\)"")"),"Как называется блок, который может липнуть к другим блокам?")</f>
        <v>Как называется блок, который может липнуть к другим блокам?</v>
      </c>
      <c r="B103" s="3">
        <v>1</v>
      </c>
      <c r="D103" s="3" t="str">
        <f ca="1">IFERROR(__xludf.DUMMYFUNCTION("REGEXREPLACE(REGEXEXTRACT(H103, ""а\)\s*(.*?)\s*б\)""), ""^\s*"", """")"),"Липкий поршень")</f>
        <v>Липкий поршень</v>
      </c>
      <c r="E103" s="3" t="str">
        <f ca="1">IFERROR(__xludf.DUMMYFUNCTION("REGEXREPLACE(REGEXEXTRACT(H103, ""б\)\s*(.*?)\s*в\)""), ""^\s*"", """")"),"Обычный поршень")</f>
        <v>Обычный поршень</v>
      </c>
      <c r="F103" s="3" t="str">
        <f ca="1">IFERROR(__xludf.DUMMYFUNCTION("REGEXREPLACE(REGEXEXTRACT(H103, ""в\)\s*(.*?)\s*г\)""), ""^\s*"", """")"),"Слизь")</f>
        <v>Слизь</v>
      </c>
      <c r="G103" s="3" t="str">
        <f ca="1">IFERROR(__xludf.DUMMYFUNCTION("REGEXREPLACE(REGEXEXTRACT(H103, ""г\)\s*(.*)""), ""^\s*"", """")"),"Мед")</f>
        <v>Мед</v>
      </c>
      <c r="H103" s="8" t="s">
        <v>106</v>
      </c>
    </row>
    <row r="104" spans="1:8" ht="30">
      <c r="A104" s="3" t="str">
        <f ca="1">IFERROR(__xludf.DUMMYFUNCTION("REGEXEXTRACT(H104, ""s*(.*?)\s*а\)"")"),"Какую еду любят панды?")</f>
        <v>Какую еду любят панды?</v>
      </c>
      <c r="B104" s="3">
        <v>1</v>
      </c>
      <c r="D104" s="3" t="str">
        <f ca="1">IFERROR(__xludf.DUMMYFUNCTION("REGEXREPLACE(REGEXEXTRACT(H104, ""а\)\s*(.*?)\s*б\)""), ""^\s*"", """")"),"Бамбук")</f>
        <v>Бамбук</v>
      </c>
      <c r="E104" s="3" t="str">
        <f ca="1">IFERROR(__xludf.DUMMYFUNCTION("REGEXREPLACE(REGEXEXTRACT(H104, ""б\)\s*(.*?)\s*в\)""), ""^\s*"", """")"),"Яблоки")</f>
        <v>Яблоки</v>
      </c>
      <c r="F104" s="3" t="str">
        <f ca="1">IFERROR(__xludf.DUMMYFUNCTION("REGEXREPLACE(REGEXEXTRACT(H104, ""в\)\s*(.*?)\s*г\)""), ""^\s*"", """")"),"Торт")</f>
        <v>Торт</v>
      </c>
      <c r="G104" s="3" t="str">
        <f ca="1">IFERROR(__xludf.DUMMYFUNCTION("REGEXREPLACE(REGEXEXTRACT(H104, ""г\)\s*(.*)""), ""^\s*"", """")"),"Семена")</f>
        <v>Семена</v>
      </c>
      <c r="H104" s="8" t="s">
        <v>107</v>
      </c>
    </row>
    <row r="105" spans="1:8" ht="45">
      <c r="A105" s="3" t="str">
        <f ca="1">IFERROR(__xludf.DUMMYFUNCTION("REGEXEXTRACT(H105, ""s*(.*?)\s*а\)"")"),"Какой инструмент позволяет быстро копать песок и гравий?")</f>
        <v>Какой инструмент позволяет быстро копать песок и гравий?</v>
      </c>
      <c r="B105" s="3">
        <v>1</v>
      </c>
      <c r="D105" s="3" t="str">
        <f ca="1">IFERROR(__xludf.DUMMYFUNCTION("REGEXREPLACE(REGEXEXTRACT(H105, ""а\)\s*(.*?)\s*б\)""), ""^\s*"", """")"),"Лопата")</f>
        <v>Лопата</v>
      </c>
      <c r="E105" s="3" t="str">
        <f ca="1">IFERROR(__xludf.DUMMYFUNCTION("REGEXREPLACE(REGEXEXTRACT(H105, ""б\)\s*(.*?)\s*в\)""), ""^\s*"", """")"),"Кирка")</f>
        <v>Кирка</v>
      </c>
      <c r="F105" s="3" t="str">
        <f ca="1">IFERROR(__xludf.DUMMYFUNCTION("REGEXREPLACE(REGEXEXTRACT(H105, ""в\)\s*(.*?)\s*г\)""), ""^\s*"", """")"),"Топор")</f>
        <v>Топор</v>
      </c>
      <c r="G105" s="3" t="str">
        <f ca="1">IFERROR(__xludf.DUMMYFUNCTION("REGEXREPLACE(REGEXEXTRACT(H105, ""г\)\s*(.*)""), ""^\s*"", """")"),"Мотыга")</f>
        <v>Мотыга</v>
      </c>
      <c r="H105" s="8" t="s">
        <v>108</v>
      </c>
    </row>
    <row r="106" spans="1:8" ht="30">
      <c r="A106" s="3" t="str">
        <f ca="1">IFERROR(__xludf.DUMMYFUNCTION("REGEXEXTRACT(H106, ""s*(.*?)\s*а\)"")"),"Какой моб превращается в ведьму от удара молнии?")</f>
        <v>Какой моб превращается в ведьму от удара молнии?</v>
      </c>
      <c r="B106" s="3">
        <v>1</v>
      </c>
      <c r="D106" s="3" t="str">
        <f ca="1">IFERROR(__xludf.DUMMYFUNCTION("REGEXREPLACE(REGEXEXTRACT(H106, ""а\)\s*(.*?)\s*б\)""), ""^\s*"", """")"),"Житель")</f>
        <v>Житель</v>
      </c>
      <c r="E106" s="3" t="str">
        <f ca="1">IFERROR(__xludf.DUMMYFUNCTION("REGEXREPLACE(REGEXEXTRACT(H106, ""б\)\s*(.*?)\s*в\)""), ""^\s*"", """")"),"Зомби")</f>
        <v>Зомби</v>
      </c>
      <c r="F106" s="3" t="str">
        <f ca="1">IFERROR(__xludf.DUMMYFUNCTION("REGEXREPLACE(REGEXEXTRACT(H106, ""в\)\s*(.*?)\s*г\)""), ""^\s*"", """")"),"Скелет")</f>
        <v>Скелет</v>
      </c>
      <c r="G106" s="3" t="str">
        <f ca="1">IFERROR(__xludf.DUMMYFUNCTION("REGEXREPLACE(REGEXEXTRACT(H106, ""г\)\s*(.*)""), ""^\s*"", """")"),"Крипер")</f>
        <v>Крипер</v>
      </c>
      <c r="H106" s="8" t="s">
        <v>109</v>
      </c>
    </row>
    <row r="107" spans="1:8" ht="30">
      <c r="A107" s="3" t="str">
        <f ca="1">IFERROR(__xludf.DUMMYFUNCTION("REGEXEXTRACT(H107, ""s*(.*?)\s*а\)"")"),"Какой ресурс используется для создания стекла?")</f>
        <v>Какой ресурс используется для создания стекла?</v>
      </c>
      <c r="B107" s="3">
        <v>1</v>
      </c>
      <c r="D107" s="3" t="str">
        <f ca="1">IFERROR(__xludf.DUMMYFUNCTION("REGEXREPLACE(REGEXEXTRACT(H107, ""а\)\s*(.*?)\s*б\)""), ""^\s*"", """")"),"Песок")</f>
        <v>Песок</v>
      </c>
      <c r="E107" s="3" t="str">
        <f ca="1">IFERROR(__xludf.DUMMYFUNCTION("REGEXREPLACE(REGEXEXTRACT(H107, ""б\)\s*(.*?)\s*в\)""), ""^\s*"", """")"),"Камень")</f>
        <v>Камень</v>
      </c>
      <c r="F107" s="3" t="str">
        <f ca="1">IFERROR(__xludf.DUMMYFUNCTION("REGEXREPLACE(REGEXEXTRACT(H107, ""в\)\s*(.*?)\s*г\)""), ""^\s*"", """")"),"Земля")</f>
        <v>Земля</v>
      </c>
      <c r="G107" s="3" t="str">
        <f ca="1">IFERROR(__xludf.DUMMYFUNCTION("REGEXREPLACE(REGEXEXTRACT(H107, ""г\)\s*(.*)""), ""^\s*"", """")"),"Гравий")</f>
        <v>Гравий</v>
      </c>
      <c r="H107" s="8" t="s">
        <v>110</v>
      </c>
    </row>
    <row r="108" spans="1:8" ht="30">
      <c r="A108" s="3" t="str">
        <f ca="1">IFERROR(__xludf.DUMMYFUNCTION("REGEXEXTRACT(H108, ""s*(.*?)\s*а\)"")"),"Какой блок используется для создания костра?")</f>
        <v>Какой блок используется для создания костра?</v>
      </c>
      <c r="B108" s="3">
        <v>1</v>
      </c>
      <c r="D108" s="3" t="str">
        <f ca="1">IFERROR(__xludf.DUMMYFUNCTION("REGEXREPLACE(REGEXEXTRACT(H108, ""а\)\s*(.*?)\s*б\)""), ""^\s*"", """")"),"Уголь")</f>
        <v>Уголь</v>
      </c>
      <c r="E108" s="3" t="str">
        <f ca="1">IFERROR(__xludf.DUMMYFUNCTION("REGEXREPLACE(REGEXEXTRACT(H108, ""б\)\s*(.*?)\s*в\)""), ""^\s*"", """")"),"Железо")</f>
        <v>Железо</v>
      </c>
      <c r="F108" s="3" t="str">
        <f ca="1">IFERROR(__xludf.DUMMYFUNCTION("REGEXREPLACE(REGEXEXTRACT(H108, ""в\)\s*(.*?)\s*г\)""), ""^\s*"", """")"),"Золото")</f>
        <v>Золото</v>
      </c>
      <c r="G108" s="3" t="str">
        <f ca="1">IFERROR(__xludf.DUMMYFUNCTION("REGEXREPLACE(REGEXEXTRACT(H108, ""г\)\s*(.*)""), ""^\s*"", """")"),"Алмазы")</f>
        <v>Алмазы</v>
      </c>
      <c r="H108" s="8" t="s">
        <v>111</v>
      </c>
    </row>
    <row r="109" spans="1:8" ht="30">
      <c r="A109" s="3" t="str">
        <f ca="1">IFERROR(__xludf.DUMMYFUNCTION("REGEXEXTRACT(H109, ""s*(.*?)\s*а\)"")"),"Где можно найти элитры?")</f>
        <v>Где можно найти элитры?</v>
      </c>
      <c r="B109" s="3">
        <v>1</v>
      </c>
      <c r="D109" s="3" t="str">
        <f ca="1">IFERROR(__xludf.DUMMYFUNCTION("REGEXREPLACE(REGEXEXTRACT(H109, ""а\)\s*(.*?)\s*б\)""), ""^\s*"", """")"),"В корабле Края")</f>
        <v>В корабле Края</v>
      </c>
      <c r="E109" s="3" t="str">
        <f ca="1">IFERROR(__xludf.DUMMYFUNCTION("REGEXREPLACE(REGEXEXTRACT(H109, ""б\)\s*(.*?)\s*в\)""), ""^\s*"", """")"),"В сокровищнице")</f>
        <v>В сокровищнице</v>
      </c>
      <c r="F109" s="3" t="str">
        <f ca="1">IFERROR(__xludf.DUMMYFUNCTION("REGEXREPLACE(REGEXEXTRACT(H109, ""в\)\s*(.*?)\s*г\)""), ""^\s*"", """")"),"В шахте")</f>
        <v>В шахте</v>
      </c>
      <c r="G109" s="3" t="str">
        <f ca="1">IFERROR(__xludf.DUMMYFUNCTION("REGEXREPLACE(REGEXEXTRACT(H109, ""г\)\s*(.*)""), ""^\s*"", """")"),"В пещере")</f>
        <v>В пещере</v>
      </c>
      <c r="H109" s="8" t="s">
        <v>112</v>
      </c>
    </row>
    <row r="110" spans="1:8" ht="30">
      <c r="A110" s="3" t="str">
        <f ca="1">IFERROR(__xludf.DUMMYFUNCTION("REGEXEXTRACT(H110, ""s*(.*?)\s*а\)"")"),"Что используется для создания динамита?")</f>
        <v>Что используется для создания динамита?</v>
      </c>
      <c r="B110" s="3">
        <v>1</v>
      </c>
      <c r="D110" s="3" t="str">
        <f ca="1">IFERROR(__xludf.DUMMYFUNCTION("REGEXREPLACE(REGEXEXTRACT(H110, ""а\)\s*(.*?)\s*б\)""), ""^\s*"", """")"),"Порох")</f>
        <v>Порох</v>
      </c>
      <c r="E110" s="3" t="str">
        <f ca="1">IFERROR(__xludf.DUMMYFUNCTION("REGEXREPLACE(REGEXEXTRACT(H110, ""б\)\s*(.*?)\s*в\)""), ""^\s*"", """")"),"Уголь")</f>
        <v>Уголь</v>
      </c>
      <c r="F110" s="3" t="str">
        <f ca="1">IFERROR(__xludf.DUMMYFUNCTION("REGEXREPLACE(REGEXEXTRACT(H110, ""в\)\s*(.*?)\s*г\)""), ""^\s*"", """")"),"Редстоун")</f>
        <v>Редстоун</v>
      </c>
      <c r="G110" s="3" t="str">
        <f ca="1">IFERROR(__xludf.DUMMYFUNCTION("REGEXREPLACE(REGEXEXTRACT(H110, ""г\)\s*(.*)""), ""^\s*"", """")"),"Железо")</f>
        <v>Железо</v>
      </c>
      <c r="H110" s="8" t="s">
        <v>113</v>
      </c>
    </row>
    <row r="111" spans="1:8" ht="45">
      <c r="A111" s="3" t="str">
        <f ca="1">IFERROR(__xludf.DUMMYFUNCTION("REGEXEXTRACT(H111, ""s*(.*?)\s*а\)"")"),"Какой ресурс используется для создания фейерверков?")</f>
        <v>Какой ресурс используется для создания фейерверков?</v>
      </c>
      <c r="B111" s="3">
        <v>1</v>
      </c>
      <c r="D111" s="3" t="str">
        <f ca="1">IFERROR(__xludf.DUMMYFUNCTION("REGEXREPLACE(REGEXEXTRACT(H111, ""а\)\s*(.*?)\s*б\)""), ""^\s*"", """")"),"Порох")</f>
        <v>Порох</v>
      </c>
      <c r="E111" s="3" t="str">
        <f ca="1">IFERROR(__xludf.DUMMYFUNCTION("REGEXREPLACE(REGEXEXTRACT(H111, ""б\)\s*(.*?)\s*в\)""), ""^\s*"", """")"),"Уголь")</f>
        <v>Уголь</v>
      </c>
      <c r="F111" s="3" t="str">
        <f ca="1">IFERROR(__xludf.DUMMYFUNCTION("REGEXREPLACE(REGEXEXTRACT(H111, ""в\)\s*(.*?)\s*г\)""), ""^\s*"", """")"),"Редстоун")</f>
        <v>Редстоун</v>
      </c>
      <c r="G111" s="3" t="str">
        <f ca="1">IFERROR(__xludf.DUMMYFUNCTION("REGEXREPLACE(REGEXEXTRACT(H111, ""г\)\s*(.*)""), ""^\s*"", """")"),"Железо")</f>
        <v>Железо</v>
      </c>
      <c r="H111" s="8" t="s">
        <v>114</v>
      </c>
    </row>
    <row r="112" spans="1:8" ht="30">
      <c r="A112" s="3" t="str">
        <f ca="1">IFERROR(__xludf.DUMMYFUNCTION("REGEXEXTRACT(H112, ""s*(.*?)\s*а\)"")"),"Какое животное можно найти в снежном биоме?")</f>
        <v>Какое животное можно найти в снежном биоме?</v>
      </c>
      <c r="B112" s="3">
        <v>1</v>
      </c>
      <c r="D112" s="3" t="str">
        <f ca="1">IFERROR(__xludf.DUMMYFUNCTION("REGEXREPLACE(REGEXEXTRACT(H112, ""а\)\s*(.*?)\s*б\)""), ""^\s*"", """")"),"Белый медведь")</f>
        <v>Белый медведь</v>
      </c>
      <c r="E112" s="3" t="str">
        <f ca="1">IFERROR(__xludf.DUMMYFUNCTION("REGEXREPLACE(REGEXEXTRACT(H112, ""б\)\s*(.*?)\s*в\)""), ""^\s*"", """")"),"Корова")</f>
        <v>Корова</v>
      </c>
      <c r="F112" s="3" t="str">
        <f ca="1">IFERROR(__xludf.DUMMYFUNCTION("REGEXREPLACE(REGEXEXTRACT(H112, ""в\)\s*(.*?)\s*г\)""), ""^\s*"", """")"),"Овца")</f>
        <v>Овца</v>
      </c>
      <c r="G112" s="3" t="str">
        <f ca="1">IFERROR(__xludf.DUMMYFUNCTION("REGEXREPLACE(REGEXEXTRACT(H112, ""г\)\s*(.*)""), ""^\s*"", """")"),"Свинья")</f>
        <v>Свинья</v>
      </c>
      <c r="H112" s="8" t="s">
        <v>115</v>
      </c>
    </row>
    <row r="113" spans="1:8" ht="30">
      <c r="A113" s="3" t="str">
        <f ca="1">IFERROR(__xludf.DUMMYFUNCTION("REGEXEXTRACT(H113, ""s*(.*?)\s*а\)"")"),"Какой инструмент используется для создания карты?")</f>
        <v>Какой инструмент используется для создания карты?</v>
      </c>
      <c r="B113" s="3">
        <v>1</v>
      </c>
      <c r="D113" s="3" t="str">
        <f ca="1">IFERROR(__xludf.DUMMYFUNCTION("REGEXREPLACE(REGEXEXTRACT(H113, ""а\)\s*(.*?)\s*б\)""), ""^\s*"", """")"),"Компас")</f>
        <v>Компас</v>
      </c>
      <c r="E113" s="3" t="str">
        <f ca="1">IFERROR(__xludf.DUMMYFUNCTION("REGEXREPLACE(REGEXEXTRACT(H113, ""б\)\s*(.*?)\s*в\)""), ""^\s*"", """")"),"Кирка")</f>
        <v>Кирка</v>
      </c>
      <c r="F113" s="3" t="str">
        <f ca="1">IFERROR(__xludf.DUMMYFUNCTION("REGEXREPLACE(REGEXEXTRACT(H113, ""в\)\s*(.*?)\s*г\)""), ""^\s*"", """")"),"Топор")</f>
        <v>Топор</v>
      </c>
      <c r="G113" s="3" t="str">
        <f ca="1">IFERROR(__xludf.DUMMYFUNCTION("REGEXREPLACE(REGEXEXTRACT(H113, ""г\)\s*(.*)""), ""^\s*"", """")"),"Лопата")</f>
        <v>Лопата</v>
      </c>
      <c r="H113" s="8" t="s">
        <v>116</v>
      </c>
    </row>
    <row r="114" spans="1:8" ht="45">
      <c r="A114" s="3" t="str">
        <f ca="1">IFERROR(__xludf.DUMMYFUNCTION("REGEXEXTRACT(H114, ""s*(.*?)\s*а\)"")"),"Какой блок позволяет получить случайный предмет?")</f>
        <v>Какой блок позволяет получить случайный предмет?</v>
      </c>
      <c r="B114" s="3">
        <v>1</v>
      </c>
      <c r="D114" s="3" t="str">
        <f ca="1">IFERROR(__xludf.DUMMYFUNCTION("REGEXREPLACE(REGEXEXTRACT(H114, ""а\)\s*(.*?)\s*б\)""), ""^\s*"", """")"),"Раздатчик")</f>
        <v>Раздатчик</v>
      </c>
      <c r="E114" s="3" t="str">
        <f ca="1">IFERROR(__xludf.DUMMYFUNCTION("REGEXREPLACE(REGEXEXTRACT(H114, ""б\)\s*(.*?)\s*в\)""), ""^\s*"", """")"),"Сундук")</f>
        <v>Сундук</v>
      </c>
      <c r="F114" s="3" t="str">
        <f ca="1">IFERROR(__xludf.DUMMYFUNCTION("REGEXREPLACE(REGEXEXTRACT(H114, ""в\)\s*(.*?)\s*г\)""), ""^\s*"", """")"),"Верстак")</f>
        <v>Верстак</v>
      </c>
      <c r="G114" s="3" t="str">
        <f ca="1">IFERROR(__xludf.DUMMYFUNCTION("REGEXREPLACE(REGEXEXTRACT(H114, ""г\)\s*(.*)""), ""^\s*"", """")"),"Печь")</f>
        <v>Печь</v>
      </c>
      <c r="H114" s="8" t="s">
        <v>117</v>
      </c>
    </row>
    <row r="115" spans="1:8" ht="30">
      <c r="A115" s="3" t="str">
        <f ca="1">IFERROR(__xludf.DUMMYFUNCTION("REGEXEXTRACT(H115, ""s*(.*?)\s*а\)"")"),"Какой моб используется для передвижения в аду?")</f>
        <v>Какой моб используется для передвижения в аду?</v>
      </c>
      <c r="B115" s="3">
        <v>1</v>
      </c>
      <c r="D115" s="3" t="str">
        <f ca="1">IFERROR(__xludf.DUMMYFUNCTION("REGEXREPLACE(REGEXEXTRACT(H115, ""а\)\s*(.*?)\s*б\)""), ""^\s*"", """")"),"Страйдер")</f>
        <v>Страйдер</v>
      </c>
      <c r="E115" s="3" t="str">
        <f ca="1">IFERROR(__xludf.DUMMYFUNCTION("REGEXREPLACE(REGEXEXTRACT(H115, ""б\)\s*(.*?)\s*в\)""), ""^\s*"", """")"),"Зомби")</f>
        <v>Зомби</v>
      </c>
      <c r="F115" s="3" t="str">
        <f ca="1">IFERROR(__xludf.DUMMYFUNCTION("REGEXREPLACE(REGEXEXTRACT(H115, ""в\)\s*(.*?)\s*г\)""), ""^\s*"", """")"),"Крипер")</f>
        <v>Крипер</v>
      </c>
      <c r="G115" s="3" t="str">
        <f ca="1">IFERROR(__xludf.DUMMYFUNCTION("REGEXREPLACE(REGEXEXTRACT(H115, ""г\)\s*(.*)""), ""^\s*"", """")"),"Скелет")</f>
        <v>Скелет</v>
      </c>
      <c r="H115" s="8" t="s">
        <v>118</v>
      </c>
    </row>
    <row r="116" spans="1:8" ht="30">
      <c r="A116" s="3" t="str">
        <f ca="1">IFERROR(__xludf.DUMMYFUNCTION("REGEXEXTRACT(H116, ""s*(.*?)\s*а\)"")"),"Что нужно для создания костра?")</f>
        <v>Что нужно для создания костра?</v>
      </c>
      <c r="B116" s="3">
        <v>1</v>
      </c>
      <c r="D116" s="3" t="str">
        <f ca="1">IFERROR(__xludf.DUMMYFUNCTION("REGEXREPLACE(REGEXEXTRACT(H116, ""а\)\s*(.*?)\s*б\)""), ""^\s*"", """")"),"Дерево")</f>
        <v>Дерево</v>
      </c>
      <c r="E116" s="3" t="str">
        <f ca="1">IFERROR(__xludf.DUMMYFUNCTION("REGEXREPLACE(REGEXEXTRACT(H116, ""б\)\s*(.*?)\s*в\)""), ""^\s*"", """")"),"Камень")</f>
        <v>Камень</v>
      </c>
      <c r="F116" s="3" t="str">
        <f ca="1">IFERROR(__xludf.DUMMYFUNCTION("REGEXREPLACE(REGEXEXTRACT(H116, ""в\)\s*(.*?)\s*г\)""), ""^\s*"", """")"),"Железо")</f>
        <v>Железо</v>
      </c>
      <c r="G116" s="3" t="str">
        <f ca="1">IFERROR(__xludf.DUMMYFUNCTION("REGEXREPLACE(REGEXEXTRACT(H116, ""г\)\s*(.*)""), ""^\s*"", """")"),"Алмазы")</f>
        <v>Алмазы</v>
      </c>
      <c r="H116" s="8" t="s">
        <v>119</v>
      </c>
    </row>
    <row r="117" spans="1:8" ht="45">
      <c r="A117" s="3" t="str">
        <f ca="1">IFERROR(__xludf.DUMMYFUNCTION("REGEXEXTRACT(H117, ""s*(.*?)\s*а\)"")"),"Какое растение можно использовать для создания красителя?")</f>
        <v>Какое растение можно использовать для создания красителя?</v>
      </c>
      <c r="B117" s="3">
        <v>1</v>
      </c>
      <c r="D117" s="3" t="str">
        <f ca="1">IFERROR(__xludf.DUMMYFUNCTION("REGEXREPLACE(REGEXEXTRACT(H117, ""а\)\s*(.*?)\s*б\)""), ""^\s*"", """")"),"Маки")</f>
        <v>Маки</v>
      </c>
      <c r="E117" s="3" t="str">
        <f ca="1">IFERROR(__xludf.DUMMYFUNCTION("REGEXREPLACE(REGEXEXTRACT(H117, ""б\)\s*(.*?)\s*в\)""), ""^\s*"", """")"),"Пшеница")</f>
        <v>Пшеница</v>
      </c>
      <c r="F117" s="3" t="str">
        <f ca="1">IFERROR(__xludf.DUMMYFUNCTION("REGEXREPLACE(REGEXEXTRACT(H117, ""в\)\s*(.*?)\s*г\)""), ""^\s*"", """")"),"Сахарный тростник")</f>
        <v>Сахарный тростник</v>
      </c>
      <c r="G117" s="3" t="str">
        <f ca="1">IFERROR(__xludf.DUMMYFUNCTION("REGEXREPLACE(REGEXEXTRACT(H117, ""г\)\s*(.*)""), ""^\s*"", """")"),"Бамбук")</f>
        <v>Бамбук</v>
      </c>
      <c r="H117" s="8" t="s">
        <v>120</v>
      </c>
    </row>
    <row r="118" spans="1:8" ht="30">
      <c r="A118" s="3" t="str">
        <f ca="1">IFERROR(__xludf.DUMMYFUNCTION("REGEXEXTRACT(H118, ""s*(.*?)\s*а\)"")"),"Как зовут главного врага жителей деревни?")</f>
        <v>Как зовут главного врага жителей деревни?</v>
      </c>
      <c r="B118" s="3">
        <v>1</v>
      </c>
      <c r="D118" s="3" t="str">
        <f ca="1">IFERROR(__xludf.DUMMYFUNCTION("REGEXREPLACE(REGEXEXTRACT(H118, ""а\)\s*(.*?)\s*б\)""), ""^\s*"", """")"),"Разбойник")</f>
        <v>Разбойник</v>
      </c>
      <c r="E118" s="3" t="str">
        <f ca="1">IFERROR(__xludf.DUMMYFUNCTION("REGEXREPLACE(REGEXEXTRACT(H118, ""б\)\s*(.*?)\s*в\)""), ""^\s*"", """")"),"Зомби")</f>
        <v>Зомби</v>
      </c>
      <c r="F118" s="3" t="str">
        <f ca="1">IFERROR(__xludf.DUMMYFUNCTION("REGEXREPLACE(REGEXEXTRACT(H118, ""в\)\s*(.*?)\s*г\)""), ""^\s*"", """")"),"Крипер")</f>
        <v>Крипер</v>
      </c>
      <c r="G118" s="3" t="str">
        <f ca="1">IFERROR(__xludf.DUMMYFUNCTION("REGEXREPLACE(REGEXEXTRACT(H118, ""г\)\s*(.*)""), ""^\s*"", """")"),"Скелет")</f>
        <v>Скелет</v>
      </c>
      <c r="H118" s="8" t="s">
        <v>121</v>
      </c>
    </row>
    <row r="119" spans="1:8" ht="45">
      <c r="A119" s="3" t="str">
        <f ca="1">IFERROR(__xludf.DUMMYFUNCTION("REGEXEXTRACT(H119, ""s*(.*?)\s*а\)"")"),"Что необходимо для создания верстака?")</f>
        <v>Что необходимо для создания верстака?</v>
      </c>
      <c r="B119" s="3">
        <v>1</v>
      </c>
      <c r="D119" s="3" t="str">
        <f ca="1">IFERROR(__xludf.DUMMYFUNCTION("REGEXREPLACE(REGEXEXTRACT(H119, ""а\)\s*(.*?)\s*б\)""), ""^\s*"", """")"),"Деревянные доски")</f>
        <v>Деревянные доски</v>
      </c>
      <c r="E119" s="3" t="str">
        <f ca="1">IFERROR(__xludf.DUMMYFUNCTION("REGEXREPLACE(REGEXEXTRACT(H119, ""б\)\s*(.*?)\s*в\)""), ""^\s*"", """")"),"Камень")</f>
        <v>Камень</v>
      </c>
      <c r="F119" s="3" t="str">
        <f ca="1">IFERROR(__xludf.DUMMYFUNCTION("REGEXREPLACE(REGEXEXTRACT(H119, ""в\)\s*(.*?)\s*г\)""), ""^\s*"", """")"),"Железо")</f>
        <v>Железо</v>
      </c>
      <c r="G119" s="3" t="str">
        <f ca="1">IFERROR(__xludf.DUMMYFUNCTION("REGEXREPLACE(REGEXEXTRACT(H119, ""г\)\s*(.*)""), ""^\s*"", """")"),"Алмазы")</f>
        <v>Алмазы</v>
      </c>
      <c r="H119" s="8" t="s">
        <v>122</v>
      </c>
    </row>
    <row r="120" spans="1:8" ht="30">
      <c r="A120" s="3" t="str">
        <f ca="1">IFERROR(__xludf.DUMMYFUNCTION("REGEXEXTRACT(H120, ""s*(.*?)\s*а\)"")"),"Какой моб боится кошек?")</f>
        <v>Какой моб боится кошек?</v>
      </c>
      <c r="B120" s="3">
        <v>1</v>
      </c>
      <c r="D120" s="3" t="str">
        <f ca="1">IFERROR(__xludf.DUMMYFUNCTION("REGEXREPLACE(REGEXEXTRACT(H120, ""а\)\s*(.*?)\s*б\)""), ""^\s*"", """")"),"Крипер")</f>
        <v>Крипер</v>
      </c>
      <c r="E120" s="3" t="str">
        <f ca="1">IFERROR(__xludf.DUMMYFUNCTION("REGEXREPLACE(REGEXEXTRACT(H120, ""б\)\s*(.*?)\s*в\)""), ""^\s*"", """")"),"Зомби")</f>
        <v>Зомби</v>
      </c>
      <c r="F120" s="3" t="str">
        <f ca="1">IFERROR(__xludf.DUMMYFUNCTION("REGEXREPLACE(REGEXEXTRACT(H120, ""в\)\s*(.*?)\s*г\)""), ""^\s*"", """")"),"Скелет")</f>
        <v>Скелет</v>
      </c>
      <c r="G120" s="3" t="str">
        <f ca="1">IFERROR(__xludf.DUMMYFUNCTION("REGEXREPLACE(REGEXEXTRACT(H120, ""г\)\s*(.*)""), ""^\s*"", """")"),"Эндермен")</f>
        <v>Эндермен</v>
      </c>
      <c r="H120" s="8" t="s">
        <v>123</v>
      </c>
    </row>
    <row r="121" spans="1:8" ht="30">
      <c r="A121" s="3" t="str">
        <f ca="1">IFERROR(__xludf.DUMMYFUNCTION("REGEXEXTRACT(H121, ""s*(.*?)\s*а\)"")"),"Каким образом можно усмирить оцелота?")</f>
        <v>Каким образом можно усмирить оцелота?</v>
      </c>
      <c r="B121" s="3">
        <v>1</v>
      </c>
      <c r="D121" s="3" t="str">
        <f ca="1">IFERROR(__xludf.DUMMYFUNCTION("REGEXREPLACE(REGEXEXTRACT(H121, ""а\)\s*(.*?)\s*б\)""), ""^\s*"", """")"),"Рыбой")</f>
        <v>Рыбой</v>
      </c>
      <c r="E121" s="3" t="str">
        <f ca="1">IFERROR(__xludf.DUMMYFUNCTION("REGEXREPLACE(REGEXEXTRACT(H121, ""б\)\s*(.*?)\s*в\)""), ""^\s*"", """")"),"Костью")</f>
        <v>Костью</v>
      </c>
      <c r="F121" s="3" t="str">
        <f ca="1">IFERROR(__xludf.DUMMYFUNCTION("REGEXREPLACE(REGEXEXTRACT(H121, ""в\)\s*(.*?)\s*г\)""), ""^\s*"", """")"),"Семенами")</f>
        <v>Семенами</v>
      </c>
      <c r="G121" s="3" t="str">
        <f ca="1">IFERROR(__xludf.DUMMYFUNCTION("REGEXREPLACE(REGEXEXTRACT(H121, ""г\)\s*(.*)""), ""^\s*"", """")"),"Яблоками")</f>
        <v>Яблоками</v>
      </c>
      <c r="H121" s="8" t="s">
        <v>124</v>
      </c>
    </row>
    <row r="122" spans="1:8" ht="30">
      <c r="A122" s="3" t="str">
        <f ca="1">IFERROR(__xludf.DUMMYFUNCTION("REGEXEXTRACT(H122, ""s*(.*?)\s*а\)"")"),"С помощью чего можно добывать воду?")</f>
        <v>С помощью чего можно добывать воду?</v>
      </c>
      <c r="B122" s="3">
        <v>1</v>
      </c>
      <c r="D122" s="3" t="str">
        <f ca="1">IFERROR(__xludf.DUMMYFUNCTION("REGEXREPLACE(REGEXEXTRACT(H122, ""а\)\s*(.*?)\s*б\)""), ""^\s*"", """")"),"Ведро")</f>
        <v>Ведро</v>
      </c>
      <c r="E122" s="3" t="str">
        <f ca="1">IFERROR(__xludf.DUMMYFUNCTION("REGEXREPLACE(REGEXEXTRACT(H122, ""б\)\s*(.*?)\s*в\)""), ""^\s*"", """")"),"Лопата")</f>
        <v>Лопата</v>
      </c>
      <c r="F122" s="3" t="str">
        <f ca="1">IFERROR(__xludf.DUMMYFUNCTION("REGEXREPLACE(REGEXEXTRACT(H122, ""в\)\s*(.*?)\s*г\)""), ""^\s*"", """")"),"Топор")</f>
        <v>Топор</v>
      </c>
      <c r="G122" s="3" t="str">
        <f ca="1">IFERROR(__xludf.DUMMYFUNCTION("REGEXREPLACE(REGEXEXTRACT(H122, ""г\)\s*(.*)""), ""^\s*"", """")"),"Кирка")</f>
        <v>Кирка</v>
      </c>
      <c r="H122" s="8" t="s">
        <v>125</v>
      </c>
    </row>
    <row r="123" spans="1:8" ht="30">
      <c r="A123" s="3" t="str">
        <f ca="1">IFERROR(__xludf.DUMMYFUNCTION("REGEXEXTRACT(H123, ""s*(.*?)\s*а\)"")"),"Какой блок нужен для разведения коров?")</f>
        <v>Какой блок нужен для разведения коров?</v>
      </c>
      <c r="B123" s="3">
        <v>1</v>
      </c>
      <c r="D123" s="3" t="str">
        <f ca="1">IFERROR(__xludf.DUMMYFUNCTION("REGEXREPLACE(REGEXEXTRACT(H123, ""а\)\s*(.*?)\s*б\)""), ""^\s*"", """")"),"Пшеница")</f>
        <v>Пшеница</v>
      </c>
      <c r="E123" s="3" t="str">
        <f ca="1">IFERROR(__xludf.DUMMYFUNCTION("REGEXREPLACE(REGEXEXTRACT(H123, ""б\)\s*(.*?)\s*в\)""), ""^\s*"", """")"),"Камень")</f>
        <v>Камень</v>
      </c>
      <c r="F123" s="3" t="str">
        <f ca="1">IFERROR(__xludf.DUMMYFUNCTION("REGEXREPLACE(REGEXEXTRACT(H123, ""в\)\s*(.*?)\s*г\)""), ""^\s*"", """")"),"Дерево")</f>
        <v>Дерево</v>
      </c>
      <c r="G123" s="3" t="str">
        <f ca="1">IFERROR(__xludf.DUMMYFUNCTION("REGEXREPLACE(REGEXEXTRACT(H123, ""г\)\s*(.*)""), ""^\s*"", """")"),"Песок")</f>
        <v>Песок</v>
      </c>
      <c r="H123" s="8" t="s">
        <v>126</v>
      </c>
    </row>
    <row r="124" spans="1:8" ht="30">
      <c r="A124" s="3" t="str">
        <f ca="1">IFERROR(__xludf.DUMMYFUNCTION("REGEXEXTRACT(H124, ""s*(.*?)\s*а\)"")"),"Какой моб дает нитки?")</f>
        <v>Какой моб дает нитки?</v>
      </c>
      <c r="B124" s="3">
        <v>1</v>
      </c>
      <c r="D124" s="3" t="str">
        <f ca="1">IFERROR(__xludf.DUMMYFUNCTION("REGEXREPLACE(REGEXEXTRACT(H124, ""а\)\s*(.*?)\s*б\)""), ""^\s*"", """")"),"Паук")</f>
        <v>Паук</v>
      </c>
      <c r="E124" s="3" t="str">
        <f ca="1">IFERROR(__xludf.DUMMYFUNCTION("REGEXREPLACE(REGEXEXTRACT(H124, ""б\)\s*(.*?)\s*в\)""), ""^\s*"", """")"),"Слизень")</f>
        <v>Слизень</v>
      </c>
      <c r="F124" s="3" t="str">
        <f ca="1">IFERROR(__xludf.DUMMYFUNCTION("REGEXREPLACE(REGEXEXTRACT(H124, ""в\)\s*(.*?)\s*г\)""), ""^\s*"", """")"),"Зомби")</f>
        <v>Зомби</v>
      </c>
      <c r="G124" s="3" t="str">
        <f ca="1">IFERROR(__xludf.DUMMYFUNCTION("REGEXREPLACE(REGEXEXTRACT(H124, ""г\)\s*(.*)""), ""^\s*"", """")"),"Крипер")</f>
        <v>Крипер</v>
      </c>
      <c r="H124" s="8" t="s">
        <v>127</v>
      </c>
    </row>
    <row r="125" spans="1:8" ht="30">
      <c r="A125" s="3" t="str">
        <f ca="1">IFERROR(__xludf.DUMMYFUNCTION("REGEXEXTRACT(H125, ""s*(.*?)\s*а\)"")"),"Какой инструмент используется для посадки семян?")</f>
        <v>Какой инструмент используется для посадки семян?</v>
      </c>
      <c r="B125" s="3">
        <v>1</v>
      </c>
      <c r="D125" s="3" t="str">
        <f ca="1">IFERROR(__xludf.DUMMYFUNCTION("REGEXREPLACE(REGEXEXTRACT(H125, ""а\)\s*(.*?)\s*б\)""), ""^\s*"", """")"),"Мотыга")</f>
        <v>Мотыга</v>
      </c>
      <c r="E125" s="3" t="str">
        <f ca="1">IFERROR(__xludf.DUMMYFUNCTION("REGEXREPLACE(REGEXEXTRACT(H125, ""б\)\s*(.*?)\s*в\)""), ""^\s*"", """")"),"Лопата")</f>
        <v>Лопата</v>
      </c>
      <c r="F125" s="3" t="str">
        <f ca="1">IFERROR(__xludf.DUMMYFUNCTION("REGEXREPLACE(REGEXEXTRACT(H125, ""в\)\s*(.*?)\s*г\)""), ""^\s*"", """")"),"Топор")</f>
        <v>Топор</v>
      </c>
      <c r="G125" s="3" t="str">
        <f ca="1">IFERROR(__xludf.DUMMYFUNCTION("REGEXREPLACE(REGEXEXTRACT(H125, ""г\)\s*(.*)""), ""^\s*"", """")"),"Кирка")</f>
        <v>Кирка</v>
      </c>
      <c r="H125" s="8" t="s">
        <v>128</v>
      </c>
    </row>
    <row r="126" spans="1:8" ht="30">
      <c r="A126" s="3" t="str">
        <f ca="1">IFERROR(__xludf.DUMMYFUNCTION("REGEXEXTRACT(H126, ""s*(.*?)\s*а\)"")"),"Что нужно для приручения попугая?")</f>
        <v>Что нужно для приручения попугая?</v>
      </c>
      <c r="B126" s="3">
        <v>1</v>
      </c>
      <c r="D126" s="3" t="str">
        <f ca="1">IFERROR(__xludf.DUMMYFUNCTION("REGEXREPLACE(REGEXEXTRACT(H126, ""а\)\s*(.*?)\s*б\)""), ""^\s*"", """")"),"Семена")</f>
        <v>Семена</v>
      </c>
      <c r="E126" s="3" t="str">
        <f ca="1">IFERROR(__xludf.DUMMYFUNCTION("REGEXREPLACE(REGEXEXTRACT(H126, ""б\)\s*(.*?)\s*в\)""), ""^\s*"", """")"),"Кости")</f>
        <v>Кости</v>
      </c>
      <c r="F126" s="3" t="str">
        <f ca="1">IFERROR(__xludf.DUMMYFUNCTION("REGEXREPLACE(REGEXEXTRACT(H126, ""в\)\s*(.*?)\s*г\)""), ""^\s*"", """")"),"Печенье")</f>
        <v>Печенье</v>
      </c>
      <c r="G126" s="3" t="str">
        <f ca="1">IFERROR(__xludf.DUMMYFUNCTION("REGEXREPLACE(REGEXEXTRACT(H126, ""г\)\s*(.*)""), ""^\s*"", """")"),"Рыба")</f>
        <v>Рыба</v>
      </c>
      <c r="H126" s="9" t="s">
        <v>129</v>
      </c>
    </row>
    <row r="127" spans="1:8" ht="30">
      <c r="A127" s="3" t="str">
        <f ca="1">IFERROR(__xludf.DUMMYFUNCTION("REGEXEXTRACT(H127, ""s*(.*?)\s*а\)"")"),"Что едят кролики?")</f>
        <v>Что едят кролики?</v>
      </c>
      <c r="B127" s="3">
        <v>1</v>
      </c>
      <c r="D127" s="3" t="str">
        <f ca="1">IFERROR(__xludf.DUMMYFUNCTION("REGEXREPLACE(REGEXEXTRACT(H127, ""а\)\s*(.*?)\s*б\)""), ""^\s*"", """")"),"Морковь")</f>
        <v>Морковь</v>
      </c>
      <c r="E127" s="3" t="str">
        <f ca="1">IFERROR(__xludf.DUMMYFUNCTION("REGEXREPLACE(REGEXEXTRACT(H127, ""б\)\s*(.*?)\s*в\)""), ""^\s*"", """")"),"Сено")</f>
        <v>Сено</v>
      </c>
      <c r="F127" s="3" t="str">
        <f ca="1">IFERROR(__xludf.DUMMYFUNCTION("REGEXREPLACE(REGEXEXTRACT(H127, ""в\)\s*(.*?)\s*г\)""), ""^\s*"", """")"),"Яблоки")</f>
        <v>Яблоки</v>
      </c>
      <c r="G127" s="3" t="str">
        <f ca="1">IFERROR(__xludf.DUMMYFUNCTION("REGEXREPLACE(REGEXEXTRACT(H127, ""г\)\s*(.*)""), ""^\s*"", """")"),"Рыба")</f>
        <v>Рыба</v>
      </c>
      <c r="H127" s="8" t="s">
        <v>130</v>
      </c>
    </row>
    <row r="128" spans="1:8" ht="30">
      <c r="A128" s="3" t="str">
        <f ca="1">IFERROR(__xludf.DUMMYFUNCTION("REGEXEXTRACT(H128, ""s*(.*?)\s*а\)"")"),"Где можно найти глину?")</f>
        <v>Где можно найти глину?</v>
      </c>
      <c r="B128" s="3">
        <v>1</v>
      </c>
      <c r="D128" s="3" t="str">
        <f ca="1">IFERROR(__xludf.DUMMYFUNCTION("REGEXREPLACE(REGEXEXTRACT(H128, ""а\)\s*(.*?)\s*б\)""), ""^\s*"", """")"),"Возле водоёмов")</f>
        <v>Возле водоёмов</v>
      </c>
      <c r="E128" s="3" t="str">
        <f ca="1">IFERROR(__xludf.DUMMYFUNCTION("REGEXREPLACE(REGEXEXTRACT(H128, ""б\)\s*(.*?)\s*в\)""), ""^\s*"", """")"),"В шахтах")</f>
        <v>В шахтах</v>
      </c>
      <c r="F128" s="3" t="str">
        <f ca="1">IFERROR(__xludf.DUMMYFUNCTION("REGEXREPLACE(REGEXEXTRACT(H128, ""в\)\s*(.*?)\s*г\)""), ""^\s*"", """")"),"В лесах")</f>
        <v>В лесах</v>
      </c>
      <c r="G128" s="3" t="str">
        <f ca="1">IFERROR(__xludf.DUMMYFUNCTION("REGEXREPLACE(REGEXEXTRACT(H128, ""г\)\s*(.*)""), ""^\s*"", """")"),"В пустынях")</f>
        <v>В пустынях</v>
      </c>
      <c r="H128" s="8" t="s">
        <v>131</v>
      </c>
    </row>
    <row r="129" spans="1:8" ht="30">
      <c r="A129" s="3" t="str">
        <f ca="1">IFERROR(__xludf.DUMMYFUNCTION("REGEXEXTRACT(H129, ""s*(.*?)\s*а\)"")"),"Какой моб всегда нападает группами?")</f>
        <v>Какой моб всегда нападает группами?</v>
      </c>
      <c r="B129" s="3">
        <v>1</v>
      </c>
      <c r="D129" s="3" t="str">
        <f ca="1">IFERROR(__xludf.DUMMYFUNCTION("REGEXREPLACE(REGEXEXTRACT(H129, ""а\)\s*(.*?)\s*б\)""), ""^\s*"", """")"),"Волки")</f>
        <v>Волки</v>
      </c>
      <c r="E129" s="3" t="str">
        <f ca="1">IFERROR(__xludf.DUMMYFUNCTION("REGEXREPLACE(REGEXEXTRACT(H129, ""б\)\s*(.*?)\s*в\)""), ""^\s*"", """")"),"Зомби")</f>
        <v>Зомби</v>
      </c>
      <c r="F129" s="3" t="str">
        <f ca="1">IFERROR(__xludf.DUMMYFUNCTION("REGEXREPLACE(REGEXEXTRACT(H129, ""в\)\s*(.*?)\s*г\)""), ""^\s*"", """")"),"Скелеты")</f>
        <v>Скелеты</v>
      </c>
      <c r="G129" s="3" t="str">
        <f ca="1">IFERROR(__xludf.DUMMYFUNCTION("REGEXREPLACE(REGEXEXTRACT(H129, ""г\)\s*(.*)""), ""^\s*"", """")"),"Криперы")</f>
        <v>Криперы</v>
      </c>
      <c r="H129" s="8" t="s">
        <v>132</v>
      </c>
    </row>
    <row r="130" spans="1:8" ht="30">
      <c r="A130" s="3" t="str">
        <f ca="1">IFERROR(__xludf.DUMMYFUNCTION("REGEXEXTRACT(H130, ""s*(.*?)\s*а\)"")"),"Что можно получить из переплавленного песка?")</f>
        <v>Что можно получить из переплавленного песка?</v>
      </c>
      <c r="B130" s="3">
        <v>1</v>
      </c>
      <c r="D130" s="3" t="str">
        <f ca="1">IFERROR(__xludf.DUMMYFUNCTION("REGEXREPLACE(REGEXEXTRACT(H130, ""а\)\s*(.*?)\s*б\)""), ""^\s*"", """")"),"Стекло")</f>
        <v>Стекло</v>
      </c>
      <c r="E130" s="3" t="str">
        <f ca="1">IFERROR(__xludf.DUMMYFUNCTION("REGEXREPLACE(REGEXEXTRACT(H130, ""б\)\s*(.*?)\s*в\)""), ""^\s*"", """")"),"Камень")</f>
        <v>Камень</v>
      </c>
      <c r="F130" s="3" t="str">
        <f ca="1">IFERROR(__xludf.DUMMYFUNCTION("REGEXREPLACE(REGEXEXTRACT(H130, ""в\)\s*(.*?)\s*г\)""), ""^\s*"", """")"),"Кирпич")</f>
        <v>Кирпич</v>
      </c>
      <c r="G130" s="3" t="str">
        <f ca="1">IFERROR(__xludf.DUMMYFUNCTION("REGEXREPLACE(REGEXEXTRACT(H130, ""г\)\s*(.*)""), ""^\s*"", """")"),"Глину")</f>
        <v>Глину</v>
      </c>
      <c r="H130" s="8" t="s">
        <v>133</v>
      </c>
    </row>
    <row r="131" spans="1:8" ht="12.75">
      <c r="H131" s="10"/>
    </row>
    <row r="132" spans="1:8" ht="12.75">
      <c r="H132" s="10"/>
    </row>
    <row r="133" spans="1:8" ht="12.75">
      <c r="H133" s="10"/>
    </row>
    <row r="134" spans="1:8" ht="12.75">
      <c r="H134" s="10"/>
    </row>
    <row r="135" spans="1:8" ht="12.75">
      <c r="H135" s="10"/>
    </row>
    <row r="136" spans="1:8" ht="12.75">
      <c r="H136" s="10"/>
    </row>
    <row r="137" spans="1:8" ht="12.75">
      <c r="H137" s="10"/>
    </row>
    <row r="138" spans="1:8" ht="12.75">
      <c r="H138" s="10"/>
    </row>
    <row r="139" spans="1:8" ht="12.75">
      <c r="H139" s="10"/>
    </row>
    <row r="140" spans="1:8" ht="12.75">
      <c r="H140" s="10"/>
    </row>
    <row r="141" spans="1:8" ht="12.75">
      <c r="H141" s="10"/>
    </row>
    <row r="142" spans="1:8" ht="12.75">
      <c r="H142" s="10"/>
    </row>
    <row r="143" spans="1:8" ht="12.75">
      <c r="H143" s="10"/>
    </row>
    <row r="144" spans="1:8" ht="12.75">
      <c r="H144" s="10"/>
    </row>
    <row r="145" spans="8:8" ht="12.75">
      <c r="H145" s="10"/>
    </row>
    <row r="146" spans="8:8" ht="12.75">
      <c r="H146" s="10"/>
    </row>
    <row r="147" spans="8:8" ht="12.75">
      <c r="H147" s="10"/>
    </row>
    <row r="148" spans="8:8" ht="12.75">
      <c r="H148" s="10"/>
    </row>
    <row r="149" spans="8:8" ht="12.75">
      <c r="H149" s="10"/>
    </row>
    <row r="150" spans="8:8" ht="12.75">
      <c r="H150" s="10"/>
    </row>
    <row r="151" spans="8:8" ht="12.75">
      <c r="H151" s="10"/>
    </row>
    <row r="152" spans="8:8" ht="12.75">
      <c r="H152" s="10"/>
    </row>
    <row r="153" spans="8:8" ht="12.75">
      <c r="H153" s="10"/>
    </row>
    <row r="154" spans="8:8" ht="12.75">
      <c r="H154" s="10"/>
    </row>
    <row r="155" spans="8:8" ht="12.75">
      <c r="H155" s="10"/>
    </row>
    <row r="156" spans="8:8" ht="12.75">
      <c r="H156" s="10"/>
    </row>
    <row r="157" spans="8:8" ht="12.75">
      <c r="H157" s="10"/>
    </row>
    <row r="158" spans="8:8" ht="12.75">
      <c r="H158" s="10"/>
    </row>
    <row r="159" spans="8:8" ht="12.75">
      <c r="H159" s="10"/>
    </row>
    <row r="160" spans="8:8" ht="12.75">
      <c r="H160" s="10"/>
    </row>
    <row r="161" spans="8:8" ht="12.75">
      <c r="H161" s="10"/>
    </row>
    <row r="162" spans="8:8" ht="12.75">
      <c r="H162" s="10"/>
    </row>
    <row r="163" spans="8:8" ht="12.75">
      <c r="H163" s="10"/>
    </row>
    <row r="164" spans="8:8" ht="12.75">
      <c r="H164" s="10"/>
    </row>
    <row r="165" spans="8:8" ht="12.75">
      <c r="H165" s="10"/>
    </row>
    <row r="166" spans="8:8" ht="12.75">
      <c r="H166" s="10"/>
    </row>
    <row r="167" spans="8:8" ht="12.75">
      <c r="H167" s="10"/>
    </row>
    <row r="168" spans="8:8" ht="12.75">
      <c r="H168" s="10"/>
    </row>
    <row r="169" spans="8:8" ht="12.75">
      <c r="H169" s="10"/>
    </row>
    <row r="170" spans="8:8" ht="12.75">
      <c r="H170" s="10"/>
    </row>
    <row r="171" spans="8:8" ht="12.75">
      <c r="H171" s="10"/>
    </row>
    <row r="172" spans="8:8" ht="12.75">
      <c r="H172" s="10"/>
    </row>
    <row r="173" spans="8:8" ht="12.75">
      <c r="H173" s="10"/>
    </row>
    <row r="174" spans="8:8" ht="12.75">
      <c r="H174" s="10"/>
    </row>
    <row r="175" spans="8:8" ht="12.75">
      <c r="H175" s="10"/>
    </row>
    <row r="176" spans="8:8" ht="12.75">
      <c r="H176" s="10"/>
    </row>
    <row r="177" spans="8:8" ht="12.75">
      <c r="H177" s="10"/>
    </row>
    <row r="178" spans="8:8" ht="12.75">
      <c r="H178" s="10"/>
    </row>
    <row r="179" spans="8:8" ht="12.75">
      <c r="H179" s="10"/>
    </row>
    <row r="180" spans="8:8" ht="12.75">
      <c r="H180" s="10"/>
    </row>
    <row r="181" spans="8:8" ht="12.75">
      <c r="H181" s="10"/>
    </row>
    <row r="182" spans="8:8" ht="12.75">
      <c r="H182" s="10"/>
    </row>
    <row r="183" spans="8:8" ht="12.75">
      <c r="H183" s="10"/>
    </row>
    <row r="184" spans="8:8" ht="12.75">
      <c r="H184" s="10"/>
    </row>
    <row r="185" spans="8:8" ht="12.75">
      <c r="H185" s="10"/>
    </row>
    <row r="186" spans="8:8" ht="12.75">
      <c r="H186" s="10"/>
    </row>
    <row r="187" spans="8:8" ht="12.75">
      <c r="H187" s="10"/>
    </row>
    <row r="188" spans="8:8" ht="12.75">
      <c r="H188" s="10"/>
    </row>
    <row r="189" spans="8:8" ht="12.75">
      <c r="H189" s="10"/>
    </row>
    <row r="190" spans="8:8" ht="12.75">
      <c r="H190" s="10"/>
    </row>
    <row r="191" spans="8:8" ht="12.75">
      <c r="H191" s="10"/>
    </row>
    <row r="192" spans="8:8" ht="12.75">
      <c r="H192" s="10"/>
    </row>
    <row r="193" spans="8:8" ht="12.75">
      <c r="H193" s="10"/>
    </row>
    <row r="194" spans="8:8" ht="12.75">
      <c r="H194" s="10"/>
    </row>
    <row r="195" spans="8:8" ht="12.75">
      <c r="H195" s="10"/>
    </row>
    <row r="196" spans="8:8" ht="12.75">
      <c r="H196" s="10"/>
    </row>
    <row r="197" spans="8:8" ht="12.75">
      <c r="H197" s="10"/>
    </row>
    <row r="198" spans="8:8" ht="12.75">
      <c r="H198" s="10"/>
    </row>
    <row r="199" spans="8:8" ht="12.75">
      <c r="H199" s="10"/>
    </row>
    <row r="200" spans="8:8" ht="12.75">
      <c r="H200" s="10"/>
    </row>
    <row r="201" spans="8:8" ht="12.75">
      <c r="H201" s="10"/>
    </row>
    <row r="202" spans="8:8" ht="12.75">
      <c r="H202" s="10"/>
    </row>
    <row r="203" spans="8:8" ht="12.75">
      <c r="H203" s="10"/>
    </row>
    <row r="204" spans="8:8" ht="12.75">
      <c r="H204" s="10"/>
    </row>
    <row r="205" spans="8:8" ht="12.75">
      <c r="H205" s="10"/>
    </row>
    <row r="206" spans="8:8" ht="12.75">
      <c r="H206" s="10"/>
    </row>
    <row r="207" spans="8:8" ht="12.75">
      <c r="H207" s="10"/>
    </row>
    <row r="208" spans="8:8" ht="12.75">
      <c r="H208" s="10"/>
    </row>
    <row r="209" spans="8:8" ht="12.75">
      <c r="H209" s="10"/>
    </row>
    <row r="210" spans="8:8" ht="12.75">
      <c r="H210" s="10"/>
    </row>
    <row r="211" spans="8:8" ht="12.75">
      <c r="H211" s="10"/>
    </row>
    <row r="212" spans="8:8" ht="12.75">
      <c r="H212" s="10"/>
    </row>
    <row r="213" spans="8:8" ht="12.75">
      <c r="H213" s="10"/>
    </row>
    <row r="214" spans="8:8" ht="12.75">
      <c r="H214" s="10"/>
    </row>
    <row r="215" spans="8:8" ht="12.75">
      <c r="H215" s="10"/>
    </row>
    <row r="216" spans="8:8" ht="12.75">
      <c r="H216" s="10"/>
    </row>
    <row r="217" spans="8:8" ht="12.75">
      <c r="H217" s="10"/>
    </row>
    <row r="218" spans="8:8" ht="12.75">
      <c r="H218" s="10"/>
    </row>
    <row r="219" spans="8:8" ht="12.75">
      <c r="H219" s="10"/>
    </row>
    <row r="220" spans="8:8" ht="12.75">
      <c r="H220" s="10"/>
    </row>
    <row r="221" spans="8:8" ht="12.75">
      <c r="H221" s="10"/>
    </row>
    <row r="222" spans="8:8" ht="12.75">
      <c r="H222" s="10"/>
    </row>
    <row r="223" spans="8:8" ht="12.75">
      <c r="H223" s="10"/>
    </row>
    <row r="224" spans="8:8" ht="12.75">
      <c r="H224" s="10"/>
    </row>
    <row r="225" spans="8:8" ht="12.75">
      <c r="H225" s="10"/>
    </row>
    <row r="226" spans="8:8" ht="12.75">
      <c r="H226" s="10"/>
    </row>
    <row r="227" spans="8:8" ht="12.75">
      <c r="H227" s="10"/>
    </row>
    <row r="228" spans="8:8" ht="12.75">
      <c r="H228" s="10"/>
    </row>
    <row r="229" spans="8:8" ht="12.75">
      <c r="H229" s="10"/>
    </row>
    <row r="230" spans="8:8" ht="12.75">
      <c r="H230" s="10"/>
    </row>
    <row r="231" spans="8:8" ht="12.75">
      <c r="H231" s="10"/>
    </row>
    <row r="232" spans="8:8" ht="12.75">
      <c r="H232" s="10"/>
    </row>
    <row r="233" spans="8:8" ht="12.75">
      <c r="H233" s="10"/>
    </row>
    <row r="234" spans="8:8" ht="12.75">
      <c r="H234" s="10"/>
    </row>
    <row r="235" spans="8:8" ht="12.75">
      <c r="H235" s="10"/>
    </row>
    <row r="236" spans="8:8" ht="12.75">
      <c r="H236" s="10"/>
    </row>
    <row r="237" spans="8:8" ht="12.75">
      <c r="H237" s="10"/>
    </row>
    <row r="238" spans="8:8" ht="12.75">
      <c r="H238" s="10"/>
    </row>
    <row r="239" spans="8:8" ht="12.75">
      <c r="H239" s="10"/>
    </row>
    <row r="240" spans="8:8" ht="12.75">
      <c r="H240" s="10"/>
    </row>
    <row r="241" spans="8:8" ht="12.75">
      <c r="H241" s="10"/>
    </row>
    <row r="242" spans="8:8" ht="12.75">
      <c r="H242" s="10"/>
    </row>
    <row r="243" spans="8:8" ht="12.75">
      <c r="H243" s="10"/>
    </row>
    <row r="244" spans="8:8" ht="12.75">
      <c r="H244" s="10"/>
    </row>
    <row r="245" spans="8:8" ht="12.75">
      <c r="H245" s="10"/>
    </row>
    <row r="246" spans="8:8" ht="12.75">
      <c r="H246" s="10"/>
    </row>
    <row r="247" spans="8:8" ht="12.75">
      <c r="H247" s="10"/>
    </row>
    <row r="248" spans="8:8" ht="12.75">
      <c r="H248" s="10"/>
    </row>
    <row r="249" spans="8:8" ht="12.75">
      <c r="H249" s="10"/>
    </row>
    <row r="250" spans="8:8" ht="12.75">
      <c r="H250" s="10"/>
    </row>
    <row r="251" spans="8:8" ht="12.75">
      <c r="H251" s="10"/>
    </row>
    <row r="252" spans="8:8" ht="12.75">
      <c r="H252" s="10"/>
    </row>
    <row r="253" spans="8:8" ht="12.75">
      <c r="H253" s="10"/>
    </row>
    <row r="254" spans="8:8" ht="12.75">
      <c r="H254" s="10"/>
    </row>
    <row r="255" spans="8:8" ht="12.75">
      <c r="H255" s="10"/>
    </row>
    <row r="256" spans="8:8" ht="12.75">
      <c r="H256" s="10"/>
    </row>
    <row r="257" spans="8:8" ht="12.75">
      <c r="H257" s="10"/>
    </row>
    <row r="258" spans="8:8" ht="12.75">
      <c r="H258" s="10"/>
    </row>
    <row r="259" spans="8:8" ht="12.75">
      <c r="H259" s="10"/>
    </row>
    <row r="260" spans="8:8" ht="12.75">
      <c r="H260" s="10"/>
    </row>
    <row r="261" spans="8:8" ht="12.75">
      <c r="H261" s="10"/>
    </row>
    <row r="262" spans="8:8" ht="12.75">
      <c r="H262" s="10"/>
    </row>
    <row r="263" spans="8:8" ht="12.75">
      <c r="H263" s="10"/>
    </row>
    <row r="264" spans="8:8" ht="12.75">
      <c r="H264" s="10"/>
    </row>
    <row r="265" spans="8:8" ht="12.75">
      <c r="H265" s="10"/>
    </row>
    <row r="266" spans="8:8" ht="12.75">
      <c r="H266" s="10"/>
    </row>
    <row r="267" spans="8:8" ht="12.75">
      <c r="H267" s="10"/>
    </row>
    <row r="268" spans="8:8" ht="12.75">
      <c r="H268" s="10"/>
    </row>
    <row r="269" spans="8:8" ht="12.75">
      <c r="H269" s="10"/>
    </row>
    <row r="270" spans="8:8" ht="12.75">
      <c r="H270" s="10"/>
    </row>
    <row r="271" spans="8:8" ht="12.75">
      <c r="H271" s="10"/>
    </row>
    <row r="272" spans="8:8" ht="12.75">
      <c r="H272" s="10"/>
    </row>
    <row r="273" spans="8:8" ht="12.75">
      <c r="H273" s="10"/>
    </row>
    <row r="274" spans="8:8" ht="12.75">
      <c r="H274" s="10"/>
    </row>
    <row r="275" spans="8:8" ht="12.75">
      <c r="H275" s="10"/>
    </row>
    <row r="276" spans="8:8" ht="12.75">
      <c r="H276" s="10"/>
    </row>
    <row r="277" spans="8:8" ht="12.75">
      <c r="H277" s="10"/>
    </row>
    <row r="278" spans="8:8" ht="12.75">
      <c r="H278" s="10"/>
    </row>
    <row r="279" spans="8:8" ht="12.75">
      <c r="H279" s="10"/>
    </row>
    <row r="280" spans="8:8" ht="12.75">
      <c r="H280" s="10"/>
    </row>
    <row r="281" spans="8:8" ht="12.75">
      <c r="H281" s="10"/>
    </row>
    <row r="282" spans="8:8" ht="12.75">
      <c r="H282" s="10"/>
    </row>
    <row r="283" spans="8:8" ht="12.75">
      <c r="H283" s="10"/>
    </row>
    <row r="284" spans="8:8" ht="12.75">
      <c r="H284" s="10"/>
    </row>
    <row r="285" spans="8:8" ht="12.75">
      <c r="H285" s="10"/>
    </row>
    <row r="286" spans="8:8" ht="12.75">
      <c r="H286" s="10"/>
    </row>
    <row r="287" spans="8:8" ht="12.75">
      <c r="H287" s="10"/>
    </row>
    <row r="288" spans="8:8" ht="12.75">
      <c r="H288" s="10"/>
    </row>
    <row r="289" spans="8:8" ht="12.75">
      <c r="H289" s="10"/>
    </row>
    <row r="290" spans="8:8" ht="12.75">
      <c r="H290" s="10"/>
    </row>
    <row r="291" spans="8:8" ht="12.75">
      <c r="H291" s="10"/>
    </row>
    <row r="292" spans="8:8" ht="12.75">
      <c r="H292" s="10"/>
    </row>
    <row r="293" spans="8:8" ht="12.75">
      <c r="H293" s="10"/>
    </row>
    <row r="294" spans="8:8" ht="12.75">
      <c r="H294" s="10"/>
    </row>
    <row r="295" spans="8:8" ht="12.75">
      <c r="H295" s="10"/>
    </row>
    <row r="296" spans="8:8" ht="12.75">
      <c r="H296" s="10"/>
    </row>
    <row r="297" spans="8:8" ht="12.75">
      <c r="H297" s="10"/>
    </row>
    <row r="298" spans="8:8" ht="12.75">
      <c r="H298" s="10"/>
    </row>
    <row r="299" spans="8:8" ht="12.75">
      <c r="H299" s="10"/>
    </row>
    <row r="300" spans="8:8" ht="12.75">
      <c r="H300" s="10"/>
    </row>
    <row r="301" spans="8:8" ht="12.75">
      <c r="H301" s="10"/>
    </row>
    <row r="302" spans="8:8" ht="12.75">
      <c r="H302" s="10"/>
    </row>
    <row r="303" spans="8:8" ht="12.75">
      <c r="H303" s="10"/>
    </row>
    <row r="304" spans="8:8" ht="12.75">
      <c r="H304" s="10"/>
    </row>
    <row r="305" spans="8:8" ht="12.75">
      <c r="H305" s="10"/>
    </row>
    <row r="306" spans="8:8" ht="12.75">
      <c r="H306" s="10"/>
    </row>
    <row r="307" spans="8:8" ht="12.75">
      <c r="H307" s="10"/>
    </row>
    <row r="308" spans="8:8" ht="12.75">
      <c r="H308" s="10"/>
    </row>
    <row r="309" spans="8:8" ht="12.75">
      <c r="H309" s="10"/>
    </row>
    <row r="310" spans="8:8" ht="12.75">
      <c r="H310" s="10"/>
    </row>
    <row r="311" spans="8:8" ht="12.75">
      <c r="H311" s="10"/>
    </row>
    <row r="312" spans="8:8" ht="12.75">
      <c r="H312" s="10"/>
    </row>
    <row r="313" spans="8:8" ht="12.75">
      <c r="H313" s="10"/>
    </row>
    <row r="314" spans="8:8" ht="12.75">
      <c r="H314" s="10"/>
    </row>
    <row r="315" spans="8:8" ht="12.75">
      <c r="H315" s="10"/>
    </row>
    <row r="316" spans="8:8" ht="12.75">
      <c r="H316" s="10"/>
    </row>
    <row r="317" spans="8:8" ht="12.75">
      <c r="H317" s="10"/>
    </row>
    <row r="318" spans="8:8" ht="12.75">
      <c r="H318" s="10"/>
    </row>
    <row r="319" spans="8:8" ht="12.75">
      <c r="H319" s="10"/>
    </row>
    <row r="320" spans="8:8" ht="12.75">
      <c r="H320" s="10"/>
    </row>
    <row r="321" spans="8:8" ht="12.75">
      <c r="H321" s="10"/>
    </row>
    <row r="322" spans="8:8" ht="12.75">
      <c r="H322" s="10"/>
    </row>
    <row r="323" spans="8:8" ht="12.75">
      <c r="H323" s="10"/>
    </row>
    <row r="324" spans="8:8" ht="12.75">
      <c r="H324" s="10"/>
    </row>
    <row r="325" spans="8:8" ht="12.75">
      <c r="H325" s="10"/>
    </row>
    <row r="326" spans="8:8" ht="12.75">
      <c r="H326" s="10"/>
    </row>
    <row r="327" spans="8:8" ht="12.75">
      <c r="H327" s="10"/>
    </row>
    <row r="328" spans="8:8" ht="12.75">
      <c r="H328" s="10"/>
    </row>
    <row r="329" spans="8:8" ht="12.75">
      <c r="H329" s="10"/>
    </row>
    <row r="330" spans="8:8" ht="12.75">
      <c r="H330" s="10"/>
    </row>
    <row r="331" spans="8:8" ht="12.75">
      <c r="H331" s="10"/>
    </row>
    <row r="332" spans="8:8" ht="12.75">
      <c r="H332" s="10"/>
    </row>
    <row r="333" spans="8:8" ht="12.75">
      <c r="H333" s="10"/>
    </row>
    <row r="334" spans="8:8" ht="12.75">
      <c r="H334" s="10"/>
    </row>
    <row r="335" spans="8:8" ht="12.75">
      <c r="H335" s="10"/>
    </row>
    <row r="336" spans="8:8" ht="12.75">
      <c r="H336" s="10"/>
    </row>
    <row r="337" spans="8:8" ht="12.75">
      <c r="H337" s="10"/>
    </row>
    <row r="338" spans="8:8" ht="12.75">
      <c r="H338" s="10"/>
    </row>
    <row r="339" spans="8:8" ht="12.75">
      <c r="H339" s="10"/>
    </row>
    <row r="340" spans="8:8" ht="12.75">
      <c r="H340" s="10"/>
    </row>
    <row r="341" spans="8:8" ht="12.75">
      <c r="H341" s="10"/>
    </row>
    <row r="342" spans="8:8" ht="12.75">
      <c r="H342" s="10"/>
    </row>
    <row r="343" spans="8:8" ht="12.75">
      <c r="H343" s="10"/>
    </row>
    <row r="344" spans="8:8" ht="12.75">
      <c r="H344" s="10"/>
    </row>
    <row r="345" spans="8:8" ht="12.75">
      <c r="H345" s="10"/>
    </row>
    <row r="346" spans="8:8" ht="12.75">
      <c r="H346" s="10"/>
    </row>
    <row r="347" spans="8:8" ht="12.75">
      <c r="H347" s="10"/>
    </row>
    <row r="348" spans="8:8" ht="12.75">
      <c r="H348" s="10"/>
    </row>
    <row r="349" spans="8:8" ht="12.75">
      <c r="H349" s="10"/>
    </row>
    <row r="350" spans="8:8" ht="12.75">
      <c r="H350" s="10"/>
    </row>
    <row r="351" spans="8:8" ht="12.75">
      <c r="H351" s="10"/>
    </row>
    <row r="352" spans="8:8" ht="12.75">
      <c r="H352" s="10"/>
    </row>
    <row r="353" spans="8:8" ht="12.75">
      <c r="H353" s="10"/>
    </row>
    <row r="354" spans="8:8" ht="12.75">
      <c r="H354" s="10"/>
    </row>
    <row r="355" spans="8:8" ht="12.75">
      <c r="H355" s="10"/>
    </row>
    <row r="356" spans="8:8" ht="12.75">
      <c r="H356" s="10"/>
    </row>
    <row r="357" spans="8:8" ht="12.75">
      <c r="H357" s="10"/>
    </row>
    <row r="358" spans="8:8" ht="12.75">
      <c r="H358" s="10"/>
    </row>
    <row r="359" spans="8:8" ht="12.75">
      <c r="H359" s="10"/>
    </row>
    <row r="360" spans="8:8" ht="12.75">
      <c r="H360" s="10"/>
    </row>
    <row r="361" spans="8:8" ht="12.75">
      <c r="H361" s="10"/>
    </row>
    <row r="362" spans="8:8" ht="12.75">
      <c r="H362" s="10"/>
    </row>
    <row r="363" spans="8:8" ht="12.75">
      <c r="H363" s="10"/>
    </row>
    <row r="364" spans="8:8" ht="12.75">
      <c r="H364" s="10"/>
    </row>
    <row r="365" spans="8:8" ht="12.75">
      <c r="H365" s="10"/>
    </row>
    <row r="366" spans="8:8" ht="12.75">
      <c r="H366" s="10"/>
    </row>
    <row r="367" spans="8:8" ht="12.75">
      <c r="H367" s="10"/>
    </row>
    <row r="368" spans="8:8" ht="12.75">
      <c r="H368" s="10"/>
    </row>
    <row r="369" spans="8:8" ht="12.75">
      <c r="H369" s="10"/>
    </row>
    <row r="370" spans="8:8" ht="12.75">
      <c r="H370" s="10"/>
    </row>
    <row r="371" spans="8:8" ht="12.75">
      <c r="H371" s="10"/>
    </row>
    <row r="372" spans="8:8" ht="12.75">
      <c r="H372" s="10"/>
    </row>
    <row r="373" spans="8:8" ht="12.75">
      <c r="H373" s="10"/>
    </row>
    <row r="374" spans="8:8" ht="12.75">
      <c r="H374" s="10"/>
    </row>
    <row r="375" spans="8:8" ht="12.75">
      <c r="H375" s="10"/>
    </row>
    <row r="376" spans="8:8" ht="12.75">
      <c r="H376" s="10"/>
    </row>
    <row r="377" spans="8:8" ht="12.75">
      <c r="H377" s="10"/>
    </row>
    <row r="378" spans="8:8" ht="12.75">
      <c r="H378" s="10"/>
    </row>
    <row r="379" spans="8:8" ht="12.75">
      <c r="H379" s="10"/>
    </row>
    <row r="380" spans="8:8" ht="12.75">
      <c r="H380" s="10"/>
    </row>
    <row r="381" spans="8:8" ht="12.75">
      <c r="H381" s="10"/>
    </row>
    <row r="382" spans="8:8" ht="12.75">
      <c r="H382" s="10"/>
    </row>
    <row r="383" spans="8:8" ht="12.75">
      <c r="H383" s="10"/>
    </row>
    <row r="384" spans="8:8" ht="12.75">
      <c r="H384" s="10"/>
    </row>
    <row r="385" spans="8:8" ht="12.75">
      <c r="H385" s="10"/>
    </row>
    <row r="386" spans="8:8" ht="12.75">
      <c r="H386" s="10"/>
    </row>
    <row r="387" spans="8:8" ht="12.75">
      <c r="H387" s="10"/>
    </row>
    <row r="388" spans="8:8" ht="12.75">
      <c r="H388" s="10"/>
    </row>
    <row r="389" spans="8:8" ht="12.75">
      <c r="H389" s="10"/>
    </row>
    <row r="390" spans="8:8" ht="12.75">
      <c r="H390" s="10"/>
    </row>
    <row r="391" spans="8:8" ht="12.75">
      <c r="H391" s="10"/>
    </row>
    <row r="392" spans="8:8" ht="12.75">
      <c r="H392" s="10"/>
    </row>
    <row r="393" spans="8:8" ht="12.75">
      <c r="H393" s="10"/>
    </row>
    <row r="394" spans="8:8" ht="12.75">
      <c r="H394" s="10"/>
    </row>
    <row r="395" spans="8:8" ht="12.75">
      <c r="H395" s="10"/>
    </row>
    <row r="396" spans="8:8" ht="12.75">
      <c r="H396" s="10"/>
    </row>
    <row r="397" spans="8:8" ht="12.75">
      <c r="H397" s="10"/>
    </row>
    <row r="398" spans="8:8" ht="12.75">
      <c r="H398" s="10"/>
    </row>
    <row r="399" spans="8:8" ht="12.75">
      <c r="H399" s="10"/>
    </row>
    <row r="400" spans="8:8" ht="12.75">
      <c r="H400" s="10"/>
    </row>
    <row r="401" spans="8:8" ht="12.75">
      <c r="H401" s="10"/>
    </row>
    <row r="402" spans="8:8" ht="12.75">
      <c r="H402" s="10"/>
    </row>
    <row r="403" spans="8:8" ht="12.75">
      <c r="H403" s="10"/>
    </row>
    <row r="404" spans="8:8" ht="12.75">
      <c r="H404" s="10"/>
    </row>
    <row r="405" spans="8:8" ht="12.75">
      <c r="H405" s="10"/>
    </row>
    <row r="406" spans="8:8" ht="12.75">
      <c r="H406" s="10"/>
    </row>
    <row r="407" spans="8:8" ht="12.75">
      <c r="H407" s="10"/>
    </row>
    <row r="408" spans="8:8" ht="12.75">
      <c r="H408" s="10"/>
    </row>
    <row r="409" spans="8:8" ht="12.75">
      <c r="H409" s="10"/>
    </row>
    <row r="410" spans="8:8" ht="12.75">
      <c r="H410" s="10"/>
    </row>
    <row r="411" spans="8:8" ht="12.75">
      <c r="H411" s="10"/>
    </row>
    <row r="412" spans="8:8" ht="12.75">
      <c r="H412" s="10"/>
    </row>
    <row r="413" spans="8:8" ht="12.75">
      <c r="H413" s="10"/>
    </row>
    <row r="414" spans="8:8" ht="12.75">
      <c r="H414" s="10"/>
    </row>
    <row r="415" spans="8:8" ht="12.75">
      <c r="H415" s="10"/>
    </row>
    <row r="416" spans="8:8" ht="12.75">
      <c r="H416" s="10"/>
    </row>
    <row r="417" spans="8:8" ht="12.75">
      <c r="H417" s="10"/>
    </row>
    <row r="418" spans="8:8" ht="12.75">
      <c r="H418" s="10"/>
    </row>
    <row r="419" spans="8:8" ht="12.75">
      <c r="H419" s="10"/>
    </row>
    <row r="420" spans="8:8" ht="12.75">
      <c r="H420" s="10"/>
    </row>
    <row r="421" spans="8:8" ht="12.75">
      <c r="H421" s="10"/>
    </row>
    <row r="422" spans="8:8" ht="12.75">
      <c r="H422" s="10"/>
    </row>
    <row r="423" spans="8:8" ht="12.75">
      <c r="H423" s="10"/>
    </row>
    <row r="424" spans="8:8" ht="12.75">
      <c r="H424" s="10"/>
    </row>
    <row r="425" spans="8:8" ht="12.75">
      <c r="H425" s="10"/>
    </row>
    <row r="426" spans="8:8" ht="12.75">
      <c r="H426" s="10"/>
    </row>
    <row r="427" spans="8:8" ht="12.75">
      <c r="H427" s="10"/>
    </row>
    <row r="428" spans="8:8" ht="12.75">
      <c r="H428" s="10"/>
    </row>
    <row r="429" spans="8:8" ht="12.75">
      <c r="H429" s="10"/>
    </row>
    <row r="430" spans="8:8" ht="12.75">
      <c r="H430" s="10"/>
    </row>
    <row r="431" spans="8:8" ht="12.75">
      <c r="H431" s="10"/>
    </row>
    <row r="432" spans="8:8" ht="12.75">
      <c r="H432" s="10"/>
    </row>
    <row r="433" spans="8:8" ht="12.75">
      <c r="H433" s="10"/>
    </row>
    <row r="434" spans="8:8" ht="12.75">
      <c r="H434" s="10"/>
    </row>
    <row r="435" spans="8:8" ht="12.75">
      <c r="H435" s="10"/>
    </row>
    <row r="436" spans="8:8" ht="12.75">
      <c r="H436" s="10"/>
    </row>
    <row r="437" spans="8:8" ht="12.75">
      <c r="H437" s="10"/>
    </row>
    <row r="438" spans="8:8" ht="12.75">
      <c r="H438" s="10"/>
    </row>
    <row r="439" spans="8:8" ht="12.75">
      <c r="H439" s="10"/>
    </row>
    <row r="440" spans="8:8" ht="12.75">
      <c r="H440" s="10"/>
    </row>
    <row r="441" spans="8:8" ht="12.75">
      <c r="H441" s="10"/>
    </row>
    <row r="442" spans="8:8" ht="12.75">
      <c r="H442" s="10"/>
    </row>
    <row r="443" spans="8:8" ht="12.75">
      <c r="H443" s="10"/>
    </row>
    <row r="444" spans="8:8" ht="12.75">
      <c r="H444" s="10"/>
    </row>
    <row r="445" spans="8:8" ht="12.75">
      <c r="H445" s="10"/>
    </row>
    <row r="446" spans="8:8" ht="12.75">
      <c r="H446" s="10"/>
    </row>
    <row r="447" spans="8:8" ht="12.75">
      <c r="H447" s="10"/>
    </row>
    <row r="448" spans="8:8" ht="12.75">
      <c r="H448" s="10"/>
    </row>
    <row r="449" spans="8:8" ht="12.75">
      <c r="H449" s="10"/>
    </row>
    <row r="450" spans="8:8" ht="12.75">
      <c r="H450" s="10"/>
    </row>
    <row r="451" spans="8:8" ht="12.75">
      <c r="H451" s="10"/>
    </row>
    <row r="452" spans="8:8" ht="12.75">
      <c r="H452" s="10"/>
    </row>
    <row r="453" spans="8:8" ht="12.75">
      <c r="H453" s="10"/>
    </row>
    <row r="454" spans="8:8" ht="12.75">
      <c r="H454" s="10"/>
    </row>
    <row r="455" spans="8:8" ht="12.75">
      <c r="H455" s="10"/>
    </row>
    <row r="456" spans="8:8" ht="12.75">
      <c r="H456" s="10"/>
    </row>
    <row r="457" spans="8:8" ht="12.75">
      <c r="H457" s="10"/>
    </row>
    <row r="458" spans="8:8" ht="12.75">
      <c r="H458" s="10"/>
    </row>
    <row r="459" spans="8:8" ht="12.75">
      <c r="H459" s="10"/>
    </row>
    <row r="460" spans="8:8" ht="12.75">
      <c r="H460" s="10"/>
    </row>
    <row r="461" spans="8:8" ht="12.75">
      <c r="H461" s="10"/>
    </row>
    <row r="462" spans="8:8" ht="12.75">
      <c r="H462" s="10"/>
    </row>
    <row r="463" spans="8:8" ht="12.75">
      <c r="H463" s="10"/>
    </row>
    <row r="464" spans="8:8" ht="12.75">
      <c r="H464" s="10"/>
    </row>
    <row r="465" spans="8:8" ht="12.75">
      <c r="H465" s="10"/>
    </row>
    <row r="466" spans="8:8" ht="12.75">
      <c r="H466" s="10"/>
    </row>
    <row r="467" spans="8:8" ht="12.75">
      <c r="H467" s="10"/>
    </row>
    <row r="468" spans="8:8" ht="12.75">
      <c r="H468" s="10"/>
    </row>
    <row r="469" spans="8:8" ht="12.75">
      <c r="H469" s="10"/>
    </row>
    <row r="470" spans="8:8" ht="12.75">
      <c r="H470" s="10"/>
    </row>
    <row r="471" spans="8:8" ht="12.75">
      <c r="H471" s="10"/>
    </row>
    <row r="472" spans="8:8" ht="12.75">
      <c r="H472" s="10"/>
    </row>
    <row r="473" spans="8:8" ht="12.75">
      <c r="H473" s="10"/>
    </row>
    <row r="474" spans="8:8" ht="12.75">
      <c r="H474" s="10"/>
    </row>
    <row r="475" spans="8:8" ht="12.75">
      <c r="H475" s="10"/>
    </row>
    <row r="476" spans="8:8" ht="12.75">
      <c r="H476" s="10"/>
    </row>
    <row r="477" spans="8:8" ht="12.75">
      <c r="H477" s="10"/>
    </row>
    <row r="478" spans="8:8" ht="12.75">
      <c r="H478" s="10"/>
    </row>
    <row r="479" spans="8:8" ht="12.75">
      <c r="H479" s="10"/>
    </row>
    <row r="480" spans="8:8" ht="12.75">
      <c r="H480" s="10"/>
    </row>
    <row r="481" spans="8:8" ht="12.75">
      <c r="H481" s="10"/>
    </row>
    <row r="482" spans="8:8" ht="12.75">
      <c r="H482" s="10"/>
    </row>
    <row r="483" spans="8:8" ht="12.75">
      <c r="H483" s="10"/>
    </row>
    <row r="484" spans="8:8" ht="12.75">
      <c r="H484" s="10"/>
    </row>
    <row r="485" spans="8:8" ht="12.75">
      <c r="H485" s="10"/>
    </row>
    <row r="486" spans="8:8" ht="12.75">
      <c r="H486" s="10"/>
    </row>
    <row r="487" spans="8:8" ht="12.75">
      <c r="H487" s="10"/>
    </row>
    <row r="488" spans="8:8" ht="12.75">
      <c r="H488" s="10"/>
    </row>
    <row r="489" spans="8:8" ht="12.75">
      <c r="H489" s="10"/>
    </row>
    <row r="490" spans="8:8" ht="12.75">
      <c r="H490" s="10"/>
    </row>
    <row r="491" spans="8:8" ht="12.75">
      <c r="H491" s="10"/>
    </row>
    <row r="492" spans="8:8" ht="12.75">
      <c r="H492" s="10"/>
    </row>
    <row r="493" spans="8:8" ht="12.75">
      <c r="H493" s="10"/>
    </row>
    <row r="494" spans="8:8" ht="12.75">
      <c r="H494" s="10"/>
    </row>
    <row r="495" spans="8:8" ht="12.75">
      <c r="H495" s="10"/>
    </row>
    <row r="496" spans="8:8" ht="12.75">
      <c r="H496" s="10"/>
    </row>
    <row r="497" spans="8:8" ht="12.75">
      <c r="H497" s="10"/>
    </row>
    <row r="498" spans="8:8" ht="12.75">
      <c r="H498" s="10"/>
    </row>
    <row r="499" spans="8:8" ht="12.75">
      <c r="H499" s="10"/>
    </row>
    <row r="500" spans="8:8" ht="12.75">
      <c r="H500" s="10"/>
    </row>
    <row r="501" spans="8:8" ht="12.75">
      <c r="H501" s="10"/>
    </row>
    <row r="502" spans="8:8" ht="12.75">
      <c r="H502" s="10"/>
    </row>
    <row r="503" spans="8:8" ht="12.75">
      <c r="H503" s="10"/>
    </row>
    <row r="504" spans="8:8" ht="12.75">
      <c r="H504" s="10"/>
    </row>
    <row r="505" spans="8:8" ht="12.75">
      <c r="H505" s="10"/>
    </row>
    <row r="506" spans="8:8" ht="12.75">
      <c r="H506" s="10"/>
    </row>
    <row r="507" spans="8:8" ht="12.75">
      <c r="H507" s="10"/>
    </row>
    <row r="508" spans="8:8" ht="12.75">
      <c r="H508" s="10"/>
    </row>
    <row r="509" spans="8:8" ht="12.75">
      <c r="H509" s="10"/>
    </row>
    <row r="510" spans="8:8" ht="12.75">
      <c r="H510" s="10"/>
    </row>
    <row r="511" spans="8:8" ht="12.75">
      <c r="H511" s="10"/>
    </row>
    <row r="512" spans="8:8" ht="12.75">
      <c r="H512" s="10"/>
    </row>
    <row r="513" spans="8:8" ht="12.75">
      <c r="H513" s="10"/>
    </row>
    <row r="514" spans="8:8" ht="12.75">
      <c r="H514" s="10"/>
    </row>
    <row r="515" spans="8:8" ht="12.75">
      <c r="H515" s="10"/>
    </row>
    <row r="516" spans="8:8" ht="12.75">
      <c r="H516" s="10"/>
    </row>
    <row r="517" spans="8:8" ht="12.75">
      <c r="H517" s="10"/>
    </row>
    <row r="518" spans="8:8" ht="12.75">
      <c r="H518" s="10"/>
    </row>
    <row r="519" spans="8:8" ht="12.75">
      <c r="H519" s="10"/>
    </row>
    <row r="520" spans="8:8" ht="12.75">
      <c r="H520" s="10"/>
    </row>
    <row r="521" spans="8:8" ht="12.75">
      <c r="H521" s="10"/>
    </row>
    <row r="522" spans="8:8" ht="12.75">
      <c r="H522" s="10"/>
    </row>
    <row r="523" spans="8:8" ht="12.75">
      <c r="H523" s="10"/>
    </row>
    <row r="524" spans="8:8" ht="12.75">
      <c r="H524" s="10"/>
    </row>
    <row r="525" spans="8:8" ht="12.75">
      <c r="H525" s="10"/>
    </row>
    <row r="526" spans="8:8" ht="12.75">
      <c r="H526" s="10"/>
    </row>
    <row r="527" spans="8:8" ht="12.75">
      <c r="H527" s="10"/>
    </row>
    <row r="528" spans="8:8" ht="12.75">
      <c r="H528" s="10"/>
    </row>
    <row r="529" spans="8:8" ht="12.75">
      <c r="H529" s="10"/>
    </row>
    <row r="530" spans="8:8" ht="12.75">
      <c r="H530" s="10"/>
    </row>
    <row r="531" spans="8:8" ht="12.75">
      <c r="H531" s="10"/>
    </row>
    <row r="532" spans="8:8" ht="12.75">
      <c r="H532" s="10"/>
    </row>
    <row r="533" spans="8:8" ht="12.75">
      <c r="H533" s="10"/>
    </row>
    <row r="534" spans="8:8" ht="12.75">
      <c r="H534" s="10"/>
    </row>
    <row r="535" spans="8:8" ht="12.75">
      <c r="H535" s="10"/>
    </row>
    <row r="536" spans="8:8" ht="12.75">
      <c r="H536" s="10"/>
    </row>
    <row r="537" spans="8:8" ht="12.75">
      <c r="H537" s="10"/>
    </row>
    <row r="538" spans="8:8" ht="12.75">
      <c r="H538" s="10"/>
    </row>
    <row r="539" spans="8:8" ht="12.75">
      <c r="H539" s="10"/>
    </row>
    <row r="540" spans="8:8" ht="12.75">
      <c r="H540" s="10"/>
    </row>
    <row r="541" spans="8:8" ht="12.75">
      <c r="H541" s="10"/>
    </row>
    <row r="542" spans="8:8" ht="12.75">
      <c r="H542" s="10"/>
    </row>
    <row r="543" spans="8:8" ht="12.75">
      <c r="H543" s="10"/>
    </row>
    <row r="544" spans="8:8" ht="12.75">
      <c r="H544" s="10"/>
    </row>
    <row r="545" spans="8:8" ht="12.75">
      <c r="H545" s="10"/>
    </row>
    <row r="546" spans="8:8" ht="12.75">
      <c r="H546" s="10"/>
    </row>
    <row r="547" spans="8:8" ht="12.75">
      <c r="H547" s="10"/>
    </row>
    <row r="548" spans="8:8" ht="12.75">
      <c r="H548" s="10"/>
    </row>
    <row r="549" spans="8:8" ht="12.75">
      <c r="H549" s="10"/>
    </row>
    <row r="550" spans="8:8" ht="12.75">
      <c r="H550" s="10"/>
    </row>
    <row r="551" spans="8:8" ht="12.75">
      <c r="H551" s="10"/>
    </row>
    <row r="552" spans="8:8" ht="12.75">
      <c r="H552" s="10"/>
    </row>
    <row r="553" spans="8:8" ht="12.75">
      <c r="H553" s="10"/>
    </row>
    <row r="554" spans="8:8" ht="12.75">
      <c r="H554" s="10"/>
    </row>
    <row r="555" spans="8:8" ht="12.75">
      <c r="H555" s="10"/>
    </row>
    <row r="556" spans="8:8" ht="12.75">
      <c r="H556" s="10"/>
    </row>
    <row r="557" spans="8:8" ht="12.75">
      <c r="H557" s="10"/>
    </row>
    <row r="558" spans="8:8" ht="12.75">
      <c r="H558" s="10"/>
    </row>
    <row r="559" spans="8:8" ht="12.75">
      <c r="H559" s="10"/>
    </row>
    <row r="560" spans="8:8" ht="12.75">
      <c r="H560" s="10"/>
    </row>
    <row r="561" spans="8:8" ht="12.75">
      <c r="H561" s="10"/>
    </row>
    <row r="562" spans="8:8" ht="12.75">
      <c r="H562" s="10"/>
    </row>
    <row r="563" spans="8:8" ht="12.75">
      <c r="H563" s="10"/>
    </row>
    <row r="564" spans="8:8" ht="12.75">
      <c r="H564" s="10"/>
    </row>
    <row r="565" spans="8:8" ht="12.75">
      <c r="H565" s="10"/>
    </row>
    <row r="566" spans="8:8" ht="12.75">
      <c r="H566" s="10"/>
    </row>
    <row r="567" spans="8:8" ht="12.75">
      <c r="H567" s="10"/>
    </row>
    <row r="568" spans="8:8" ht="12.75">
      <c r="H568" s="10"/>
    </row>
    <row r="569" spans="8:8" ht="12.75">
      <c r="H569" s="10"/>
    </row>
    <row r="570" spans="8:8" ht="12.75">
      <c r="H570" s="10"/>
    </row>
    <row r="571" spans="8:8" ht="12.75">
      <c r="H571" s="10"/>
    </row>
    <row r="572" spans="8:8" ht="12.75">
      <c r="H572" s="10"/>
    </row>
    <row r="573" spans="8:8" ht="12.75">
      <c r="H573" s="10"/>
    </row>
    <row r="574" spans="8:8" ht="12.75">
      <c r="H574" s="10"/>
    </row>
    <row r="575" spans="8:8" ht="12.75">
      <c r="H575" s="10"/>
    </row>
    <row r="576" spans="8:8" ht="12.75">
      <c r="H576" s="10"/>
    </row>
    <row r="577" spans="8:8" ht="12.75">
      <c r="H577" s="10"/>
    </row>
    <row r="578" spans="8:8" ht="12.75">
      <c r="H578" s="10"/>
    </row>
    <row r="579" spans="8:8" ht="12.75">
      <c r="H579" s="10"/>
    </row>
    <row r="580" spans="8:8" ht="12.75">
      <c r="H580" s="10"/>
    </row>
    <row r="581" spans="8:8" ht="12.75">
      <c r="H581" s="10"/>
    </row>
    <row r="582" spans="8:8" ht="12.75">
      <c r="H582" s="10"/>
    </row>
    <row r="583" spans="8:8" ht="12.75">
      <c r="H583" s="10"/>
    </row>
    <row r="584" spans="8:8" ht="12.75">
      <c r="H584" s="10"/>
    </row>
    <row r="585" spans="8:8" ht="12.75">
      <c r="H585" s="10"/>
    </row>
    <row r="586" spans="8:8" ht="12.75">
      <c r="H586" s="10"/>
    </row>
    <row r="587" spans="8:8" ht="12.75">
      <c r="H587" s="10"/>
    </row>
    <row r="588" spans="8:8" ht="12.75">
      <c r="H588" s="10"/>
    </row>
    <row r="589" spans="8:8" ht="12.75">
      <c r="H589" s="10"/>
    </row>
    <row r="590" spans="8:8" ht="12.75">
      <c r="H590" s="10"/>
    </row>
    <row r="591" spans="8:8" ht="12.75">
      <c r="H591" s="10"/>
    </row>
    <row r="592" spans="8:8" ht="12.75">
      <c r="H592" s="10"/>
    </row>
    <row r="593" spans="8:8" ht="12.75">
      <c r="H593" s="10"/>
    </row>
    <row r="594" spans="8:8" ht="12.75">
      <c r="H594" s="10"/>
    </row>
    <row r="595" spans="8:8" ht="12.75">
      <c r="H595" s="10"/>
    </row>
    <row r="596" spans="8:8" ht="12.75">
      <c r="H596" s="10"/>
    </row>
    <row r="597" spans="8:8" ht="12.75">
      <c r="H597" s="10"/>
    </row>
    <row r="598" spans="8:8" ht="12.75">
      <c r="H598" s="10"/>
    </row>
    <row r="599" spans="8:8" ht="12.75">
      <c r="H599" s="10"/>
    </row>
    <row r="600" spans="8:8" ht="12.75">
      <c r="H600" s="10"/>
    </row>
    <row r="601" spans="8:8" ht="12.75">
      <c r="H601" s="10"/>
    </row>
    <row r="602" spans="8:8" ht="12.75">
      <c r="H602" s="10"/>
    </row>
    <row r="603" spans="8:8" ht="12.75">
      <c r="H603" s="10"/>
    </row>
    <row r="604" spans="8:8" ht="12.75">
      <c r="H604" s="10"/>
    </row>
    <row r="605" spans="8:8" ht="12.75">
      <c r="H605" s="10"/>
    </row>
    <row r="606" spans="8:8" ht="12.75">
      <c r="H606" s="10"/>
    </row>
    <row r="607" spans="8:8" ht="12.75">
      <c r="H607" s="10"/>
    </row>
    <row r="608" spans="8:8" ht="12.75">
      <c r="H608" s="10"/>
    </row>
    <row r="609" spans="8:8" ht="12.75">
      <c r="H609" s="10"/>
    </row>
    <row r="610" spans="8:8" ht="12.75">
      <c r="H610" s="10"/>
    </row>
    <row r="611" spans="8:8" ht="12.75">
      <c r="H611" s="10"/>
    </row>
    <row r="612" spans="8:8" ht="12.75">
      <c r="H612" s="10"/>
    </row>
    <row r="613" spans="8:8" ht="12.75">
      <c r="H613" s="10"/>
    </row>
    <row r="614" spans="8:8" ht="12.75">
      <c r="H614" s="10"/>
    </row>
    <row r="615" spans="8:8" ht="12.75">
      <c r="H615" s="10"/>
    </row>
    <row r="616" spans="8:8" ht="12.75">
      <c r="H616" s="10"/>
    </row>
    <row r="617" spans="8:8" ht="12.75">
      <c r="H617" s="10"/>
    </row>
    <row r="618" spans="8:8" ht="12.75">
      <c r="H618" s="10"/>
    </row>
    <row r="619" spans="8:8" ht="12.75">
      <c r="H619" s="10"/>
    </row>
    <row r="620" spans="8:8" ht="12.75">
      <c r="H620" s="10"/>
    </row>
    <row r="621" spans="8:8" ht="12.75">
      <c r="H621" s="10"/>
    </row>
    <row r="622" spans="8:8" ht="12.75">
      <c r="H622" s="10"/>
    </row>
    <row r="623" spans="8:8" ht="12.75">
      <c r="H623" s="10"/>
    </row>
    <row r="624" spans="8:8" ht="12.75">
      <c r="H624" s="10"/>
    </row>
    <row r="625" spans="8:8" ht="12.75">
      <c r="H625" s="10"/>
    </row>
    <row r="626" spans="8:8" ht="12.75">
      <c r="H626" s="10"/>
    </row>
    <row r="627" spans="8:8" ht="12.75">
      <c r="H627" s="10"/>
    </row>
    <row r="628" spans="8:8" ht="12.75">
      <c r="H628" s="10"/>
    </row>
    <row r="629" spans="8:8" ht="12.75">
      <c r="H629" s="10"/>
    </row>
    <row r="630" spans="8:8" ht="12.75">
      <c r="H630" s="10"/>
    </row>
    <row r="631" spans="8:8" ht="12.75">
      <c r="H631" s="10"/>
    </row>
    <row r="632" spans="8:8" ht="12.75">
      <c r="H632" s="10"/>
    </row>
    <row r="633" spans="8:8" ht="12.75">
      <c r="H633" s="10"/>
    </row>
    <row r="634" spans="8:8" ht="12.75">
      <c r="H634" s="10"/>
    </row>
    <row r="635" spans="8:8" ht="12.75">
      <c r="H635" s="10"/>
    </row>
    <row r="636" spans="8:8" ht="12.75">
      <c r="H636" s="10"/>
    </row>
    <row r="637" spans="8:8" ht="12.75">
      <c r="H637" s="10"/>
    </row>
    <row r="638" spans="8:8" ht="12.75">
      <c r="H638" s="10"/>
    </row>
    <row r="639" spans="8:8" ht="12.75">
      <c r="H639" s="10"/>
    </row>
    <row r="640" spans="8:8" ht="12.75">
      <c r="H640" s="10"/>
    </row>
    <row r="641" spans="8:8" ht="12.75">
      <c r="H641" s="10"/>
    </row>
    <row r="642" spans="8:8" ht="12.75">
      <c r="H642" s="10"/>
    </row>
    <row r="643" spans="8:8" ht="12.75">
      <c r="H643" s="10"/>
    </row>
    <row r="644" spans="8:8" ht="12.75">
      <c r="H644" s="10"/>
    </row>
    <row r="645" spans="8:8" ht="12.75">
      <c r="H645" s="10"/>
    </row>
    <row r="646" spans="8:8" ht="12.75">
      <c r="H646" s="10"/>
    </row>
    <row r="647" spans="8:8" ht="12.75">
      <c r="H647" s="10"/>
    </row>
    <row r="648" spans="8:8" ht="12.75">
      <c r="H648" s="10"/>
    </row>
    <row r="649" spans="8:8" ht="12.75">
      <c r="H649" s="10"/>
    </row>
    <row r="650" spans="8:8" ht="12.75">
      <c r="H650" s="10"/>
    </row>
    <row r="651" spans="8:8" ht="12.75">
      <c r="H651" s="10"/>
    </row>
    <row r="652" spans="8:8" ht="12.75">
      <c r="H652" s="10"/>
    </row>
    <row r="653" spans="8:8" ht="12.75">
      <c r="H653" s="10"/>
    </row>
    <row r="654" spans="8:8" ht="12.75">
      <c r="H654" s="10"/>
    </row>
    <row r="655" spans="8:8" ht="12.75">
      <c r="H655" s="10"/>
    </row>
    <row r="656" spans="8:8" ht="12.75">
      <c r="H656" s="10"/>
    </row>
    <row r="657" spans="8:8" ht="12.75">
      <c r="H657" s="10"/>
    </row>
    <row r="658" spans="8:8" ht="12.75">
      <c r="H658" s="10"/>
    </row>
    <row r="659" spans="8:8" ht="12.75">
      <c r="H659" s="10"/>
    </row>
    <row r="660" spans="8:8" ht="12.75">
      <c r="H660" s="10"/>
    </row>
    <row r="661" spans="8:8" ht="12.75">
      <c r="H661" s="10"/>
    </row>
    <row r="662" spans="8:8" ht="12.75">
      <c r="H662" s="10"/>
    </row>
    <row r="663" spans="8:8" ht="12.75">
      <c r="H663" s="10"/>
    </row>
    <row r="664" spans="8:8" ht="12.75">
      <c r="H664" s="10"/>
    </row>
    <row r="665" spans="8:8" ht="12.75">
      <c r="H665" s="10"/>
    </row>
    <row r="666" spans="8:8" ht="12.75">
      <c r="H666" s="10"/>
    </row>
    <row r="667" spans="8:8" ht="12.75">
      <c r="H667" s="10"/>
    </row>
    <row r="668" spans="8:8" ht="12.75">
      <c r="H668" s="10"/>
    </row>
    <row r="669" spans="8:8" ht="12.75">
      <c r="H669" s="10"/>
    </row>
    <row r="670" spans="8:8" ht="12.75">
      <c r="H670" s="10"/>
    </row>
    <row r="671" spans="8:8" ht="12.75">
      <c r="H671" s="10"/>
    </row>
    <row r="672" spans="8:8" ht="12.75">
      <c r="H672" s="10"/>
    </row>
    <row r="673" spans="8:8" ht="12.75">
      <c r="H673" s="10"/>
    </row>
    <row r="674" spans="8:8" ht="12.75">
      <c r="H674" s="10"/>
    </row>
    <row r="675" spans="8:8" ht="12.75">
      <c r="H675" s="10"/>
    </row>
    <row r="676" spans="8:8" ht="12.75">
      <c r="H676" s="10"/>
    </row>
    <row r="677" spans="8:8" ht="12.75">
      <c r="H677" s="10"/>
    </row>
    <row r="678" spans="8:8" ht="12.75">
      <c r="H678" s="10"/>
    </row>
    <row r="679" spans="8:8" ht="12.75">
      <c r="H679" s="10"/>
    </row>
    <row r="680" spans="8:8" ht="12.75">
      <c r="H680" s="10"/>
    </row>
    <row r="681" spans="8:8" ht="12.75">
      <c r="H681" s="10"/>
    </row>
    <row r="682" spans="8:8" ht="12.75">
      <c r="H682" s="10"/>
    </row>
    <row r="683" spans="8:8" ht="12.75">
      <c r="H683" s="10"/>
    </row>
    <row r="684" spans="8:8" ht="12.75">
      <c r="H684" s="10"/>
    </row>
    <row r="685" spans="8:8" ht="12.75">
      <c r="H685" s="10"/>
    </row>
    <row r="686" spans="8:8" ht="12.75">
      <c r="H686" s="10"/>
    </row>
    <row r="687" spans="8:8" ht="12.75">
      <c r="H687" s="10"/>
    </row>
    <row r="688" spans="8:8" ht="12.75">
      <c r="H688" s="10"/>
    </row>
    <row r="689" spans="8:8" ht="12.75">
      <c r="H689" s="10"/>
    </row>
    <row r="690" spans="8:8" ht="12.75">
      <c r="H690" s="10"/>
    </row>
    <row r="691" spans="8:8" ht="12.75">
      <c r="H691" s="10"/>
    </row>
    <row r="692" spans="8:8" ht="12.75">
      <c r="H692" s="10"/>
    </row>
    <row r="693" spans="8:8" ht="12.75">
      <c r="H693" s="10"/>
    </row>
    <row r="694" spans="8:8" ht="12.75">
      <c r="H694" s="10"/>
    </row>
    <row r="695" spans="8:8" ht="12.75">
      <c r="H695" s="10"/>
    </row>
    <row r="696" spans="8:8" ht="12.75">
      <c r="H696" s="10"/>
    </row>
    <row r="697" spans="8:8" ht="12.75">
      <c r="H697" s="10"/>
    </row>
    <row r="698" spans="8:8" ht="12.75">
      <c r="H698" s="10"/>
    </row>
    <row r="699" spans="8:8" ht="12.75">
      <c r="H699" s="10"/>
    </row>
    <row r="700" spans="8:8" ht="12.75">
      <c r="H700" s="10"/>
    </row>
    <row r="701" spans="8:8" ht="12.75">
      <c r="H701" s="10"/>
    </row>
    <row r="702" spans="8:8" ht="12.75">
      <c r="H702" s="10"/>
    </row>
    <row r="703" spans="8:8" ht="12.75">
      <c r="H703" s="10"/>
    </row>
    <row r="704" spans="8:8" ht="12.75">
      <c r="H704" s="10"/>
    </row>
    <row r="705" spans="8:8" ht="12.75">
      <c r="H705" s="10"/>
    </row>
    <row r="706" spans="8:8" ht="12.75">
      <c r="H706" s="10"/>
    </row>
    <row r="707" spans="8:8" ht="12.75">
      <c r="H707" s="10"/>
    </row>
    <row r="708" spans="8:8" ht="12.75">
      <c r="H708" s="10"/>
    </row>
    <row r="709" spans="8:8" ht="12.75">
      <c r="H709" s="10"/>
    </row>
    <row r="710" spans="8:8" ht="12.75">
      <c r="H710" s="10"/>
    </row>
    <row r="711" spans="8:8" ht="12.75">
      <c r="H711" s="10"/>
    </row>
    <row r="712" spans="8:8" ht="12.75">
      <c r="H712" s="10"/>
    </row>
    <row r="713" spans="8:8" ht="12.75">
      <c r="H713" s="10"/>
    </row>
    <row r="714" spans="8:8" ht="12.75">
      <c r="H714" s="10"/>
    </row>
    <row r="715" spans="8:8" ht="12.75">
      <c r="H715" s="10"/>
    </row>
    <row r="716" spans="8:8" ht="12.75">
      <c r="H716" s="10"/>
    </row>
    <row r="717" spans="8:8" ht="12.75">
      <c r="H717" s="10"/>
    </row>
    <row r="718" spans="8:8" ht="12.75">
      <c r="H718" s="10"/>
    </row>
    <row r="719" spans="8:8" ht="12.75">
      <c r="H719" s="10"/>
    </row>
    <row r="720" spans="8:8" ht="12.75">
      <c r="H720" s="10"/>
    </row>
    <row r="721" spans="8:8" ht="12.75">
      <c r="H721" s="10"/>
    </row>
    <row r="722" spans="8:8" ht="12.75">
      <c r="H722" s="10"/>
    </row>
    <row r="723" spans="8:8" ht="12.75">
      <c r="H723" s="10"/>
    </row>
    <row r="724" spans="8:8" ht="12.75">
      <c r="H724" s="10"/>
    </row>
    <row r="725" spans="8:8" ht="12.75">
      <c r="H725" s="10"/>
    </row>
    <row r="726" spans="8:8" ht="12.75">
      <c r="H726" s="10"/>
    </row>
    <row r="727" spans="8:8" ht="12.75">
      <c r="H727" s="10"/>
    </row>
    <row r="728" spans="8:8" ht="12.75">
      <c r="H728" s="10"/>
    </row>
    <row r="729" spans="8:8" ht="12.75">
      <c r="H729" s="10"/>
    </row>
    <row r="730" spans="8:8" ht="12.75">
      <c r="H730" s="10"/>
    </row>
    <row r="731" spans="8:8" ht="12.75">
      <c r="H731" s="10"/>
    </row>
    <row r="732" spans="8:8" ht="12.75">
      <c r="H732" s="10"/>
    </row>
    <row r="733" spans="8:8" ht="12.75">
      <c r="H733" s="10"/>
    </row>
    <row r="734" spans="8:8" ht="12.75">
      <c r="H734" s="10"/>
    </row>
    <row r="735" spans="8:8" ht="12.75">
      <c r="H735" s="10"/>
    </row>
    <row r="736" spans="8:8" ht="12.75">
      <c r="H736" s="10"/>
    </row>
    <row r="737" spans="8:8" ht="12.75">
      <c r="H737" s="10"/>
    </row>
    <row r="738" spans="8:8" ht="12.75">
      <c r="H738" s="10"/>
    </row>
    <row r="739" spans="8:8" ht="12.75">
      <c r="H739" s="10"/>
    </row>
    <row r="740" spans="8:8" ht="12.75">
      <c r="H740" s="10"/>
    </row>
    <row r="741" spans="8:8" ht="12.75">
      <c r="H741" s="10"/>
    </row>
    <row r="742" spans="8:8" ht="12.75">
      <c r="H742" s="10"/>
    </row>
    <row r="743" spans="8:8" ht="12.75">
      <c r="H743" s="10"/>
    </row>
    <row r="744" spans="8:8" ht="12.75">
      <c r="H744" s="10"/>
    </row>
    <row r="745" spans="8:8" ht="12.75">
      <c r="H745" s="10"/>
    </row>
    <row r="746" spans="8:8" ht="12.75">
      <c r="H746" s="10"/>
    </row>
    <row r="747" spans="8:8" ht="12.75">
      <c r="H747" s="10"/>
    </row>
    <row r="748" spans="8:8" ht="12.75">
      <c r="H748" s="10"/>
    </row>
    <row r="749" spans="8:8" ht="12.75">
      <c r="H749" s="10"/>
    </row>
    <row r="750" spans="8:8" ht="12.75">
      <c r="H750" s="10"/>
    </row>
    <row r="751" spans="8:8" ht="12.75">
      <c r="H751" s="10"/>
    </row>
    <row r="752" spans="8:8" ht="12.75">
      <c r="H752" s="10"/>
    </row>
    <row r="753" spans="8:8" ht="12.75">
      <c r="H753" s="10"/>
    </row>
    <row r="754" spans="8:8" ht="12.75">
      <c r="H754" s="10"/>
    </row>
    <row r="755" spans="8:8" ht="12.75">
      <c r="H755" s="10"/>
    </row>
    <row r="756" spans="8:8" ht="12.75">
      <c r="H756" s="10"/>
    </row>
    <row r="757" spans="8:8" ht="12.75">
      <c r="H757" s="10"/>
    </row>
    <row r="758" spans="8:8" ht="12.75">
      <c r="H758" s="10"/>
    </row>
    <row r="759" spans="8:8" ht="12.75">
      <c r="H759" s="10"/>
    </row>
    <row r="760" spans="8:8" ht="12.75">
      <c r="H760" s="10"/>
    </row>
    <row r="761" spans="8:8" ht="12.75">
      <c r="H761" s="10"/>
    </row>
    <row r="762" spans="8:8" ht="12.75">
      <c r="H762" s="10"/>
    </row>
    <row r="763" spans="8:8" ht="12.75">
      <c r="H763" s="10"/>
    </row>
    <row r="764" spans="8:8" ht="12.75">
      <c r="H764" s="10"/>
    </row>
    <row r="765" spans="8:8" ht="12.75">
      <c r="H765" s="10"/>
    </row>
    <row r="766" spans="8:8" ht="12.75">
      <c r="H766" s="10"/>
    </row>
    <row r="767" spans="8:8" ht="12.75">
      <c r="H767" s="10"/>
    </row>
    <row r="768" spans="8:8" ht="12.75">
      <c r="H768" s="10"/>
    </row>
    <row r="769" spans="8:8" ht="12.75">
      <c r="H769" s="10"/>
    </row>
    <row r="770" spans="8:8" ht="12.75">
      <c r="H770" s="10"/>
    </row>
    <row r="771" spans="8:8" ht="12.75">
      <c r="H771" s="10"/>
    </row>
    <row r="772" spans="8:8" ht="12.75">
      <c r="H772" s="10"/>
    </row>
    <row r="773" spans="8:8" ht="12.75">
      <c r="H773" s="10"/>
    </row>
    <row r="774" spans="8:8" ht="12.75">
      <c r="H774" s="10"/>
    </row>
    <row r="775" spans="8:8" ht="12.75">
      <c r="H775" s="10"/>
    </row>
    <row r="776" spans="8:8" ht="12.75">
      <c r="H776" s="10"/>
    </row>
    <row r="777" spans="8:8" ht="12.75">
      <c r="H777" s="10"/>
    </row>
    <row r="778" spans="8:8" ht="12.75">
      <c r="H778" s="10"/>
    </row>
    <row r="779" spans="8:8" ht="12.75">
      <c r="H779" s="10"/>
    </row>
    <row r="780" spans="8:8" ht="12.75">
      <c r="H780" s="10"/>
    </row>
    <row r="781" spans="8:8" ht="12.75">
      <c r="H781" s="10"/>
    </row>
    <row r="782" spans="8:8" ht="12.75">
      <c r="H782" s="10"/>
    </row>
    <row r="783" spans="8:8" ht="12.75">
      <c r="H783" s="10"/>
    </row>
    <row r="784" spans="8:8" ht="12.75">
      <c r="H784" s="10"/>
    </row>
    <row r="785" spans="8:8" ht="12.75">
      <c r="H785" s="10"/>
    </row>
    <row r="786" spans="8:8" ht="12.75">
      <c r="H786" s="10"/>
    </row>
    <row r="787" spans="8:8" ht="12.75">
      <c r="H787" s="10"/>
    </row>
    <row r="788" spans="8:8" ht="12.75">
      <c r="H788" s="10"/>
    </row>
    <row r="789" spans="8:8" ht="12.75">
      <c r="H789" s="10"/>
    </row>
    <row r="790" spans="8:8" ht="12.75">
      <c r="H790" s="10"/>
    </row>
    <row r="791" spans="8:8" ht="12.75">
      <c r="H791" s="10"/>
    </row>
    <row r="792" spans="8:8" ht="12.75">
      <c r="H792" s="10"/>
    </row>
    <row r="793" spans="8:8" ht="12.75">
      <c r="H793" s="10"/>
    </row>
    <row r="794" spans="8:8" ht="12.75">
      <c r="H794" s="10"/>
    </row>
    <row r="795" spans="8:8" ht="12.75">
      <c r="H795" s="10"/>
    </row>
    <row r="796" spans="8:8" ht="12.75">
      <c r="H796" s="10"/>
    </row>
    <row r="797" spans="8:8" ht="12.75">
      <c r="H797" s="10"/>
    </row>
    <row r="798" spans="8:8" ht="12.75">
      <c r="H798" s="10"/>
    </row>
    <row r="799" spans="8:8" ht="12.75">
      <c r="H799" s="10"/>
    </row>
    <row r="800" spans="8:8" ht="12.75">
      <c r="H800" s="10"/>
    </row>
    <row r="801" spans="8:8" ht="12.75">
      <c r="H801" s="10"/>
    </row>
    <row r="802" spans="8:8" ht="12.75">
      <c r="H802" s="10"/>
    </row>
    <row r="803" spans="8:8" ht="12.75">
      <c r="H803" s="10"/>
    </row>
    <row r="804" spans="8:8" ht="12.75">
      <c r="H804" s="10"/>
    </row>
    <row r="805" spans="8:8" ht="12.75">
      <c r="H805" s="10"/>
    </row>
    <row r="806" spans="8:8" ht="12.75">
      <c r="H806" s="10"/>
    </row>
    <row r="807" spans="8:8" ht="12.75">
      <c r="H807" s="10"/>
    </row>
    <row r="808" spans="8:8" ht="12.75">
      <c r="H808" s="10"/>
    </row>
    <row r="809" spans="8:8" ht="12.75">
      <c r="H809" s="10"/>
    </row>
    <row r="810" spans="8:8" ht="12.75">
      <c r="H810" s="10"/>
    </row>
    <row r="811" spans="8:8" ht="12.75">
      <c r="H811" s="10"/>
    </row>
    <row r="812" spans="8:8" ht="12.75">
      <c r="H812" s="10"/>
    </row>
    <row r="813" spans="8:8" ht="12.75">
      <c r="H813" s="10"/>
    </row>
    <row r="814" spans="8:8" ht="12.75">
      <c r="H814" s="10"/>
    </row>
    <row r="815" spans="8:8" ht="12.75">
      <c r="H815" s="10"/>
    </row>
    <row r="816" spans="8:8" ht="12.75">
      <c r="H816" s="10"/>
    </row>
    <row r="817" spans="8:8" ht="12.75">
      <c r="H817" s="10"/>
    </row>
    <row r="818" spans="8:8" ht="12.75">
      <c r="H818" s="10"/>
    </row>
    <row r="819" spans="8:8" ht="12.75">
      <c r="H819" s="10"/>
    </row>
    <row r="820" spans="8:8" ht="12.75">
      <c r="H820" s="10"/>
    </row>
    <row r="821" spans="8:8" ht="12.75">
      <c r="H821" s="10"/>
    </row>
    <row r="822" spans="8:8" ht="12.75">
      <c r="H822" s="10"/>
    </row>
    <row r="823" spans="8:8" ht="12.75">
      <c r="H823" s="10"/>
    </row>
    <row r="824" spans="8:8" ht="12.75">
      <c r="H824" s="10"/>
    </row>
    <row r="825" spans="8:8" ht="12.75">
      <c r="H825" s="10"/>
    </row>
    <row r="826" spans="8:8" ht="12.75">
      <c r="H826" s="10"/>
    </row>
    <row r="827" spans="8:8" ht="12.75">
      <c r="H827" s="10"/>
    </row>
    <row r="828" spans="8:8" ht="12.75">
      <c r="H828" s="10"/>
    </row>
    <row r="829" spans="8:8" ht="12.75">
      <c r="H829" s="10"/>
    </row>
    <row r="830" spans="8:8" ht="12.75">
      <c r="H830" s="10"/>
    </row>
    <row r="831" spans="8:8" ht="12.75">
      <c r="H831" s="10"/>
    </row>
    <row r="832" spans="8:8" ht="12.75">
      <c r="H832" s="10"/>
    </row>
    <row r="833" spans="8:8" ht="12.75">
      <c r="H833" s="10"/>
    </row>
    <row r="834" spans="8:8" ht="12.75">
      <c r="H834" s="10"/>
    </row>
    <row r="835" spans="8:8" ht="12.75">
      <c r="H835" s="10"/>
    </row>
    <row r="836" spans="8:8" ht="12.75">
      <c r="H836" s="10"/>
    </row>
    <row r="837" spans="8:8" ht="12.75">
      <c r="H837" s="10"/>
    </row>
    <row r="838" spans="8:8" ht="12.75">
      <c r="H838" s="10"/>
    </row>
    <row r="839" spans="8:8" ht="12.75">
      <c r="H839" s="10"/>
    </row>
    <row r="840" spans="8:8" ht="12.75">
      <c r="H840" s="10"/>
    </row>
    <row r="841" spans="8:8" ht="12.75">
      <c r="H841" s="10"/>
    </row>
    <row r="842" spans="8:8" ht="12.75">
      <c r="H842" s="10"/>
    </row>
    <row r="843" spans="8:8" ht="12.75">
      <c r="H843" s="10"/>
    </row>
    <row r="844" spans="8:8" ht="12.75">
      <c r="H844" s="10"/>
    </row>
    <row r="845" spans="8:8" ht="12.75">
      <c r="H845" s="10"/>
    </row>
    <row r="846" spans="8:8" ht="12.75">
      <c r="H846" s="10"/>
    </row>
    <row r="847" spans="8:8" ht="12.75">
      <c r="H847" s="10"/>
    </row>
    <row r="848" spans="8:8" ht="12.75">
      <c r="H848" s="10"/>
    </row>
    <row r="849" spans="8:8" ht="12.75">
      <c r="H849" s="10"/>
    </row>
    <row r="850" spans="8:8" ht="12.75">
      <c r="H850" s="10"/>
    </row>
    <row r="851" spans="8:8" ht="12.75">
      <c r="H851" s="10"/>
    </row>
    <row r="852" spans="8:8" ht="12.75">
      <c r="H852" s="10"/>
    </row>
    <row r="853" spans="8:8" ht="12.75">
      <c r="H853" s="10"/>
    </row>
    <row r="854" spans="8:8" ht="12.75">
      <c r="H854" s="10"/>
    </row>
    <row r="855" spans="8:8" ht="12.75">
      <c r="H855" s="10"/>
    </row>
    <row r="856" spans="8:8" ht="12.75">
      <c r="H856" s="10"/>
    </row>
    <row r="857" spans="8:8" ht="12.75">
      <c r="H857" s="10"/>
    </row>
    <row r="858" spans="8:8" ht="12.75">
      <c r="H858" s="10"/>
    </row>
    <row r="859" spans="8:8" ht="12.75">
      <c r="H859" s="10"/>
    </row>
    <row r="860" spans="8:8" ht="12.75">
      <c r="H860" s="10"/>
    </row>
    <row r="861" spans="8:8" ht="12.75">
      <c r="H861" s="10"/>
    </row>
    <row r="862" spans="8:8" ht="12.75">
      <c r="H862" s="10"/>
    </row>
    <row r="863" spans="8:8" ht="12.75">
      <c r="H863" s="10"/>
    </row>
    <row r="864" spans="8:8" ht="12.75">
      <c r="H864" s="10"/>
    </row>
    <row r="865" spans="8:8" ht="12.75">
      <c r="H865" s="10"/>
    </row>
    <row r="866" spans="8:8" ht="12.75">
      <c r="H866" s="10"/>
    </row>
    <row r="867" spans="8:8" ht="12.75">
      <c r="H867" s="10"/>
    </row>
    <row r="868" spans="8:8" ht="12.75">
      <c r="H868" s="10"/>
    </row>
    <row r="869" spans="8:8" ht="12.75">
      <c r="H869" s="10"/>
    </row>
    <row r="870" spans="8:8" ht="12.75">
      <c r="H870" s="10"/>
    </row>
    <row r="871" spans="8:8" ht="12.75">
      <c r="H871" s="10"/>
    </row>
    <row r="872" spans="8:8" ht="12.75">
      <c r="H872" s="10"/>
    </row>
    <row r="873" spans="8:8" ht="12.75">
      <c r="H873" s="10"/>
    </row>
    <row r="874" spans="8:8" ht="12.75">
      <c r="H874" s="10"/>
    </row>
    <row r="875" spans="8:8" ht="12.75">
      <c r="H875" s="10"/>
    </row>
    <row r="876" spans="8:8" ht="12.75">
      <c r="H876" s="10"/>
    </row>
    <row r="877" spans="8:8" ht="12.75">
      <c r="H877" s="10"/>
    </row>
    <row r="878" spans="8:8" ht="12.75">
      <c r="H878" s="10"/>
    </row>
    <row r="879" spans="8:8" ht="12.75">
      <c r="H879" s="10"/>
    </row>
    <row r="880" spans="8:8" ht="12.75">
      <c r="H880" s="10"/>
    </row>
    <row r="881" spans="8:8" ht="12.75">
      <c r="H881" s="10"/>
    </row>
    <row r="882" spans="8:8" ht="12.75">
      <c r="H882" s="10"/>
    </row>
    <row r="883" spans="8:8" ht="12.75">
      <c r="H883" s="10"/>
    </row>
    <row r="884" spans="8:8" ht="12.75">
      <c r="H884" s="10"/>
    </row>
    <row r="885" spans="8:8" ht="12.75">
      <c r="H885" s="10"/>
    </row>
    <row r="886" spans="8:8" ht="12.75">
      <c r="H886" s="10"/>
    </row>
    <row r="887" spans="8:8" ht="12.75">
      <c r="H887" s="10"/>
    </row>
    <row r="888" spans="8:8" ht="12.75">
      <c r="H888" s="10"/>
    </row>
    <row r="889" spans="8:8" ht="12.75">
      <c r="H889" s="10"/>
    </row>
    <row r="890" spans="8:8" ht="12.75">
      <c r="H890" s="10"/>
    </row>
    <row r="891" spans="8:8" ht="12.75">
      <c r="H891" s="10"/>
    </row>
    <row r="892" spans="8:8" ht="12.75">
      <c r="H892" s="10"/>
    </row>
    <row r="893" spans="8:8" ht="12.75">
      <c r="H893" s="10"/>
    </row>
    <row r="894" spans="8:8" ht="12.75">
      <c r="H894" s="10"/>
    </row>
    <row r="895" spans="8:8" ht="12.75">
      <c r="H895" s="10"/>
    </row>
    <row r="896" spans="8:8" ht="12.75">
      <c r="H896" s="10"/>
    </row>
    <row r="897" spans="8:8" ht="12.75">
      <c r="H897" s="10"/>
    </row>
    <row r="898" spans="8:8" ht="12.75">
      <c r="H898" s="10"/>
    </row>
    <row r="899" spans="8:8" ht="12.75">
      <c r="H899" s="10"/>
    </row>
    <row r="900" spans="8:8" ht="12.75">
      <c r="H900" s="10"/>
    </row>
    <row r="901" spans="8:8" ht="12.75">
      <c r="H901" s="10"/>
    </row>
    <row r="902" spans="8:8" ht="12.75">
      <c r="H902" s="10"/>
    </row>
    <row r="903" spans="8:8" ht="12.75">
      <c r="H903" s="10"/>
    </row>
    <row r="904" spans="8:8" ht="12.75">
      <c r="H904" s="10"/>
    </row>
    <row r="905" spans="8:8" ht="12.75">
      <c r="H905" s="10"/>
    </row>
    <row r="906" spans="8:8" ht="12.75">
      <c r="H906" s="10"/>
    </row>
    <row r="907" spans="8:8" ht="12.75">
      <c r="H907" s="10"/>
    </row>
    <row r="908" spans="8:8" ht="12.75">
      <c r="H908" s="10"/>
    </row>
    <row r="909" spans="8:8" ht="12.75">
      <c r="H909" s="10"/>
    </row>
    <row r="910" spans="8:8" ht="12.75">
      <c r="H910" s="10"/>
    </row>
    <row r="911" spans="8:8" ht="12.75">
      <c r="H911" s="10"/>
    </row>
    <row r="912" spans="8:8" ht="12.75">
      <c r="H912" s="10"/>
    </row>
    <row r="913" spans="8:8" ht="12.75">
      <c r="H913" s="10"/>
    </row>
    <row r="914" spans="8:8" ht="12.75">
      <c r="H914" s="10"/>
    </row>
    <row r="915" spans="8:8" ht="12.75">
      <c r="H915" s="10"/>
    </row>
    <row r="916" spans="8:8" ht="12.75">
      <c r="H916" s="10"/>
    </row>
    <row r="917" spans="8:8" ht="12.75">
      <c r="H917" s="10"/>
    </row>
    <row r="918" spans="8:8" ht="12.75">
      <c r="H918" s="10"/>
    </row>
    <row r="919" spans="8:8" ht="12.75">
      <c r="H919" s="10"/>
    </row>
    <row r="920" spans="8:8" ht="12.75">
      <c r="H920" s="10"/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Майнкрафт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Георгий Кононенко</cp:lastModifiedBy>
  <dcterms:modified xsi:type="dcterms:W3CDTF">2025-05-13T15:20:16Z</dcterms:modified>
</cp:coreProperties>
</file>