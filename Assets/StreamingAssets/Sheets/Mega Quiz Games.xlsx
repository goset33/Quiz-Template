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Unity\Projects\Quiz-Template\Assets\StreamingAssets\Sheets\"/>
    </mc:Choice>
  </mc:AlternateContent>
  <xr:revisionPtr revIDLastSave="0" documentId="13_ncr:1_{3806A213-33AB-42E3-AA2C-6CB823BD77C8}" xr6:coauthVersionLast="47" xr6:coauthVersionMax="47" xr10:uidLastSave="{00000000-0000-0000-0000-000000000000}"/>
  <bookViews>
    <workbookView xWindow="-120" yWindow="-120" windowWidth="29040" windowHeight="16440" activeTab="1" xr2:uid="{00000000-000D-0000-FFFF-FFFF00000000}"/>
  </bookViews>
  <sheets>
    <sheet name="Майнкрафт" sheetId="1" r:id="rId1"/>
    <sheet name="EN Minecraft" sheetId="2" r:id="rId2"/>
    <sheet name="Brawl Stars" sheetId="3" r:id="rId3"/>
    <sheet name="EN Brawl Stars" sheetId="4" r:id="rId4"/>
    <sheet name="Genshin Impact" sheetId="5" r:id="rId5"/>
    <sheet name="EN Genshin Impact" sheetId="6" r:id="rId6"/>
    <sheet name="Fortnite" sheetId="7" r:id="rId7"/>
    <sheet name="EN Fortnite"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2" l="1"/>
  <c r="A77" i="2"/>
  <c r="E101" i="8"/>
  <c r="D101" i="8"/>
  <c r="C101" i="8"/>
  <c r="B101" i="8"/>
  <c r="A101" i="8"/>
  <c r="E100" i="8"/>
  <c r="D100" i="8"/>
  <c r="C100" i="8"/>
  <c r="B100" i="8"/>
  <c r="A100" i="8"/>
  <c r="E99" i="8"/>
  <c r="D99" i="8"/>
  <c r="C99" i="8"/>
  <c r="B99" i="8"/>
  <c r="A99" i="8"/>
  <c r="E98" i="8"/>
  <c r="D98" i="8"/>
  <c r="C98" i="8"/>
  <c r="B98" i="8"/>
  <c r="A98" i="8"/>
  <c r="E97" i="8"/>
  <c r="D97" i="8"/>
  <c r="C97" i="8"/>
  <c r="B97" i="8"/>
  <c r="A97" i="8"/>
  <c r="E96" i="8"/>
  <c r="D96" i="8"/>
  <c r="C96" i="8"/>
  <c r="B96" i="8"/>
  <c r="A96" i="8"/>
  <c r="E95" i="8"/>
  <c r="D95" i="8"/>
  <c r="C95" i="8"/>
  <c r="B95" i="8"/>
  <c r="A95" i="8"/>
  <c r="E94" i="8"/>
  <c r="D94" i="8"/>
  <c r="C94" i="8"/>
  <c r="B94" i="8"/>
  <c r="A94" i="8"/>
  <c r="E93" i="8"/>
  <c r="D93" i="8"/>
  <c r="C93" i="8"/>
  <c r="B93" i="8"/>
  <c r="A93" i="8"/>
  <c r="E92" i="8"/>
  <c r="D92" i="8"/>
  <c r="C92" i="8"/>
  <c r="B92" i="8"/>
  <c r="A92" i="8"/>
  <c r="E91" i="8"/>
  <c r="D91" i="8"/>
  <c r="C91" i="8"/>
  <c r="B91" i="8"/>
  <c r="A91" i="8"/>
  <c r="E90" i="8"/>
  <c r="D90" i="8"/>
  <c r="C90" i="8"/>
  <c r="B90" i="8"/>
  <c r="A90" i="8"/>
  <c r="E89" i="8"/>
  <c r="D89" i="8"/>
  <c r="C89" i="8"/>
  <c r="B89" i="8"/>
  <c r="A89" i="8"/>
  <c r="E88" i="8"/>
  <c r="D88" i="8"/>
  <c r="C88" i="8"/>
  <c r="B88" i="8"/>
  <c r="A88" i="8"/>
  <c r="E87" i="8"/>
  <c r="D87" i="8"/>
  <c r="C87" i="8"/>
  <c r="B87" i="8"/>
  <c r="A87" i="8"/>
  <c r="E86" i="8"/>
  <c r="D86" i="8"/>
  <c r="C86" i="8"/>
  <c r="B86" i="8"/>
  <c r="A86" i="8"/>
  <c r="E85" i="8"/>
  <c r="D85" i="8"/>
  <c r="C85" i="8"/>
  <c r="B85" i="8"/>
  <c r="A85" i="8"/>
  <c r="E84" i="8"/>
  <c r="D84" i="8"/>
  <c r="C84" i="8"/>
  <c r="B84" i="8"/>
  <c r="A84" i="8"/>
  <c r="E83" i="8"/>
  <c r="D83" i="8"/>
  <c r="C83" i="8"/>
  <c r="B83" i="8"/>
  <c r="A83" i="8"/>
  <c r="E82" i="8"/>
  <c r="D82" i="8"/>
  <c r="C82" i="8"/>
  <c r="B82" i="8"/>
  <c r="A82" i="8"/>
  <c r="E81" i="8"/>
  <c r="D81" i="8"/>
  <c r="C81" i="8"/>
  <c r="B81" i="8"/>
  <c r="A81" i="8"/>
  <c r="E80" i="8"/>
  <c r="D80" i="8"/>
  <c r="C80" i="8"/>
  <c r="B80" i="8"/>
  <c r="A80" i="8"/>
  <c r="E79" i="8"/>
  <c r="D79" i="8"/>
  <c r="C79" i="8"/>
  <c r="B79" i="8"/>
  <c r="A79" i="8"/>
  <c r="E78" i="8"/>
  <c r="D78" i="8"/>
  <c r="C78" i="8"/>
  <c r="B78" i="8"/>
  <c r="A78" i="8"/>
  <c r="E77" i="8"/>
  <c r="D77" i="8"/>
  <c r="C77" i="8"/>
  <c r="B77" i="8"/>
  <c r="A77" i="8"/>
  <c r="E76" i="8"/>
  <c r="D76" i="8"/>
  <c r="C76" i="8"/>
  <c r="B76" i="8"/>
  <c r="A76" i="8"/>
  <c r="E75" i="8"/>
  <c r="D75" i="8"/>
  <c r="C75" i="8"/>
  <c r="B75" i="8"/>
  <c r="A75" i="8"/>
  <c r="E74" i="8"/>
  <c r="D74" i="8"/>
  <c r="C74" i="8"/>
  <c r="B74" i="8"/>
  <c r="A74" i="8"/>
  <c r="E73" i="8"/>
  <c r="D73" i="8"/>
  <c r="C73" i="8"/>
  <c r="B73" i="8"/>
  <c r="A73" i="8"/>
  <c r="E72" i="8"/>
  <c r="D72" i="8"/>
  <c r="C72" i="8"/>
  <c r="B72" i="8"/>
  <c r="A72" i="8"/>
  <c r="E71" i="8"/>
  <c r="D71" i="8"/>
  <c r="C71" i="8"/>
  <c r="B71" i="8"/>
  <c r="A71" i="8"/>
  <c r="E70" i="8"/>
  <c r="D70" i="8"/>
  <c r="C70" i="8"/>
  <c r="B70" i="8"/>
  <c r="A70" i="8"/>
  <c r="E69" i="8"/>
  <c r="D69" i="8"/>
  <c r="C69" i="8"/>
  <c r="B69" i="8"/>
  <c r="A69" i="8"/>
  <c r="E68" i="8"/>
  <c r="D68" i="8"/>
  <c r="C68" i="8"/>
  <c r="B68" i="8"/>
  <c r="A68" i="8"/>
  <c r="E67" i="8"/>
  <c r="D67" i="8"/>
  <c r="C67" i="8"/>
  <c r="B67" i="8"/>
  <c r="A67" i="8"/>
  <c r="E66" i="8"/>
  <c r="D66" i="8"/>
  <c r="C66" i="8"/>
  <c r="B66" i="8"/>
  <c r="A66" i="8"/>
  <c r="E65" i="8"/>
  <c r="D65" i="8"/>
  <c r="C65" i="8"/>
  <c r="B65" i="8"/>
  <c r="A65" i="8"/>
  <c r="E64" i="8"/>
  <c r="D64" i="8"/>
  <c r="C64" i="8"/>
  <c r="B64" i="8"/>
  <c r="A64" i="8"/>
  <c r="E63" i="8"/>
  <c r="D63" i="8"/>
  <c r="C63" i="8"/>
  <c r="B63" i="8"/>
  <c r="A63" i="8"/>
  <c r="E62" i="8"/>
  <c r="D62" i="8"/>
  <c r="C62" i="8"/>
  <c r="B62" i="8"/>
  <c r="A62" i="8"/>
  <c r="E61" i="8"/>
  <c r="D61" i="8"/>
  <c r="C61" i="8"/>
  <c r="B61" i="8"/>
  <c r="A61" i="8"/>
  <c r="E60" i="8"/>
  <c r="D60" i="8"/>
  <c r="C60" i="8"/>
  <c r="B60" i="8"/>
  <c r="A60" i="8"/>
  <c r="E59" i="8"/>
  <c r="D59" i="8"/>
  <c r="C59" i="8"/>
  <c r="B59" i="8"/>
  <c r="A59" i="8"/>
  <c r="E58" i="8"/>
  <c r="D58" i="8"/>
  <c r="C58" i="8"/>
  <c r="B58" i="8"/>
  <c r="A58" i="8"/>
  <c r="E57" i="8"/>
  <c r="D57" i="8"/>
  <c r="C57" i="8"/>
  <c r="B57" i="8"/>
  <c r="A57" i="8"/>
  <c r="E56" i="8"/>
  <c r="D56" i="8"/>
  <c r="C56" i="8"/>
  <c r="B56" i="8"/>
  <c r="A56" i="8"/>
  <c r="E55" i="8"/>
  <c r="D55" i="8"/>
  <c r="C55" i="8"/>
  <c r="B55" i="8"/>
  <c r="A55" i="8"/>
  <c r="E54" i="8"/>
  <c r="D54" i="8"/>
  <c r="C54" i="8"/>
  <c r="B54" i="8"/>
  <c r="A54" i="8"/>
  <c r="E53" i="8"/>
  <c r="D53" i="8"/>
  <c r="C53" i="8"/>
  <c r="B53" i="8"/>
  <c r="A53" i="8"/>
  <c r="E52" i="8"/>
  <c r="D52" i="8"/>
  <c r="C52" i="8"/>
  <c r="B52" i="8"/>
  <c r="A52" i="8"/>
  <c r="E51" i="8"/>
  <c r="D51" i="8"/>
  <c r="C51" i="8"/>
  <c r="B51" i="8"/>
  <c r="A51" i="8"/>
  <c r="E50" i="8"/>
  <c r="D50" i="8"/>
  <c r="C50" i="8"/>
  <c r="B50" i="8"/>
  <c r="A50" i="8"/>
  <c r="E49" i="8"/>
  <c r="D49" i="8"/>
  <c r="C49" i="8"/>
  <c r="B49" i="8"/>
  <c r="A49" i="8"/>
  <c r="E48" i="8"/>
  <c r="D48" i="8"/>
  <c r="C48" i="8"/>
  <c r="B48" i="8"/>
  <c r="A48" i="8"/>
  <c r="E47" i="8"/>
  <c r="D47" i="8"/>
  <c r="C47" i="8"/>
  <c r="B47" i="8"/>
  <c r="A47" i="8"/>
  <c r="E46" i="8"/>
  <c r="D46" i="8"/>
  <c r="C46" i="8"/>
  <c r="B46" i="8"/>
  <c r="A46" i="8"/>
  <c r="E45" i="8"/>
  <c r="D45" i="8"/>
  <c r="C45" i="8"/>
  <c r="B45" i="8"/>
  <c r="A45" i="8"/>
  <c r="E44" i="8"/>
  <c r="D44" i="8"/>
  <c r="C44" i="8"/>
  <c r="B44" i="8"/>
  <c r="A44" i="8"/>
  <c r="E43" i="8"/>
  <c r="D43" i="8"/>
  <c r="C43" i="8"/>
  <c r="B43" i="8"/>
  <c r="A43" i="8"/>
  <c r="E42" i="8"/>
  <c r="D42" i="8"/>
  <c r="C42" i="8"/>
  <c r="B42" i="8"/>
  <c r="A42" i="8"/>
  <c r="E41" i="8"/>
  <c r="D41" i="8"/>
  <c r="C41" i="8"/>
  <c r="B41" i="8"/>
  <c r="A41" i="8"/>
  <c r="E40" i="8"/>
  <c r="D40" i="8"/>
  <c r="C40" i="8"/>
  <c r="B40" i="8"/>
  <c r="A40" i="8"/>
  <c r="E39" i="8"/>
  <c r="D39" i="8"/>
  <c r="C39" i="8"/>
  <c r="B39" i="8"/>
  <c r="A39" i="8"/>
  <c r="E38" i="8"/>
  <c r="D38" i="8"/>
  <c r="C38" i="8"/>
  <c r="B38" i="8"/>
  <c r="A38" i="8"/>
  <c r="E37" i="8"/>
  <c r="D37" i="8"/>
  <c r="C37" i="8"/>
  <c r="B37" i="8"/>
  <c r="A37" i="8"/>
  <c r="E36" i="8"/>
  <c r="D36" i="8"/>
  <c r="C36" i="8"/>
  <c r="B36" i="8"/>
  <c r="A36" i="8"/>
  <c r="E35" i="8"/>
  <c r="D35" i="8"/>
  <c r="C35" i="8"/>
  <c r="B35" i="8"/>
  <c r="A35" i="8"/>
  <c r="E34" i="8"/>
  <c r="D34" i="8"/>
  <c r="C34" i="8"/>
  <c r="B34" i="8"/>
  <c r="A34" i="8"/>
  <c r="E33" i="8"/>
  <c r="D33" i="8"/>
  <c r="C33" i="8"/>
  <c r="B33" i="8"/>
  <c r="A33" i="8"/>
  <c r="E32" i="8"/>
  <c r="D32" i="8"/>
  <c r="C32" i="8"/>
  <c r="B32" i="8"/>
  <c r="A32" i="8"/>
  <c r="E31" i="8"/>
  <c r="D31" i="8"/>
  <c r="C31" i="8"/>
  <c r="B31" i="8"/>
  <c r="A31" i="8"/>
  <c r="E30" i="8"/>
  <c r="D30" i="8"/>
  <c r="C30" i="8"/>
  <c r="B30" i="8"/>
  <c r="A30" i="8"/>
  <c r="E29" i="8"/>
  <c r="D29" i="8"/>
  <c r="C29" i="8"/>
  <c r="B29" i="8"/>
  <c r="A29" i="8"/>
  <c r="E28" i="8"/>
  <c r="D28" i="8"/>
  <c r="C28" i="8"/>
  <c r="B28" i="8"/>
  <c r="A28" i="8"/>
  <c r="E27" i="8"/>
  <c r="D27" i="8"/>
  <c r="C27" i="8"/>
  <c r="B27" i="8"/>
  <c r="A27" i="8"/>
  <c r="E26" i="8"/>
  <c r="D26" i="8"/>
  <c r="C26" i="8"/>
  <c r="B26" i="8"/>
  <c r="A26" i="8"/>
  <c r="E25" i="8"/>
  <c r="D25" i="8"/>
  <c r="C25" i="8"/>
  <c r="B25" i="8"/>
  <c r="A25" i="8"/>
  <c r="E24" i="8"/>
  <c r="D24" i="8"/>
  <c r="C24" i="8"/>
  <c r="B24" i="8"/>
  <c r="A24" i="8"/>
  <c r="E23" i="8"/>
  <c r="D23" i="8"/>
  <c r="C23" i="8"/>
  <c r="B23" i="8"/>
  <c r="A23" i="8"/>
  <c r="E22" i="8"/>
  <c r="D22" i="8"/>
  <c r="C22" i="8"/>
  <c r="B22" i="8"/>
  <c r="A22" i="8"/>
  <c r="E21" i="8"/>
  <c r="D21" i="8"/>
  <c r="C21" i="8"/>
  <c r="B21" i="8"/>
  <c r="A21" i="8"/>
  <c r="E20" i="8"/>
  <c r="D20" i="8"/>
  <c r="C20" i="8"/>
  <c r="B20" i="8"/>
  <c r="A20" i="8"/>
  <c r="E19" i="8"/>
  <c r="D19" i="8"/>
  <c r="C19" i="8"/>
  <c r="B19" i="8"/>
  <c r="A19" i="8"/>
  <c r="E18" i="8"/>
  <c r="D18" i="8"/>
  <c r="C18" i="8"/>
  <c r="B18" i="8"/>
  <c r="A18" i="8"/>
  <c r="E17" i="8"/>
  <c r="D17" i="8"/>
  <c r="C17" i="8"/>
  <c r="B17" i="8"/>
  <c r="A17" i="8"/>
  <c r="E16" i="8"/>
  <c r="D16" i="8"/>
  <c r="C16" i="8"/>
  <c r="B16" i="8"/>
  <c r="A16" i="8"/>
  <c r="E15" i="8"/>
  <c r="D15" i="8"/>
  <c r="C15" i="8"/>
  <c r="B15" i="8"/>
  <c r="A15" i="8"/>
  <c r="E14" i="8"/>
  <c r="D14" i="8"/>
  <c r="C14" i="8"/>
  <c r="B14" i="8"/>
  <c r="A14" i="8"/>
  <c r="E13" i="8"/>
  <c r="D13" i="8"/>
  <c r="C13" i="8"/>
  <c r="B13" i="8"/>
  <c r="A13" i="8"/>
  <c r="E12" i="8"/>
  <c r="D12" i="8"/>
  <c r="C12" i="8"/>
  <c r="B12" i="8"/>
  <c r="A12" i="8"/>
  <c r="E11" i="8"/>
  <c r="D11" i="8"/>
  <c r="C11" i="8"/>
  <c r="B11" i="8"/>
  <c r="A11" i="8"/>
  <c r="E10" i="8"/>
  <c r="D10" i="8"/>
  <c r="C10" i="8"/>
  <c r="B10" i="8"/>
  <c r="A10" i="8"/>
  <c r="E9" i="8"/>
  <c r="D9" i="8"/>
  <c r="C9" i="8"/>
  <c r="B9" i="8"/>
  <c r="A9" i="8"/>
  <c r="E8" i="8"/>
  <c r="D8" i="8"/>
  <c r="C8" i="8"/>
  <c r="B8" i="8"/>
  <c r="A8" i="8"/>
  <c r="E7" i="8"/>
  <c r="D7" i="8"/>
  <c r="C7" i="8"/>
  <c r="B7" i="8"/>
  <c r="A7" i="8"/>
  <c r="E6" i="8"/>
  <c r="D6" i="8"/>
  <c r="B6" i="8"/>
  <c r="A6" i="8"/>
  <c r="E5" i="8"/>
  <c r="D5" i="8"/>
  <c r="C5" i="8"/>
  <c r="B5" i="8"/>
  <c r="A5" i="8"/>
  <c r="E4" i="8"/>
  <c r="D4" i="8"/>
  <c r="C4" i="8"/>
  <c r="B4" i="8"/>
  <c r="A4" i="8"/>
  <c r="E3" i="8"/>
  <c r="D3" i="8"/>
  <c r="C3" i="8"/>
  <c r="B3" i="8"/>
  <c r="A3" i="8"/>
  <c r="E2" i="8"/>
  <c r="D2" i="8"/>
  <c r="C2" i="8"/>
  <c r="B2" i="8"/>
  <c r="A2" i="8"/>
  <c r="E107" i="6"/>
  <c r="D107" i="6"/>
  <c r="C107" i="6"/>
  <c r="B107" i="6"/>
  <c r="A107" i="6"/>
  <c r="E106" i="6"/>
  <c r="D106" i="6"/>
  <c r="C106" i="6"/>
  <c r="B106" i="6"/>
  <c r="A106" i="6"/>
  <c r="E105" i="6"/>
  <c r="D105" i="6"/>
  <c r="C105" i="6"/>
  <c r="B105" i="6"/>
  <c r="A105" i="6"/>
  <c r="E104" i="6"/>
  <c r="D104" i="6"/>
  <c r="C104" i="6"/>
  <c r="B104" i="6"/>
  <c r="A104" i="6"/>
  <c r="E103" i="6"/>
  <c r="D103" i="6"/>
  <c r="C103" i="6"/>
  <c r="B103" i="6"/>
  <c r="A103" i="6"/>
  <c r="E102" i="6"/>
  <c r="D102" i="6"/>
  <c r="C102" i="6"/>
  <c r="B102" i="6"/>
  <c r="A102" i="6"/>
  <c r="E101" i="6"/>
  <c r="D101" i="6"/>
  <c r="C101" i="6"/>
  <c r="B101" i="6"/>
  <c r="A101" i="6"/>
  <c r="E100" i="6"/>
  <c r="D100" i="6"/>
  <c r="C100" i="6"/>
  <c r="B100" i="6"/>
  <c r="A100" i="6"/>
  <c r="E99" i="6"/>
  <c r="D99" i="6"/>
  <c r="C99" i="6"/>
  <c r="B99" i="6"/>
  <c r="A99" i="6"/>
  <c r="E98" i="6"/>
  <c r="D98" i="6"/>
  <c r="C98" i="6"/>
  <c r="B98" i="6"/>
  <c r="A98" i="6"/>
  <c r="E97" i="6"/>
  <c r="D97" i="6"/>
  <c r="C97" i="6"/>
  <c r="B97" i="6"/>
  <c r="A97" i="6"/>
  <c r="E96" i="6"/>
  <c r="D96" i="6"/>
  <c r="C96" i="6"/>
  <c r="B96" i="6"/>
  <c r="A96" i="6"/>
  <c r="E95" i="6"/>
  <c r="D95" i="6"/>
  <c r="C95" i="6"/>
  <c r="B95" i="6"/>
  <c r="A95" i="6"/>
  <c r="E94" i="6"/>
  <c r="D94" i="6"/>
  <c r="C94" i="6"/>
  <c r="B94" i="6"/>
  <c r="A94" i="6"/>
  <c r="E93" i="6"/>
  <c r="D93" i="6"/>
  <c r="C93" i="6"/>
  <c r="B93" i="6"/>
  <c r="A93" i="6"/>
  <c r="E92" i="6"/>
  <c r="D92" i="6"/>
  <c r="C92" i="6"/>
  <c r="B92" i="6"/>
  <c r="A92" i="6"/>
  <c r="E91" i="6"/>
  <c r="D91" i="6"/>
  <c r="C91" i="6"/>
  <c r="B91" i="6"/>
  <c r="A91" i="6"/>
  <c r="E90" i="6"/>
  <c r="D90" i="6"/>
  <c r="C90" i="6"/>
  <c r="B90" i="6"/>
  <c r="A90" i="6"/>
  <c r="E89" i="6"/>
  <c r="D89" i="6"/>
  <c r="C89" i="6"/>
  <c r="B89" i="6"/>
  <c r="A89" i="6"/>
  <c r="E88" i="6"/>
  <c r="D88" i="6"/>
  <c r="C88" i="6"/>
  <c r="B88" i="6"/>
  <c r="A88" i="6"/>
  <c r="E87" i="6"/>
  <c r="D87" i="6"/>
  <c r="C87" i="6"/>
  <c r="B87" i="6"/>
  <c r="A87" i="6"/>
  <c r="E86" i="6"/>
  <c r="D86" i="6"/>
  <c r="C86" i="6"/>
  <c r="B86" i="6"/>
  <c r="A86" i="6"/>
  <c r="E85" i="6"/>
  <c r="D85" i="6"/>
  <c r="C85" i="6"/>
  <c r="B85" i="6"/>
  <c r="A85" i="6"/>
  <c r="E84" i="6"/>
  <c r="D84" i="6"/>
  <c r="C84" i="6"/>
  <c r="B84" i="6"/>
  <c r="A84" i="6"/>
  <c r="E83" i="6"/>
  <c r="D83" i="6"/>
  <c r="C83" i="6"/>
  <c r="B83" i="6"/>
  <c r="A83" i="6"/>
  <c r="E82" i="6"/>
  <c r="D82" i="6"/>
  <c r="C82" i="6"/>
  <c r="B82" i="6"/>
  <c r="A82" i="6"/>
  <c r="E81" i="6"/>
  <c r="D81" i="6"/>
  <c r="C81" i="6"/>
  <c r="B81" i="6"/>
  <c r="A81" i="6"/>
  <c r="E80" i="6"/>
  <c r="D80" i="6"/>
  <c r="C80" i="6"/>
  <c r="B80" i="6"/>
  <c r="A80" i="6"/>
  <c r="E79" i="6"/>
  <c r="D79" i="6"/>
  <c r="C79" i="6"/>
  <c r="B79" i="6"/>
  <c r="A79" i="6"/>
  <c r="E78" i="6"/>
  <c r="D78" i="6"/>
  <c r="C78" i="6"/>
  <c r="B78" i="6"/>
  <c r="A78" i="6"/>
  <c r="E77" i="6"/>
  <c r="D77" i="6"/>
  <c r="C77" i="6"/>
  <c r="B77" i="6"/>
  <c r="A77" i="6"/>
  <c r="E76" i="6"/>
  <c r="D76" i="6"/>
  <c r="C76" i="6"/>
  <c r="B76" i="6"/>
  <c r="A76" i="6"/>
  <c r="E75" i="6"/>
  <c r="D75" i="6"/>
  <c r="C75" i="6"/>
  <c r="B75" i="6"/>
  <c r="A75" i="6"/>
  <c r="E74" i="6"/>
  <c r="D74" i="6"/>
  <c r="C74" i="6"/>
  <c r="B74" i="6"/>
  <c r="A74" i="6"/>
  <c r="E73" i="6"/>
  <c r="D73" i="6"/>
  <c r="C73" i="6"/>
  <c r="B73" i="6"/>
  <c r="A73" i="6"/>
  <c r="E72" i="6"/>
  <c r="D72" i="6"/>
  <c r="C72" i="6"/>
  <c r="B72" i="6"/>
  <c r="A72" i="6"/>
  <c r="E71" i="6"/>
  <c r="D71" i="6"/>
  <c r="C71" i="6"/>
  <c r="B71" i="6"/>
  <c r="A71" i="6"/>
  <c r="E70" i="6"/>
  <c r="D70" i="6"/>
  <c r="C70" i="6"/>
  <c r="B70" i="6"/>
  <c r="A70" i="6"/>
  <c r="E69" i="6"/>
  <c r="D69" i="6"/>
  <c r="C69" i="6"/>
  <c r="B69" i="6"/>
  <c r="A69" i="6"/>
  <c r="E68" i="6"/>
  <c r="D68" i="6"/>
  <c r="C68" i="6"/>
  <c r="B68" i="6"/>
  <c r="A68" i="6"/>
  <c r="E67" i="6"/>
  <c r="D67" i="6"/>
  <c r="C67" i="6"/>
  <c r="B67" i="6"/>
  <c r="A67" i="6"/>
  <c r="E66" i="6"/>
  <c r="D66" i="6"/>
  <c r="C66" i="6"/>
  <c r="B66" i="6"/>
  <c r="A66" i="6"/>
  <c r="E65" i="6"/>
  <c r="D65" i="6"/>
  <c r="C65" i="6"/>
  <c r="B65" i="6"/>
  <c r="A65" i="6"/>
  <c r="E64" i="6"/>
  <c r="D64" i="6"/>
  <c r="C64" i="6"/>
  <c r="B64" i="6"/>
  <c r="A64" i="6"/>
  <c r="E63" i="6"/>
  <c r="D63" i="6"/>
  <c r="C63" i="6"/>
  <c r="B63" i="6"/>
  <c r="A63" i="6"/>
  <c r="E62" i="6"/>
  <c r="D62" i="6"/>
  <c r="C62" i="6"/>
  <c r="B62" i="6"/>
  <c r="A62" i="6"/>
  <c r="E61" i="6"/>
  <c r="D61" i="6"/>
  <c r="C61" i="6"/>
  <c r="B61" i="6"/>
  <c r="A61" i="6"/>
  <c r="E60" i="6"/>
  <c r="D60" i="6"/>
  <c r="C60" i="6"/>
  <c r="B60" i="6"/>
  <c r="A60" i="6"/>
  <c r="E59" i="6"/>
  <c r="D59" i="6"/>
  <c r="C59" i="6"/>
  <c r="B59" i="6"/>
  <c r="A59" i="6"/>
  <c r="E58" i="6"/>
  <c r="D58" i="6"/>
  <c r="C58" i="6"/>
  <c r="B58" i="6"/>
  <c r="A58" i="6"/>
  <c r="E57" i="6"/>
  <c r="D57" i="6"/>
  <c r="C57" i="6"/>
  <c r="B57" i="6"/>
  <c r="A57" i="6"/>
  <c r="E56" i="6"/>
  <c r="D56" i="6"/>
  <c r="C56" i="6"/>
  <c r="B56" i="6"/>
  <c r="A56" i="6"/>
  <c r="E55" i="6"/>
  <c r="D55" i="6"/>
  <c r="C55" i="6"/>
  <c r="B55" i="6"/>
  <c r="A55" i="6"/>
  <c r="E54" i="6"/>
  <c r="D54" i="6"/>
  <c r="C54" i="6"/>
  <c r="B54" i="6"/>
  <c r="A54" i="6"/>
  <c r="E53" i="6"/>
  <c r="D53" i="6"/>
  <c r="C53" i="6"/>
  <c r="B53" i="6"/>
  <c r="A53" i="6"/>
  <c r="E52" i="6"/>
  <c r="D52" i="6"/>
  <c r="C52" i="6"/>
  <c r="B52" i="6"/>
  <c r="A52" i="6"/>
  <c r="E51" i="6"/>
  <c r="D51" i="6"/>
  <c r="C51" i="6"/>
  <c r="B51" i="6"/>
  <c r="A51" i="6"/>
  <c r="E50" i="6"/>
  <c r="D50" i="6"/>
  <c r="C50" i="6"/>
  <c r="B50" i="6"/>
  <c r="A50" i="6"/>
  <c r="E49" i="6"/>
  <c r="D49" i="6"/>
  <c r="C49" i="6"/>
  <c r="B49" i="6"/>
  <c r="A49" i="6"/>
  <c r="E48" i="6"/>
  <c r="D48" i="6"/>
  <c r="C48" i="6"/>
  <c r="B48" i="6"/>
  <c r="A48" i="6"/>
  <c r="E47" i="6"/>
  <c r="D47" i="6"/>
  <c r="C47" i="6"/>
  <c r="B47" i="6"/>
  <c r="A47" i="6"/>
  <c r="E46" i="6"/>
  <c r="D46" i="6"/>
  <c r="C46" i="6"/>
  <c r="B46" i="6"/>
  <c r="A46" i="6"/>
  <c r="E45" i="6"/>
  <c r="D45" i="6"/>
  <c r="C45" i="6"/>
  <c r="B45" i="6"/>
  <c r="A45" i="6"/>
  <c r="E44" i="6"/>
  <c r="D44" i="6"/>
  <c r="C44" i="6"/>
  <c r="B44" i="6"/>
  <c r="A44" i="6"/>
  <c r="E43" i="6"/>
  <c r="D43" i="6"/>
  <c r="C43" i="6"/>
  <c r="B43" i="6"/>
  <c r="A43" i="6"/>
  <c r="E42" i="6"/>
  <c r="D42" i="6"/>
  <c r="C42" i="6"/>
  <c r="B42" i="6"/>
  <c r="A42" i="6"/>
  <c r="E41" i="6"/>
  <c r="D41" i="6"/>
  <c r="C41" i="6"/>
  <c r="B41" i="6"/>
  <c r="A41" i="6"/>
  <c r="E40" i="6"/>
  <c r="D40" i="6"/>
  <c r="C40" i="6"/>
  <c r="B40" i="6"/>
  <c r="A40" i="6"/>
  <c r="E39" i="6"/>
  <c r="D39" i="6"/>
  <c r="C39" i="6"/>
  <c r="B39" i="6"/>
  <c r="A39" i="6"/>
  <c r="E38" i="6"/>
  <c r="D38" i="6"/>
  <c r="C38" i="6"/>
  <c r="B38" i="6"/>
  <c r="A38" i="6"/>
  <c r="E37" i="6"/>
  <c r="D37" i="6"/>
  <c r="C37" i="6"/>
  <c r="B37" i="6"/>
  <c r="A37" i="6"/>
  <c r="E36" i="6"/>
  <c r="D36" i="6"/>
  <c r="C36" i="6"/>
  <c r="B36" i="6"/>
  <c r="A36" i="6"/>
  <c r="E35" i="6"/>
  <c r="D35" i="6"/>
  <c r="C35" i="6"/>
  <c r="B35" i="6"/>
  <c r="A35" i="6"/>
  <c r="E34" i="6"/>
  <c r="D34" i="6"/>
  <c r="C34" i="6"/>
  <c r="B34" i="6"/>
  <c r="A34" i="6"/>
  <c r="E33" i="6"/>
  <c r="D33" i="6"/>
  <c r="C33" i="6"/>
  <c r="B33" i="6"/>
  <c r="A33" i="6"/>
  <c r="E32" i="6"/>
  <c r="D32" i="6"/>
  <c r="C32" i="6"/>
  <c r="B32" i="6"/>
  <c r="A32" i="6"/>
  <c r="E31" i="6"/>
  <c r="D31" i="6"/>
  <c r="C31" i="6"/>
  <c r="B31" i="6"/>
  <c r="A31" i="6"/>
  <c r="E30" i="6"/>
  <c r="D30" i="6"/>
  <c r="C30" i="6"/>
  <c r="B30" i="6"/>
  <c r="A30" i="6"/>
  <c r="E29" i="6"/>
  <c r="D29" i="6"/>
  <c r="C29" i="6"/>
  <c r="B29" i="6"/>
  <c r="A29" i="6"/>
  <c r="E28" i="6"/>
  <c r="D28" i="6"/>
  <c r="C28" i="6"/>
  <c r="B28" i="6"/>
  <c r="A28" i="6"/>
  <c r="E27" i="6"/>
  <c r="D27" i="6"/>
  <c r="C27" i="6"/>
  <c r="B27" i="6"/>
  <c r="A27" i="6"/>
  <c r="E26" i="6"/>
  <c r="D26" i="6"/>
  <c r="C26" i="6"/>
  <c r="B26" i="6"/>
  <c r="A26" i="6"/>
  <c r="E25" i="6"/>
  <c r="D25" i="6"/>
  <c r="C25" i="6"/>
  <c r="B25" i="6"/>
  <c r="A25" i="6"/>
  <c r="E24" i="6"/>
  <c r="D24" i="6"/>
  <c r="C24" i="6"/>
  <c r="B24" i="6"/>
  <c r="A24" i="6"/>
  <c r="E23" i="6"/>
  <c r="D23" i="6"/>
  <c r="C23" i="6"/>
  <c r="B23" i="6"/>
  <c r="A23" i="6"/>
  <c r="E22" i="6"/>
  <c r="D22" i="6"/>
  <c r="C22" i="6"/>
  <c r="B22" i="6"/>
  <c r="A22" i="6"/>
  <c r="E21" i="6"/>
  <c r="D21" i="6"/>
  <c r="C21" i="6"/>
  <c r="B21" i="6"/>
  <c r="A21" i="6"/>
  <c r="E20" i="6"/>
  <c r="D20" i="6"/>
  <c r="C20" i="6"/>
  <c r="B20" i="6"/>
  <c r="A20" i="6"/>
  <c r="E19" i="6"/>
  <c r="D19" i="6"/>
  <c r="C19" i="6"/>
  <c r="B19" i="6"/>
  <c r="A19" i="6"/>
  <c r="E18" i="6"/>
  <c r="D18" i="6"/>
  <c r="C18" i="6"/>
  <c r="B18" i="6"/>
  <c r="A18" i="6"/>
  <c r="E17" i="6"/>
  <c r="D17" i="6"/>
  <c r="C17" i="6"/>
  <c r="B17" i="6"/>
  <c r="A17" i="6"/>
  <c r="E16" i="6"/>
  <c r="D16" i="6"/>
  <c r="C16" i="6"/>
  <c r="B16" i="6"/>
  <c r="A16" i="6"/>
  <c r="E15" i="6"/>
  <c r="D15" i="6"/>
  <c r="C15" i="6"/>
  <c r="B15" i="6"/>
  <c r="A15" i="6"/>
  <c r="E14" i="6"/>
  <c r="D14" i="6"/>
  <c r="C14" i="6"/>
  <c r="B14" i="6"/>
  <c r="A14" i="6"/>
  <c r="E13" i="6"/>
  <c r="D13" i="6"/>
  <c r="C13" i="6"/>
  <c r="B13" i="6"/>
  <c r="A13" i="6"/>
  <c r="E12" i="6"/>
  <c r="D12" i="6"/>
  <c r="C12" i="6"/>
  <c r="B12" i="6"/>
  <c r="A12" i="6"/>
  <c r="E11" i="6"/>
  <c r="D11" i="6"/>
  <c r="C11" i="6"/>
  <c r="B11" i="6"/>
  <c r="A11" i="6"/>
  <c r="E10" i="6"/>
  <c r="D10" i="6"/>
  <c r="C10" i="6"/>
  <c r="B10" i="6"/>
  <c r="A10" i="6"/>
  <c r="E9" i="6"/>
  <c r="D9" i="6"/>
  <c r="C9" i="6"/>
  <c r="B9" i="6"/>
  <c r="A9" i="6"/>
  <c r="E8" i="6"/>
  <c r="D8" i="6"/>
  <c r="C8" i="6"/>
  <c r="B8" i="6"/>
  <c r="A8" i="6"/>
  <c r="E7" i="6"/>
  <c r="D7" i="6"/>
  <c r="C7" i="6"/>
  <c r="B7" i="6"/>
  <c r="A7" i="6"/>
  <c r="E6" i="6"/>
  <c r="D6" i="6"/>
  <c r="C6" i="6"/>
  <c r="B6" i="6"/>
  <c r="A6" i="6"/>
  <c r="E5" i="6"/>
  <c r="D5" i="6"/>
  <c r="C5" i="6"/>
  <c r="B5" i="6"/>
  <c r="A5" i="6"/>
  <c r="E4" i="6"/>
  <c r="D4" i="6"/>
  <c r="C4" i="6"/>
  <c r="B4" i="6"/>
  <c r="A4" i="6"/>
  <c r="E3" i="6"/>
  <c r="D3" i="6"/>
  <c r="C3" i="6"/>
  <c r="B3" i="6"/>
  <c r="A3" i="6"/>
  <c r="E2" i="6"/>
  <c r="D2" i="6"/>
  <c r="C2" i="6"/>
  <c r="B2" i="6"/>
  <c r="A2" i="6"/>
  <c r="D106" i="4"/>
  <c r="C106" i="4"/>
  <c r="B106" i="4"/>
  <c r="A106" i="4"/>
  <c r="D105" i="4"/>
  <c r="C105" i="4"/>
  <c r="B105" i="4"/>
  <c r="A105" i="4"/>
  <c r="D104" i="4"/>
  <c r="C104" i="4"/>
  <c r="B104" i="4"/>
  <c r="A104" i="4"/>
  <c r="D103" i="4"/>
  <c r="C103" i="4"/>
  <c r="B103" i="4"/>
  <c r="A103" i="4"/>
  <c r="D102" i="4"/>
  <c r="C102" i="4"/>
  <c r="B102" i="4"/>
  <c r="A102" i="4"/>
  <c r="D101" i="4"/>
  <c r="C101" i="4"/>
  <c r="B101" i="4"/>
  <c r="A101" i="4"/>
  <c r="D100" i="4"/>
  <c r="C100" i="4"/>
  <c r="B100" i="4"/>
  <c r="A100" i="4"/>
  <c r="D99" i="4"/>
  <c r="C99" i="4"/>
  <c r="B99" i="4"/>
  <c r="A99" i="4"/>
  <c r="D98" i="4"/>
  <c r="C98" i="4"/>
  <c r="B98" i="4"/>
  <c r="A98" i="4"/>
  <c r="D97" i="4"/>
  <c r="C97" i="4"/>
  <c r="B97" i="4"/>
  <c r="A97" i="4"/>
  <c r="D96" i="4"/>
  <c r="C96" i="4"/>
  <c r="B96" i="4"/>
  <c r="A96" i="4"/>
  <c r="D95" i="4"/>
  <c r="C95" i="4"/>
  <c r="B95" i="4"/>
  <c r="A95" i="4"/>
  <c r="D94" i="4"/>
  <c r="C94" i="4"/>
  <c r="B94" i="4"/>
  <c r="A94" i="4"/>
  <c r="D93" i="4"/>
  <c r="C93" i="4"/>
  <c r="B93" i="4"/>
  <c r="A93" i="4"/>
  <c r="D92" i="4"/>
  <c r="C92" i="4"/>
  <c r="B92" i="4"/>
  <c r="A92" i="4"/>
  <c r="D91" i="4"/>
  <c r="C91" i="4"/>
  <c r="B91" i="4"/>
  <c r="A91" i="4"/>
  <c r="D90" i="4"/>
  <c r="C90" i="4"/>
  <c r="B90" i="4"/>
  <c r="A90" i="4"/>
  <c r="D89" i="4"/>
  <c r="C89" i="4"/>
  <c r="B89" i="4"/>
  <c r="A89" i="4"/>
  <c r="D88" i="4"/>
  <c r="C88" i="4"/>
  <c r="B88" i="4"/>
  <c r="A88" i="4"/>
  <c r="D87" i="4"/>
  <c r="C87" i="4"/>
  <c r="B87" i="4"/>
  <c r="A87" i="4"/>
  <c r="D86" i="4"/>
  <c r="C86" i="4"/>
  <c r="B86" i="4"/>
  <c r="A86" i="4"/>
  <c r="D85" i="4"/>
  <c r="C85" i="4"/>
  <c r="B85" i="4"/>
  <c r="A85" i="4"/>
  <c r="D84" i="4"/>
  <c r="C84" i="4"/>
  <c r="B84" i="4"/>
  <c r="A84" i="4"/>
  <c r="D83" i="4"/>
  <c r="C83" i="4"/>
  <c r="B83" i="4"/>
  <c r="A83" i="4"/>
  <c r="D82" i="4"/>
  <c r="C82" i="4"/>
  <c r="B82" i="4"/>
  <c r="A82" i="4"/>
  <c r="D81" i="4"/>
  <c r="C81" i="4"/>
  <c r="B81" i="4"/>
  <c r="A81" i="4"/>
  <c r="D80" i="4"/>
  <c r="C80" i="4"/>
  <c r="B80" i="4"/>
  <c r="A80" i="4"/>
  <c r="D79" i="4"/>
  <c r="C79" i="4"/>
  <c r="B79" i="4"/>
  <c r="A79" i="4"/>
  <c r="D78" i="4"/>
  <c r="C78" i="4"/>
  <c r="B78" i="4"/>
  <c r="A78" i="4"/>
  <c r="D77" i="4"/>
  <c r="C77" i="4"/>
  <c r="B77" i="4"/>
  <c r="A77" i="4"/>
  <c r="D76" i="4"/>
  <c r="C76" i="4"/>
  <c r="B76" i="4"/>
  <c r="A76" i="4"/>
  <c r="D75" i="4"/>
  <c r="C75" i="4"/>
  <c r="B75" i="4"/>
  <c r="A75" i="4"/>
  <c r="D74" i="4"/>
  <c r="C74" i="4"/>
  <c r="B74" i="4"/>
  <c r="A74" i="4"/>
  <c r="D73" i="4"/>
  <c r="C73" i="4"/>
  <c r="B73" i="4"/>
  <c r="A73" i="4"/>
  <c r="D72" i="4"/>
  <c r="C72" i="4"/>
  <c r="B72" i="4"/>
  <c r="A72" i="4"/>
  <c r="D71" i="4"/>
  <c r="C71" i="4"/>
  <c r="B71" i="4"/>
  <c r="A71" i="4"/>
  <c r="D70" i="4"/>
  <c r="C70" i="4"/>
  <c r="B70" i="4"/>
  <c r="A70" i="4"/>
  <c r="D69" i="4"/>
  <c r="C69" i="4"/>
  <c r="B69" i="4"/>
  <c r="A69" i="4"/>
  <c r="D68" i="4"/>
  <c r="C68" i="4"/>
  <c r="B68" i="4"/>
  <c r="A68" i="4"/>
  <c r="D67" i="4"/>
  <c r="C67" i="4"/>
  <c r="B67" i="4"/>
  <c r="A67" i="4"/>
  <c r="D66" i="4"/>
  <c r="C66" i="4"/>
  <c r="B66" i="4"/>
  <c r="A66" i="4"/>
  <c r="D65" i="4"/>
  <c r="C65" i="4"/>
  <c r="B65" i="4"/>
  <c r="A65" i="4"/>
  <c r="D64" i="4"/>
  <c r="C64" i="4"/>
  <c r="B64" i="4"/>
  <c r="A64" i="4"/>
  <c r="D63" i="4"/>
  <c r="C63" i="4"/>
  <c r="B63" i="4"/>
  <c r="A63" i="4"/>
  <c r="D62" i="4"/>
  <c r="C62" i="4"/>
  <c r="B62" i="4"/>
  <c r="A62" i="4"/>
  <c r="D61" i="4"/>
  <c r="C61" i="4"/>
  <c r="B61" i="4"/>
  <c r="A61" i="4"/>
  <c r="D60" i="4"/>
  <c r="C60" i="4"/>
  <c r="B60" i="4"/>
  <c r="A60" i="4"/>
  <c r="D59" i="4"/>
  <c r="C59" i="4"/>
  <c r="B59" i="4"/>
  <c r="A59" i="4"/>
  <c r="D58" i="4"/>
  <c r="C58" i="4"/>
  <c r="B58" i="4"/>
  <c r="A58" i="4"/>
  <c r="D57" i="4"/>
  <c r="C57" i="4"/>
  <c r="B57" i="4"/>
  <c r="A57" i="4"/>
  <c r="D56" i="4"/>
  <c r="C56" i="4"/>
  <c r="B56" i="4"/>
  <c r="A56" i="4"/>
  <c r="D55" i="4"/>
  <c r="C55" i="4"/>
  <c r="B55" i="4"/>
  <c r="A55" i="4"/>
  <c r="D54" i="4"/>
  <c r="C54" i="4"/>
  <c r="B54" i="4"/>
  <c r="A54" i="4"/>
  <c r="D53" i="4"/>
  <c r="C53" i="4"/>
  <c r="B53" i="4"/>
  <c r="A53" i="4"/>
  <c r="D52" i="4"/>
  <c r="C52" i="4"/>
  <c r="B52" i="4"/>
  <c r="A52" i="4"/>
  <c r="D51" i="4"/>
  <c r="C51" i="4"/>
  <c r="B51" i="4"/>
  <c r="A51" i="4"/>
  <c r="D50" i="4"/>
  <c r="C50" i="4"/>
  <c r="B50" i="4"/>
  <c r="A50" i="4"/>
  <c r="D49" i="4"/>
  <c r="C49" i="4"/>
  <c r="B49" i="4"/>
  <c r="A49" i="4"/>
  <c r="D48" i="4"/>
  <c r="C48" i="4"/>
  <c r="B48" i="4"/>
  <c r="A48" i="4"/>
  <c r="D47" i="4"/>
  <c r="C47" i="4"/>
  <c r="B47" i="4"/>
  <c r="A47" i="4"/>
  <c r="D46" i="4"/>
  <c r="C46" i="4"/>
  <c r="B46" i="4"/>
  <c r="A46" i="4"/>
  <c r="D45" i="4"/>
  <c r="C45" i="4"/>
  <c r="B45" i="4"/>
  <c r="A45" i="4"/>
  <c r="D44" i="4"/>
  <c r="C44" i="4"/>
  <c r="B44" i="4"/>
  <c r="A44" i="4"/>
  <c r="D43" i="4"/>
  <c r="C43" i="4"/>
  <c r="B43" i="4"/>
  <c r="A43" i="4"/>
  <c r="D42" i="4"/>
  <c r="C42" i="4"/>
  <c r="B42" i="4"/>
  <c r="A42" i="4"/>
  <c r="D41" i="4"/>
  <c r="C41" i="4"/>
  <c r="B41" i="4"/>
  <c r="A41" i="4"/>
  <c r="D40" i="4"/>
  <c r="C40" i="4"/>
  <c r="B40" i="4"/>
  <c r="A40" i="4"/>
  <c r="D39" i="4"/>
  <c r="C39" i="4"/>
  <c r="B39" i="4"/>
  <c r="A39" i="4"/>
  <c r="D38" i="4"/>
  <c r="C38" i="4"/>
  <c r="B38" i="4"/>
  <c r="A38" i="4"/>
  <c r="D37" i="4"/>
  <c r="C37" i="4"/>
  <c r="B37" i="4"/>
  <c r="A37" i="4"/>
  <c r="D36" i="4"/>
  <c r="C36" i="4"/>
  <c r="B36" i="4"/>
  <c r="A36" i="4"/>
  <c r="D35" i="4"/>
  <c r="C35" i="4"/>
  <c r="B35" i="4"/>
  <c r="A35" i="4"/>
  <c r="D34" i="4"/>
  <c r="C34" i="4"/>
  <c r="B34" i="4"/>
  <c r="A34" i="4"/>
  <c r="D33" i="4"/>
  <c r="C33" i="4"/>
  <c r="B33" i="4"/>
  <c r="A33" i="4"/>
  <c r="D32" i="4"/>
  <c r="C32" i="4"/>
  <c r="B32" i="4"/>
  <c r="A32" i="4"/>
  <c r="D31" i="4"/>
  <c r="C31" i="4"/>
  <c r="B31" i="4"/>
  <c r="A31" i="4"/>
  <c r="D30" i="4"/>
  <c r="C30" i="4"/>
  <c r="B30" i="4"/>
  <c r="A30" i="4"/>
  <c r="D29" i="4"/>
  <c r="C29" i="4"/>
  <c r="B29" i="4"/>
  <c r="A29" i="4"/>
  <c r="D28" i="4"/>
  <c r="C28" i="4"/>
  <c r="B28" i="4"/>
  <c r="A28" i="4"/>
  <c r="D27" i="4"/>
  <c r="C27" i="4"/>
  <c r="B27" i="4"/>
  <c r="A27" i="4"/>
  <c r="D26" i="4"/>
  <c r="C26" i="4"/>
  <c r="B26" i="4"/>
  <c r="A26" i="4"/>
  <c r="D25" i="4"/>
  <c r="C25" i="4"/>
  <c r="B25" i="4"/>
  <c r="A25" i="4"/>
  <c r="D24" i="4"/>
  <c r="C24" i="4"/>
  <c r="B24" i="4"/>
  <c r="A24" i="4"/>
  <c r="D23" i="4"/>
  <c r="C23" i="4"/>
  <c r="B23" i="4"/>
  <c r="A23" i="4"/>
  <c r="D22" i="4"/>
  <c r="C22" i="4"/>
  <c r="B22" i="4"/>
  <c r="A22" i="4"/>
  <c r="D21" i="4"/>
  <c r="C21" i="4"/>
  <c r="B21" i="4"/>
  <c r="A21" i="4"/>
  <c r="D20" i="4"/>
  <c r="C20" i="4"/>
  <c r="B20" i="4"/>
  <c r="A20" i="4"/>
  <c r="D19" i="4"/>
  <c r="C19" i="4"/>
  <c r="B19" i="4"/>
  <c r="A19" i="4"/>
  <c r="D18" i="4"/>
  <c r="C18" i="4"/>
  <c r="B18" i="4"/>
  <c r="A18" i="4"/>
  <c r="D17" i="4"/>
  <c r="C17" i="4"/>
  <c r="B17" i="4"/>
  <c r="A17" i="4"/>
  <c r="D16" i="4"/>
  <c r="C16" i="4"/>
  <c r="B16" i="4"/>
  <c r="A16" i="4"/>
  <c r="D15" i="4"/>
  <c r="C15" i="4"/>
  <c r="B15" i="4"/>
  <c r="A15" i="4"/>
  <c r="D14" i="4"/>
  <c r="C14" i="4"/>
  <c r="B14" i="4"/>
  <c r="A14" i="4"/>
  <c r="D13" i="4"/>
  <c r="C13" i="4"/>
  <c r="B13" i="4"/>
  <c r="A13" i="4"/>
  <c r="D12" i="4"/>
  <c r="C12" i="4"/>
  <c r="B12" i="4"/>
  <c r="A12" i="4"/>
  <c r="D11" i="4"/>
  <c r="C11" i="4"/>
  <c r="B11" i="4"/>
  <c r="A11" i="4"/>
  <c r="D10" i="4"/>
  <c r="C10" i="4"/>
  <c r="B10" i="4"/>
  <c r="A10" i="4"/>
  <c r="D9" i="4"/>
  <c r="C9" i="4"/>
  <c r="B9" i="4"/>
  <c r="A9" i="4"/>
  <c r="D8" i="4"/>
  <c r="C8" i="4"/>
  <c r="B8" i="4"/>
  <c r="A8" i="4"/>
  <c r="D7" i="4"/>
  <c r="C7" i="4"/>
  <c r="B7" i="4"/>
  <c r="A7" i="4"/>
  <c r="D6" i="4"/>
  <c r="C6" i="4"/>
  <c r="B6" i="4"/>
  <c r="A6" i="4"/>
  <c r="D5" i="4"/>
  <c r="C5" i="4"/>
  <c r="B5" i="4"/>
  <c r="A5" i="4"/>
  <c r="D4" i="4"/>
  <c r="C4" i="4"/>
  <c r="B4" i="4"/>
  <c r="A4" i="4"/>
  <c r="D3" i="4"/>
  <c r="C3" i="4"/>
  <c r="B3" i="4"/>
  <c r="A3" i="4"/>
  <c r="D2" i="4"/>
  <c r="C2" i="4"/>
  <c r="B2" i="4"/>
  <c r="A2" i="4"/>
  <c r="E138" i="2"/>
  <c r="D138" i="2"/>
  <c r="C138" i="2"/>
  <c r="B138" i="2"/>
  <c r="A138" i="2"/>
  <c r="E137" i="2"/>
  <c r="D137" i="2"/>
  <c r="C137" i="2"/>
  <c r="B137" i="2"/>
  <c r="A137" i="2"/>
  <c r="E136" i="2"/>
  <c r="D136" i="2"/>
  <c r="C136" i="2"/>
  <c r="B136" i="2"/>
  <c r="A136" i="2"/>
  <c r="E135" i="2"/>
  <c r="D135" i="2"/>
  <c r="C135" i="2"/>
  <c r="B135" i="2"/>
  <c r="A135" i="2"/>
  <c r="E134" i="2"/>
  <c r="D134" i="2"/>
  <c r="C134" i="2"/>
  <c r="B134" i="2"/>
  <c r="A134" i="2"/>
  <c r="E133" i="2"/>
  <c r="D133" i="2"/>
  <c r="C133" i="2"/>
  <c r="B133" i="2"/>
  <c r="A133" i="2"/>
  <c r="E132" i="2"/>
  <c r="D132" i="2"/>
  <c r="C132" i="2"/>
  <c r="B132" i="2"/>
  <c r="A132" i="2"/>
  <c r="E131" i="2"/>
  <c r="D131" i="2"/>
  <c r="C131" i="2"/>
  <c r="B131" i="2"/>
  <c r="A131" i="2"/>
  <c r="E130" i="2"/>
  <c r="D130" i="2"/>
  <c r="C130" i="2"/>
  <c r="B130" i="2"/>
  <c r="A130" i="2"/>
  <c r="E129" i="2"/>
  <c r="D129" i="2"/>
  <c r="C129" i="2"/>
  <c r="B129" i="2"/>
  <c r="A129" i="2"/>
  <c r="E128" i="2"/>
  <c r="D128" i="2"/>
  <c r="C128" i="2"/>
  <c r="B128" i="2"/>
  <c r="A128" i="2"/>
  <c r="E127" i="2"/>
  <c r="D127" i="2"/>
  <c r="C127" i="2"/>
  <c r="B127" i="2"/>
  <c r="A127" i="2"/>
  <c r="E126" i="2"/>
  <c r="D126" i="2"/>
  <c r="C126" i="2"/>
  <c r="B126" i="2"/>
  <c r="A126" i="2"/>
  <c r="E125" i="2"/>
  <c r="D125" i="2"/>
  <c r="C125" i="2"/>
  <c r="B125" i="2"/>
  <c r="A125" i="2"/>
  <c r="E124" i="2"/>
  <c r="D124" i="2"/>
  <c r="C124" i="2"/>
  <c r="B124" i="2"/>
  <c r="A124" i="2"/>
  <c r="E123" i="2"/>
  <c r="D123" i="2"/>
  <c r="C123" i="2"/>
  <c r="B123" i="2"/>
  <c r="A123" i="2"/>
  <c r="E122" i="2"/>
  <c r="D122" i="2"/>
  <c r="C122" i="2"/>
  <c r="B122" i="2"/>
  <c r="A122" i="2"/>
  <c r="E121" i="2"/>
  <c r="D121" i="2"/>
  <c r="C121" i="2"/>
  <c r="B121" i="2"/>
  <c r="A121" i="2"/>
  <c r="E120" i="2"/>
  <c r="D120" i="2"/>
  <c r="C120" i="2"/>
  <c r="B120" i="2"/>
  <c r="A120" i="2"/>
  <c r="E119" i="2"/>
  <c r="D119" i="2"/>
  <c r="C119" i="2"/>
  <c r="B119" i="2"/>
  <c r="A119" i="2"/>
  <c r="E118" i="2"/>
  <c r="D118" i="2"/>
  <c r="C118" i="2"/>
  <c r="B118" i="2"/>
  <c r="A118" i="2"/>
  <c r="E117" i="2"/>
  <c r="D117" i="2"/>
  <c r="C117" i="2"/>
  <c r="B117" i="2"/>
  <c r="A117" i="2"/>
  <c r="E116" i="2"/>
  <c r="D116" i="2"/>
  <c r="C116" i="2"/>
  <c r="B116" i="2"/>
  <c r="A116" i="2"/>
  <c r="E115" i="2"/>
  <c r="D115" i="2"/>
  <c r="C115" i="2"/>
  <c r="B115" i="2"/>
  <c r="A115" i="2"/>
  <c r="E114" i="2"/>
  <c r="D114" i="2"/>
  <c r="C114" i="2"/>
  <c r="B114" i="2"/>
  <c r="A114" i="2"/>
  <c r="E113" i="2"/>
  <c r="D113" i="2"/>
  <c r="C113" i="2"/>
  <c r="B113" i="2"/>
  <c r="A113" i="2"/>
  <c r="E112" i="2"/>
  <c r="D112" i="2"/>
  <c r="C112" i="2"/>
  <c r="B112" i="2"/>
  <c r="A112" i="2"/>
  <c r="E111" i="2"/>
  <c r="D111" i="2"/>
  <c r="C111" i="2"/>
  <c r="B111" i="2"/>
  <c r="A111" i="2"/>
  <c r="E110" i="2"/>
  <c r="D110" i="2"/>
  <c r="C110" i="2"/>
  <c r="B110" i="2"/>
  <c r="A110" i="2"/>
  <c r="E109" i="2"/>
  <c r="D109" i="2"/>
  <c r="C109" i="2"/>
  <c r="B109" i="2"/>
  <c r="A109" i="2"/>
  <c r="E108" i="2"/>
  <c r="D108" i="2"/>
  <c r="C108" i="2"/>
  <c r="B108" i="2"/>
  <c r="A108" i="2"/>
  <c r="E107" i="2"/>
  <c r="D107" i="2"/>
  <c r="C107" i="2"/>
  <c r="B107" i="2"/>
  <c r="A107" i="2"/>
  <c r="E106" i="2"/>
  <c r="D106" i="2"/>
  <c r="C106" i="2"/>
  <c r="B106" i="2"/>
  <c r="A106" i="2"/>
  <c r="E105" i="2"/>
  <c r="D105" i="2"/>
  <c r="C105" i="2"/>
  <c r="B105" i="2"/>
  <c r="A105" i="2"/>
  <c r="E104" i="2"/>
  <c r="D104" i="2"/>
  <c r="C104" i="2"/>
  <c r="B104" i="2"/>
  <c r="A104" i="2"/>
  <c r="E103" i="2"/>
  <c r="D103" i="2"/>
  <c r="C103" i="2"/>
  <c r="B103" i="2"/>
  <c r="A103" i="2"/>
  <c r="E102" i="2"/>
  <c r="D102" i="2"/>
  <c r="C102" i="2"/>
  <c r="B102" i="2"/>
  <c r="A102" i="2"/>
  <c r="E101" i="2"/>
  <c r="D101" i="2"/>
  <c r="C101" i="2"/>
  <c r="B101" i="2"/>
  <c r="A101" i="2"/>
  <c r="E100" i="2"/>
  <c r="D100" i="2"/>
  <c r="C100" i="2"/>
  <c r="B100" i="2"/>
  <c r="A100" i="2"/>
  <c r="E99" i="2"/>
  <c r="D99" i="2"/>
  <c r="C99" i="2"/>
  <c r="B99" i="2"/>
  <c r="A99" i="2"/>
  <c r="E98" i="2"/>
  <c r="D98" i="2"/>
  <c r="C98" i="2"/>
  <c r="B98" i="2"/>
  <c r="A98" i="2"/>
  <c r="E97" i="2"/>
  <c r="D97" i="2"/>
  <c r="C97" i="2"/>
  <c r="B97" i="2"/>
  <c r="A97" i="2"/>
  <c r="E96" i="2"/>
  <c r="D96" i="2"/>
  <c r="C96" i="2"/>
  <c r="B96" i="2"/>
  <c r="A96" i="2"/>
  <c r="E95" i="2"/>
  <c r="D95" i="2"/>
  <c r="C95" i="2"/>
  <c r="B95" i="2"/>
  <c r="A95" i="2"/>
  <c r="E94" i="2"/>
  <c r="D94" i="2"/>
  <c r="C94" i="2"/>
  <c r="B94" i="2"/>
  <c r="A94" i="2"/>
  <c r="E93" i="2"/>
  <c r="D93" i="2"/>
  <c r="C93" i="2"/>
  <c r="B93" i="2"/>
  <c r="A93" i="2"/>
  <c r="E92" i="2"/>
  <c r="D92" i="2"/>
  <c r="C92" i="2"/>
  <c r="B92" i="2"/>
  <c r="A92" i="2"/>
  <c r="E91" i="2"/>
  <c r="D91" i="2"/>
  <c r="B91" i="2"/>
  <c r="A91" i="2"/>
  <c r="E90" i="2"/>
  <c r="D90" i="2"/>
  <c r="C90" i="2"/>
  <c r="B90" i="2"/>
  <c r="A90" i="2"/>
  <c r="E89" i="2"/>
  <c r="D89" i="2"/>
  <c r="C89" i="2"/>
  <c r="B89" i="2"/>
  <c r="A89" i="2"/>
  <c r="E88" i="2"/>
  <c r="D88" i="2"/>
  <c r="C88" i="2"/>
  <c r="B88" i="2"/>
  <c r="A88" i="2"/>
  <c r="E87" i="2"/>
  <c r="D87" i="2"/>
  <c r="C87" i="2"/>
  <c r="B87" i="2"/>
  <c r="A87" i="2"/>
  <c r="E86" i="2"/>
  <c r="D86" i="2"/>
  <c r="C86" i="2"/>
  <c r="B86" i="2"/>
  <c r="A86" i="2"/>
  <c r="E85" i="2"/>
  <c r="D85" i="2"/>
  <c r="C85" i="2"/>
  <c r="B85" i="2"/>
  <c r="A85" i="2"/>
  <c r="E84" i="2"/>
  <c r="D84" i="2"/>
  <c r="C84" i="2"/>
  <c r="B84" i="2"/>
  <c r="A84" i="2"/>
  <c r="E83" i="2"/>
  <c r="D83" i="2"/>
  <c r="C83" i="2"/>
  <c r="B83" i="2"/>
  <c r="A83" i="2"/>
  <c r="E82" i="2"/>
  <c r="D82" i="2"/>
  <c r="C82" i="2"/>
  <c r="B82" i="2"/>
  <c r="A82" i="2"/>
  <c r="E81" i="2"/>
  <c r="D81" i="2"/>
  <c r="C81" i="2"/>
  <c r="B81" i="2"/>
  <c r="A81" i="2"/>
  <c r="E80" i="2"/>
  <c r="D80" i="2"/>
  <c r="C80" i="2"/>
  <c r="B80" i="2"/>
  <c r="A80" i="2"/>
  <c r="E79" i="2"/>
  <c r="D79" i="2"/>
  <c r="C79" i="2"/>
  <c r="B79" i="2"/>
  <c r="A79" i="2"/>
  <c r="E78" i="2"/>
  <c r="D78" i="2"/>
  <c r="C78" i="2"/>
  <c r="B78" i="2"/>
  <c r="A78" i="2"/>
  <c r="E77" i="2"/>
  <c r="D77" i="2"/>
  <c r="C77" i="2"/>
  <c r="B77" i="2"/>
  <c r="E76" i="2"/>
  <c r="D76" i="2"/>
  <c r="C76" i="2"/>
  <c r="B76" i="2"/>
  <c r="A76" i="2"/>
  <c r="E75" i="2"/>
  <c r="D75" i="2"/>
  <c r="C75" i="2"/>
  <c r="B75" i="2"/>
  <c r="A75" i="2"/>
  <c r="E74" i="2"/>
  <c r="D74" i="2"/>
  <c r="C74" i="2"/>
  <c r="B74" i="2"/>
  <c r="A74" i="2"/>
  <c r="E73" i="2"/>
  <c r="D73" i="2"/>
  <c r="C73" i="2"/>
  <c r="B73" i="2"/>
  <c r="A73" i="2"/>
  <c r="E72" i="2"/>
  <c r="D72" i="2"/>
  <c r="C72" i="2"/>
  <c r="B72" i="2"/>
  <c r="A72" i="2"/>
  <c r="E71" i="2"/>
  <c r="D71" i="2"/>
  <c r="C71" i="2"/>
  <c r="B71" i="2"/>
  <c r="A71" i="2"/>
  <c r="E70" i="2"/>
  <c r="D70" i="2"/>
  <c r="C70" i="2"/>
  <c r="B70" i="2"/>
  <c r="A70" i="2"/>
  <c r="E69" i="2"/>
  <c r="D69" i="2"/>
  <c r="C69" i="2"/>
  <c r="B69" i="2"/>
  <c r="A69" i="2"/>
  <c r="E68" i="2"/>
  <c r="D68" i="2"/>
  <c r="C68" i="2"/>
  <c r="B68" i="2"/>
  <c r="A68" i="2"/>
  <c r="E67" i="2"/>
  <c r="D67" i="2"/>
  <c r="C67" i="2"/>
  <c r="B67" i="2"/>
  <c r="A67" i="2"/>
  <c r="E66" i="2"/>
  <c r="D66" i="2"/>
  <c r="C66" i="2"/>
  <c r="B66" i="2"/>
  <c r="A66" i="2"/>
  <c r="E65" i="2"/>
  <c r="D65" i="2"/>
  <c r="C65" i="2"/>
  <c r="B65" i="2"/>
  <c r="A65" i="2"/>
  <c r="E64" i="2"/>
  <c r="D64" i="2"/>
  <c r="C64" i="2"/>
  <c r="B64" i="2"/>
  <c r="A64" i="2"/>
  <c r="E63" i="2"/>
  <c r="D63" i="2"/>
  <c r="C63" i="2"/>
  <c r="B63" i="2"/>
  <c r="A63" i="2"/>
  <c r="E62" i="2"/>
  <c r="D62" i="2"/>
  <c r="C62" i="2"/>
  <c r="B62" i="2"/>
  <c r="A62" i="2"/>
  <c r="E61" i="2"/>
  <c r="D61" i="2"/>
  <c r="C61" i="2"/>
  <c r="B61" i="2"/>
  <c r="A61" i="2"/>
  <c r="E60" i="2"/>
  <c r="D60" i="2"/>
  <c r="C60" i="2"/>
  <c r="B60" i="2"/>
  <c r="A60" i="2"/>
  <c r="E59" i="2"/>
  <c r="D59" i="2"/>
  <c r="C59" i="2"/>
  <c r="B59" i="2"/>
  <c r="A59" i="2"/>
  <c r="E58" i="2"/>
  <c r="D58" i="2"/>
  <c r="C58" i="2"/>
  <c r="B58" i="2"/>
  <c r="A58" i="2"/>
  <c r="E57" i="2"/>
  <c r="D57" i="2"/>
  <c r="C57" i="2"/>
  <c r="B57" i="2"/>
  <c r="A57" i="2"/>
  <c r="E56" i="2"/>
  <c r="D56" i="2"/>
  <c r="C56" i="2"/>
  <c r="B56" i="2"/>
  <c r="A56" i="2"/>
  <c r="E55" i="2"/>
  <c r="D55" i="2"/>
  <c r="C55" i="2"/>
  <c r="B55" i="2"/>
  <c r="A55" i="2"/>
  <c r="E54" i="2"/>
  <c r="D54" i="2"/>
  <c r="C54" i="2"/>
  <c r="B54" i="2"/>
  <c r="A54" i="2"/>
  <c r="E53" i="2"/>
  <c r="D53" i="2"/>
  <c r="C53" i="2"/>
  <c r="B53" i="2"/>
  <c r="A53" i="2"/>
  <c r="E52" i="2"/>
  <c r="D52" i="2"/>
  <c r="C52" i="2"/>
  <c r="B52" i="2"/>
  <c r="A52" i="2"/>
  <c r="E51" i="2"/>
  <c r="D51" i="2"/>
  <c r="C51" i="2"/>
  <c r="B51" i="2"/>
  <c r="A51" i="2"/>
  <c r="E50" i="2"/>
  <c r="D50" i="2"/>
  <c r="C50" i="2"/>
  <c r="B50" i="2"/>
  <c r="A50" i="2"/>
  <c r="E49" i="2"/>
  <c r="D49" i="2"/>
  <c r="C49" i="2"/>
  <c r="B49" i="2"/>
  <c r="A49" i="2"/>
  <c r="E48" i="2"/>
  <c r="D48" i="2"/>
  <c r="C48" i="2"/>
  <c r="B48" i="2"/>
  <c r="A48" i="2"/>
  <c r="E47" i="2"/>
  <c r="D47" i="2"/>
  <c r="C47" i="2"/>
  <c r="B47" i="2"/>
  <c r="A47" i="2"/>
  <c r="E46" i="2"/>
  <c r="D46" i="2"/>
  <c r="C46" i="2"/>
  <c r="B46" i="2"/>
  <c r="A46" i="2"/>
  <c r="E45" i="2"/>
  <c r="D45" i="2"/>
  <c r="C45" i="2"/>
  <c r="B45" i="2"/>
  <c r="A45" i="2"/>
  <c r="E44" i="2"/>
  <c r="D44" i="2"/>
  <c r="C44" i="2"/>
  <c r="B44" i="2"/>
  <c r="A44" i="2"/>
  <c r="E43" i="2"/>
  <c r="D43" i="2"/>
  <c r="C43" i="2"/>
  <c r="B43" i="2"/>
  <c r="A43" i="2"/>
  <c r="E42" i="2"/>
  <c r="D42" i="2"/>
  <c r="C42" i="2"/>
  <c r="B42" i="2"/>
  <c r="A42" i="2"/>
  <c r="E41" i="2"/>
  <c r="D41" i="2"/>
  <c r="C41" i="2"/>
  <c r="B41" i="2"/>
  <c r="A41" i="2"/>
  <c r="E40" i="2"/>
  <c r="D40" i="2"/>
  <c r="C40" i="2"/>
  <c r="B40" i="2"/>
  <c r="A40" i="2"/>
  <c r="E39" i="2"/>
  <c r="D39" i="2"/>
  <c r="C39" i="2"/>
  <c r="B39" i="2"/>
  <c r="A39" i="2"/>
  <c r="E38" i="2"/>
  <c r="D38" i="2"/>
  <c r="C38" i="2"/>
  <c r="B38" i="2"/>
  <c r="A38" i="2"/>
  <c r="E37" i="2"/>
  <c r="D37" i="2"/>
  <c r="C37" i="2"/>
  <c r="B37" i="2"/>
  <c r="A37" i="2"/>
  <c r="E36" i="2"/>
  <c r="D36" i="2"/>
  <c r="C36" i="2"/>
  <c r="B36" i="2"/>
  <c r="A36" i="2"/>
  <c r="E35" i="2"/>
  <c r="D35" i="2"/>
  <c r="C35" i="2"/>
  <c r="B35" i="2"/>
  <c r="A35" i="2"/>
  <c r="E34" i="2"/>
  <c r="D34" i="2"/>
  <c r="C34" i="2"/>
  <c r="B34" i="2"/>
  <c r="A34" i="2"/>
  <c r="E33" i="2"/>
  <c r="D33" i="2"/>
  <c r="C33" i="2"/>
  <c r="B33" i="2"/>
  <c r="A33" i="2"/>
  <c r="E32" i="2"/>
  <c r="D32" i="2"/>
  <c r="C32" i="2"/>
  <c r="B32" i="2"/>
  <c r="A32" i="2"/>
  <c r="E31" i="2"/>
  <c r="D31" i="2"/>
  <c r="C31" i="2"/>
  <c r="B31" i="2"/>
  <c r="A31" i="2"/>
  <c r="E30" i="2"/>
  <c r="D30" i="2"/>
  <c r="C30" i="2"/>
  <c r="B30" i="2"/>
  <c r="A30" i="2"/>
  <c r="E29" i="2"/>
  <c r="D29" i="2"/>
  <c r="C29" i="2"/>
  <c r="B29" i="2"/>
  <c r="A29" i="2"/>
  <c r="E28" i="2"/>
  <c r="D28" i="2"/>
  <c r="C28" i="2"/>
  <c r="B28" i="2"/>
  <c r="A28" i="2"/>
  <c r="E27" i="2"/>
  <c r="D27" i="2"/>
  <c r="C27" i="2"/>
  <c r="B27" i="2"/>
  <c r="A27" i="2"/>
  <c r="E26" i="2"/>
  <c r="D26" i="2"/>
  <c r="C26" i="2"/>
  <c r="B26" i="2"/>
  <c r="A26" i="2"/>
  <c r="E25" i="2"/>
  <c r="D25" i="2"/>
  <c r="C25" i="2"/>
  <c r="B25" i="2"/>
  <c r="A25" i="2"/>
  <c r="E24" i="2"/>
  <c r="D24" i="2"/>
  <c r="C24" i="2"/>
  <c r="B24" i="2"/>
  <c r="A24" i="2"/>
  <c r="E23" i="2"/>
  <c r="D23" i="2"/>
  <c r="C23" i="2"/>
  <c r="B23" i="2"/>
  <c r="A23" i="2"/>
  <c r="E22" i="2"/>
  <c r="D22" i="2"/>
  <c r="C22" i="2"/>
  <c r="B22" i="2"/>
  <c r="A22" i="2"/>
  <c r="E21" i="2"/>
  <c r="D21" i="2"/>
  <c r="C21" i="2"/>
  <c r="B21" i="2"/>
  <c r="A21" i="2"/>
  <c r="E20" i="2"/>
  <c r="D20" i="2"/>
  <c r="C20" i="2"/>
  <c r="B20" i="2"/>
  <c r="A20" i="2"/>
  <c r="E19" i="2"/>
  <c r="D19" i="2"/>
  <c r="C19" i="2"/>
  <c r="B19" i="2"/>
  <c r="A19" i="2"/>
  <c r="E18" i="2"/>
  <c r="D18" i="2"/>
  <c r="C18" i="2"/>
  <c r="B18" i="2"/>
  <c r="A18" i="2"/>
  <c r="E17" i="2"/>
  <c r="D17" i="2"/>
  <c r="C17" i="2"/>
  <c r="B17" i="2"/>
  <c r="A17" i="2"/>
  <c r="E16" i="2"/>
  <c r="D16" i="2"/>
  <c r="C16" i="2"/>
  <c r="B16" i="2"/>
  <c r="A16" i="2"/>
  <c r="E15" i="2"/>
  <c r="D15" i="2"/>
  <c r="C15" i="2"/>
  <c r="B15" i="2"/>
  <c r="A15" i="2"/>
  <c r="E14" i="2"/>
  <c r="D14" i="2"/>
  <c r="C14" i="2"/>
  <c r="B14" i="2"/>
  <c r="A14" i="2"/>
  <c r="E13" i="2"/>
  <c r="D13" i="2"/>
  <c r="C13" i="2"/>
  <c r="B13" i="2"/>
  <c r="A13" i="2"/>
  <c r="E12" i="2"/>
  <c r="D12" i="2"/>
  <c r="C12" i="2"/>
  <c r="B12" i="2"/>
  <c r="A12" i="2"/>
  <c r="E11" i="2"/>
  <c r="D11" i="2"/>
  <c r="C11" i="2"/>
  <c r="B11" i="2"/>
  <c r="A11" i="2"/>
  <c r="E10" i="2"/>
  <c r="D10" i="2"/>
  <c r="C10" i="2"/>
  <c r="B10" i="2"/>
  <c r="A10" i="2"/>
  <c r="E9" i="2"/>
  <c r="D9" i="2"/>
  <c r="C9" i="2"/>
  <c r="B9" i="2"/>
  <c r="A9" i="2"/>
  <c r="E8" i="2"/>
  <c r="D8" i="2"/>
  <c r="C8" i="2"/>
  <c r="B8" i="2"/>
  <c r="A8" i="2"/>
  <c r="E7" i="2"/>
  <c r="D7" i="2"/>
  <c r="C7" i="2"/>
  <c r="B7" i="2"/>
  <c r="A7" i="2"/>
  <c r="E6" i="2"/>
  <c r="D6" i="2"/>
  <c r="C6" i="2"/>
  <c r="B6" i="2"/>
  <c r="A6" i="2"/>
  <c r="E5" i="2"/>
  <c r="D5" i="2"/>
  <c r="C5" i="2"/>
  <c r="B5" i="2"/>
  <c r="A5" i="2"/>
  <c r="E4" i="2"/>
  <c r="D4" i="2"/>
  <c r="C4" i="2"/>
  <c r="B4" i="2"/>
  <c r="A4" i="2"/>
  <c r="E3" i="2"/>
  <c r="D3" i="2"/>
  <c r="C3" i="2"/>
  <c r="B3" i="2"/>
  <c r="A3" i="2"/>
  <c r="E2" i="2"/>
  <c r="D2" i="2"/>
  <c r="C2" i="2"/>
  <c r="B2" i="2"/>
  <c r="A2" i="2"/>
  <c r="E138" i="1"/>
  <c r="D138" i="1"/>
  <c r="C138" i="1"/>
  <c r="B138" i="1"/>
  <c r="A138" i="1"/>
  <c r="E137" i="1"/>
  <c r="D137" i="1"/>
  <c r="C137" i="1"/>
  <c r="B137" i="1"/>
  <c r="A137" i="1"/>
  <c r="E136" i="1"/>
  <c r="D136" i="1"/>
  <c r="C136" i="1"/>
  <c r="B136" i="1"/>
  <c r="A136" i="1"/>
  <c r="E135" i="1"/>
  <c r="D135" i="1"/>
  <c r="C135" i="1"/>
  <c r="B135" i="1"/>
  <c r="A135" i="1"/>
  <c r="E134" i="1"/>
  <c r="D134" i="1"/>
  <c r="C134" i="1"/>
  <c r="B134" i="1"/>
  <c r="A134" i="1"/>
  <c r="E133" i="1"/>
  <c r="D133" i="1"/>
  <c r="C133" i="1"/>
  <c r="B133" i="1"/>
  <c r="A133" i="1"/>
  <c r="E132" i="1"/>
  <c r="D132" i="1"/>
  <c r="C132" i="1"/>
  <c r="B132" i="1"/>
  <c r="A132" i="1"/>
  <c r="E131" i="1"/>
  <c r="D131" i="1"/>
  <c r="C131" i="1"/>
  <c r="B131" i="1"/>
  <c r="A131" i="1"/>
  <c r="E130" i="1"/>
  <c r="D130" i="1"/>
  <c r="C130" i="1"/>
  <c r="B130" i="1"/>
  <c r="A130" i="1"/>
  <c r="E129" i="1"/>
  <c r="D129" i="1"/>
  <c r="C129" i="1"/>
  <c r="B129" i="1"/>
  <c r="A129" i="1"/>
  <c r="E128" i="1"/>
  <c r="D128" i="1"/>
  <c r="C128" i="1"/>
  <c r="B128" i="1"/>
  <c r="A128" i="1"/>
  <c r="E127" i="1"/>
  <c r="D127" i="1"/>
  <c r="C127" i="1"/>
  <c r="B127" i="1"/>
  <c r="A127" i="1"/>
  <c r="E126" i="1"/>
  <c r="D126" i="1"/>
  <c r="C126" i="1"/>
  <c r="B126" i="1"/>
  <c r="A126" i="1"/>
  <c r="E125" i="1"/>
  <c r="D125" i="1"/>
  <c r="C125" i="1"/>
  <c r="B125" i="1"/>
  <c r="A125" i="1"/>
  <c r="E124" i="1"/>
  <c r="D124" i="1"/>
  <c r="C124" i="1"/>
  <c r="B124" i="1"/>
  <c r="A124" i="1"/>
  <c r="E123" i="1"/>
  <c r="D123" i="1"/>
  <c r="C123" i="1"/>
  <c r="B123" i="1"/>
  <c r="A123" i="1"/>
  <c r="E122" i="1"/>
  <c r="D122" i="1"/>
  <c r="C122" i="1"/>
  <c r="B122" i="1"/>
  <c r="A122" i="1"/>
  <c r="E121" i="1"/>
  <c r="D121" i="1"/>
  <c r="C121" i="1"/>
  <c r="B121" i="1"/>
  <c r="A121" i="1"/>
  <c r="E120" i="1"/>
  <c r="D120" i="1"/>
  <c r="C120" i="1"/>
  <c r="B120" i="1"/>
  <c r="A120" i="1"/>
  <c r="E119" i="1"/>
  <c r="D119" i="1"/>
  <c r="C119" i="1"/>
  <c r="B119" i="1"/>
  <c r="A119" i="1"/>
  <c r="E118" i="1"/>
  <c r="D118" i="1"/>
  <c r="C118" i="1"/>
  <c r="B118" i="1"/>
  <c r="A118" i="1"/>
  <c r="E117" i="1"/>
  <c r="D117" i="1"/>
  <c r="C117" i="1"/>
  <c r="B117" i="1"/>
  <c r="A117" i="1"/>
  <c r="E116" i="1"/>
  <c r="D116" i="1"/>
  <c r="C116" i="1"/>
  <c r="B116" i="1"/>
  <c r="A116" i="1"/>
  <c r="E115" i="1"/>
  <c r="D115" i="1"/>
  <c r="C115" i="1"/>
  <c r="B115" i="1"/>
  <c r="A115" i="1"/>
  <c r="E114" i="1"/>
  <c r="D114" i="1"/>
  <c r="C114" i="1"/>
  <c r="B114" i="1"/>
  <c r="A114" i="1"/>
  <c r="E113" i="1"/>
  <c r="D113" i="1"/>
  <c r="C113" i="1"/>
  <c r="B113" i="1"/>
  <c r="A113" i="1"/>
  <c r="E112" i="1"/>
  <c r="D112" i="1"/>
  <c r="C112" i="1"/>
  <c r="B112" i="1"/>
  <c r="A112" i="1"/>
  <c r="E111" i="1"/>
  <c r="D111" i="1"/>
  <c r="C111" i="1"/>
  <c r="B111" i="1"/>
  <c r="A111" i="1"/>
  <c r="E110" i="1"/>
  <c r="D110" i="1"/>
  <c r="C110" i="1"/>
  <c r="B110" i="1"/>
  <c r="A110" i="1"/>
  <c r="E109" i="1"/>
  <c r="D109" i="1"/>
  <c r="C109" i="1"/>
  <c r="B109" i="1"/>
  <c r="A109" i="1"/>
  <c r="E108" i="1"/>
  <c r="D108" i="1"/>
  <c r="C108" i="1"/>
  <c r="B108" i="1"/>
  <c r="A108" i="1"/>
  <c r="E107" i="1"/>
  <c r="D107" i="1"/>
  <c r="C107" i="1"/>
  <c r="B107" i="1"/>
  <c r="A107" i="1"/>
  <c r="E106" i="1"/>
  <c r="D106" i="1"/>
  <c r="C106" i="1"/>
  <c r="B106" i="1"/>
  <c r="A106" i="1"/>
  <c r="E105" i="1"/>
  <c r="D105" i="1"/>
  <c r="C105" i="1"/>
  <c r="B105" i="1"/>
  <c r="A105" i="1"/>
  <c r="E104" i="1"/>
  <c r="D104" i="1"/>
  <c r="C104" i="1"/>
  <c r="B104" i="1"/>
  <c r="A104" i="1"/>
  <c r="E103" i="1"/>
  <c r="D103" i="1"/>
  <c r="C103" i="1"/>
  <c r="B103" i="1"/>
  <c r="A103" i="1"/>
  <c r="E102" i="1"/>
  <c r="D102" i="1"/>
  <c r="C102" i="1"/>
  <c r="B102" i="1"/>
  <c r="A102" i="1"/>
  <c r="E101" i="1"/>
  <c r="D101" i="1"/>
  <c r="C101" i="1"/>
  <c r="B101" i="1"/>
  <c r="A101" i="1"/>
  <c r="E100" i="1"/>
  <c r="D100" i="1"/>
  <c r="C100" i="1"/>
  <c r="B100" i="1"/>
  <c r="A100" i="1"/>
  <c r="E99" i="1"/>
  <c r="D99" i="1"/>
  <c r="C99" i="1"/>
  <c r="B99" i="1"/>
  <c r="A99" i="1"/>
  <c r="E98" i="1"/>
  <c r="D98" i="1"/>
  <c r="C98" i="1"/>
  <c r="B98" i="1"/>
  <c r="A98" i="1"/>
  <c r="E97" i="1"/>
  <c r="D97" i="1"/>
  <c r="C97" i="1"/>
  <c r="B97" i="1"/>
  <c r="A97" i="1"/>
  <c r="E96" i="1"/>
  <c r="D96" i="1"/>
  <c r="C96" i="1"/>
  <c r="B96" i="1"/>
  <c r="A96" i="1"/>
  <c r="E95" i="1"/>
  <c r="D95" i="1"/>
  <c r="C95" i="1"/>
  <c r="B95" i="1"/>
  <c r="A95" i="1"/>
  <c r="E94" i="1"/>
  <c r="D94" i="1"/>
  <c r="C94" i="1"/>
  <c r="B94" i="1"/>
  <c r="A94" i="1"/>
  <c r="E93" i="1"/>
  <c r="D93" i="1"/>
  <c r="C93" i="1"/>
  <c r="B93" i="1"/>
  <c r="A93" i="1"/>
  <c r="E92" i="1"/>
  <c r="D92" i="1"/>
  <c r="C92" i="1"/>
  <c r="B92" i="1"/>
  <c r="A92" i="1"/>
  <c r="E91" i="1"/>
  <c r="D91" i="1"/>
  <c r="C91" i="1"/>
  <c r="B91" i="1"/>
  <c r="A91" i="1"/>
  <c r="E90" i="1"/>
  <c r="D90" i="1"/>
  <c r="C90" i="1"/>
  <c r="B90" i="1"/>
  <c r="A90" i="1"/>
  <c r="E89" i="1"/>
  <c r="D89" i="1"/>
  <c r="C89" i="1"/>
  <c r="B89" i="1"/>
  <c r="A89" i="1"/>
  <c r="E88" i="1"/>
  <c r="D88" i="1"/>
  <c r="C88" i="1"/>
  <c r="B88" i="1"/>
  <c r="A88" i="1"/>
  <c r="E87" i="1"/>
  <c r="D87" i="1"/>
  <c r="C87" i="1"/>
  <c r="B87" i="1"/>
  <c r="A87" i="1"/>
  <c r="E86" i="1"/>
  <c r="D86" i="1"/>
  <c r="C86" i="1"/>
  <c r="B86" i="1"/>
  <c r="A86" i="1"/>
  <c r="E85" i="1"/>
  <c r="D85" i="1"/>
  <c r="C85" i="1"/>
  <c r="B85" i="1"/>
  <c r="A85" i="1"/>
  <c r="E84" i="1"/>
  <c r="D84" i="1"/>
  <c r="C84" i="1"/>
  <c r="B84" i="1"/>
  <c r="A84" i="1"/>
  <c r="E83" i="1"/>
  <c r="D83" i="1"/>
  <c r="C83" i="1"/>
  <c r="B83" i="1"/>
  <c r="A83" i="1"/>
  <c r="E82" i="1"/>
  <c r="D82" i="1"/>
  <c r="C82" i="1"/>
  <c r="B82" i="1"/>
  <c r="A82" i="1"/>
  <c r="E81" i="1"/>
  <c r="D81" i="1"/>
  <c r="C81" i="1"/>
  <c r="B81" i="1"/>
  <c r="A81" i="1"/>
  <c r="E80" i="1"/>
  <c r="D80" i="1"/>
  <c r="C80" i="1"/>
  <c r="B80" i="1"/>
  <c r="A80" i="1"/>
  <c r="E79" i="1"/>
  <c r="D79" i="1"/>
  <c r="C79" i="1"/>
  <c r="B79" i="1"/>
  <c r="A79" i="1"/>
  <c r="E78" i="1"/>
  <c r="D78" i="1"/>
  <c r="C78" i="1"/>
  <c r="B78" i="1"/>
  <c r="A78" i="1"/>
  <c r="E77" i="1"/>
  <c r="D77" i="1"/>
  <c r="C77" i="1"/>
  <c r="B77" i="1"/>
  <c r="A77" i="1"/>
  <c r="E76" i="1"/>
  <c r="D76" i="1"/>
  <c r="C76" i="1"/>
  <c r="B76" i="1"/>
  <c r="A76" i="1"/>
  <c r="E75" i="1"/>
  <c r="D75" i="1"/>
  <c r="C75" i="1"/>
  <c r="B75" i="1"/>
  <c r="A75" i="1"/>
  <c r="E74" i="1"/>
  <c r="D74" i="1"/>
  <c r="C74" i="1"/>
  <c r="B74" i="1"/>
  <c r="A74" i="1"/>
  <c r="E73" i="1"/>
  <c r="D73" i="1"/>
  <c r="C73" i="1"/>
  <c r="B73" i="1"/>
  <c r="A73" i="1"/>
  <c r="E72" i="1"/>
  <c r="D72" i="1"/>
  <c r="C72" i="1"/>
  <c r="B72" i="1"/>
  <c r="A72" i="1"/>
  <c r="E71" i="1"/>
  <c r="D71" i="1"/>
  <c r="C71" i="1"/>
  <c r="B71" i="1"/>
  <c r="A71" i="1"/>
  <c r="E70" i="1"/>
  <c r="D70" i="1"/>
  <c r="C70" i="1"/>
  <c r="B70" i="1"/>
  <c r="A70" i="1"/>
  <c r="E69" i="1"/>
  <c r="D69" i="1"/>
  <c r="C69" i="1"/>
  <c r="B69" i="1"/>
  <c r="A69" i="1"/>
  <c r="E68" i="1"/>
  <c r="D68" i="1"/>
  <c r="C68" i="1"/>
  <c r="B68" i="1"/>
  <c r="A68" i="1"/>
  <c r="E67" i="1"/>
  <c r="D67" i="1"/>
  <c r="C67" i="1"/>
  <c r="B67" i="1"/>
  <c r="A67" i="1"/>
  <c r="E66" i="1"/>
  <c r="D66" i="1"/>
  <c r="C66" i="1"/>
  <c r="B66" i="1"/>
  <c r="A66" i="1"/>
  <c r="E65" i="1"/>
  <c r="D65" i="1"/>
  <c r="C65" i="1"/>
  <c r="B65" i="1"/>
  <c r="A65" i="1"/>
  <c r="E64" i="1"/>
  <c r="D64" i="1"/>
  <c r="C64" i="1"/>
  <c r="B64" i="1"/>
  <c r="A64" i="1"/>
  <c r="E63" i="1"/>
  <c r="D63" i="1"/>
  <c r="C63" i="1"/>
  <c r="B63" i="1"/>
  <c r="A63" i="1"/>
  <c r="E62" i="1"/>
  <c r="D62" i="1"/>
  <c r="C62" i="1"/>
  <c r="B62" i="1"/>
  <c r="A62" i="1"/>
  <c r="E61" i="1"/>
  <c r="D61" i="1"/>
  <c r="C61" i="1"/>
  <c r="B61" i="1"/>
  <c r="A61" i="1"/>
  <c r="E60" i="1"/>
  <c r="D60" i="1"/>
  <c r="C60" i="1"/>
  <c r="B60" i="1"/>
  <c r="A60" i="1"/>
  <c r="E59" i="1"/>
  <c r="D59" i="1"/>
  <c r="C59" i="1"/>
  <c r="B59" i="1"/>
  <c r="A59" i="1"/>
  <c r="E58" i="1"/>
  <c r="D58" i="1"/>
  <c r="C58" i="1"/>
  <c r="B58" i="1"/>
  <c r="A58" i="1"/>
  <c r="E57" i="1"/>
  <c r="D57" i="1"/>
  <c r="C57" i="1"/>
  <c r="B57" i="1"/>
  <c r="A57" i="1"/>
  <c r="E56" i="1"/>
  <c r="D56" i="1"/>
  <c r="C56" i="1"/>
  <c r="B56" i="1"/>
  <c r="A56" i="1"/>
  <c r="E55" i="1"/>
  <c r="D55" i="1"/>
  <c r="C55" i="1"/>
  <c r="B55" i="1"/>
  <c r="A55" i="1"/>
  <c r="E54" i="1"/>
  <c r="D54" i="1"/>
  <c r="C54" i="1"/>
  <c r="B54" i="1"/>
  <c r="A54" i="1"/>
  <c r="E53" i="1"/>
  <c r="D53" i="1"/>
  <c r="C53" i="1"/>
  <c r="B53" i="1"/>
  <c r="A53" i="1"/>
  <c r="E52" i="1"/>
  <c r="D52" i="1"/>
  <c r="C52" i="1"/>
  <c r="B52" i="1"/>
  <c r="A52" i="1"/>
  <c r="E51" i="1"/>
  <c r="D51" i="1"/>
  <c r="C51" i="1"/>
  <c r="B51" i="1"/>
  <c r="A51" i="1"/>
  <c r="E50" i="1"/>
  <c r="D50" i="1"/>
  <c r="C50" i="1"/>
  <c r="B50" i="1"/>
  <c r="A50" i="1"/>
  <c r="E49" i="1"/>
  <c r="D49" i="1"/>
  <c r="C49" i="1"/>
  <c r="B49" i="1"/>
  <c r="A49" i="1"/>
  <c r="E48" i="1"/>
  <c r="D48" i="1"/>
  <c r="C48" i="1"/>
  <c r="B48" i="1"/>
  <c r="A48" i="1"/>
  <c r="E47" i="1"/>
  <c r="D47" i="1"/>
  <c r="C47" i="1"/>
  <c r="B47" i="1"/>
  <c r="A47" i="1"/>
  <c r="E46" i="1"/>
  <c r="D46" i="1"/>
  <c r="C46" i="1"/>
  <c r="B46" i="1"/>
  <c r="A46" i="1"/>
  <c r="E45" i="1"/>
  <c r="D45" i="1"/>
  <c r="C45" i="1"/>
  <c r="B45" i="1"/>
  <c r="A45" i="1"/>
  <c r="E44" i="1"/>
  <c r="D44" i="1"/>
  <c r="C44" i="1"/>
  <c r="B44" i="1"/>
  <c r="A44" i="1"/>
  <c r="E43" i="1"/>
  <c r="D43" i="1"/>
  <c r="C43" i="1"/>
  <c r="B43" i="1"/>
  <c r="A43" i="1"/>
  <c r="E42" i="1"/>
  <c r="D42" i="1"/>
  <c r="C42" i="1"/>
  <c r="B42" i="1"/>
  <c r="A42" i="1"/>
  <c r="E41" i="1"/>
  <c r="D41" i="1"/>
  <c r="C41" i="1"/>
  <c r="B41" i="1"/>
  <c r="A41" i="1"/>
  <c r="E40" i="1"/>
  <c r="D40" i="1"/>
  <c r="C40" i="1"/>
  <c r="B40" i="1"/>
  <c r="A40" i="1"/>
  <c r="E39" i="1"/>
  <c r="D39" i="1"/>
  <c r="C39" i="1"/>
  <c r="B39" i="1"/>
  <c r="A39" i="1"/>
  <c r="E38" i="1"/>
  <c r="D38" i="1"/>
  <c r="C38" i="1"/>
  <c r="B38" i="1"/>
  <c r="A38" i="1"/>
  <c r="E37" i="1"/>
  <c r="D37" i="1"/>
  <c r="C37" i="1"/>
  <c r="B37" i="1"/>
  <c r="A37" i="1"/>
  <c r="E36" i="1"/>
  <c r="D36" i="1"/>
  <c r="C36" i="1"/>
  <c r="B36" i="1"/>
  <c r="A36" i="1"/>
  <c r="E35" i="1"/>
  <c r="D35" i="1"/>
  <c r="C35" i="1"/>
  <c r="B35" i="1"/>
  <c r="A35" i="1"/>
  <c r="E34" i="1"/>
  <c r="D34" i="1"/>
  <c r="C34" i="1"/>
  <c r="B34" i="1"/>
  <c r="A34" i="1"/>
  <c r="E33" i="1"/>
  <c r="D33" i="1"/>
  <c r="C33" i="1"/>
  <c r="B33" i="1"/>
  <c r="A33" i="1"/>
  <c r="E32" i="1"/>
  <c r="D32" i="1"/>
  <c r="C32" i="1"/>
  <c r="B32" i="1"/>
  <c r="A32" i="1"/>
  <c r="E31" i="1"/>
  <c r="D31" i="1"/>
  <c r="C31" i="1"/>
  <c r="B31" i="1"/>
  <c r="A31" i="1"/>
  <c r="E30" i="1"/>
  <c r="D30" i="1"/>
  <c r="C30" i="1"/>
  <c r="B30" i="1"/>
  <c r="A30" i="1"/>
  <c r="E29" i="1"/>
  <c r="D29" i="1"/>
  <c r="C29" i="1"/>
  <c r="B29" i="1"/>
  <c r="A29" i="1"/>
  <c r="E28" i="1"/>
  <c r="D28" i="1"/>
  <c r="C28" i="1"/>
  <c r="B28" i="1"/>
  <c r="A28" i="1"/>
  <c r="E27" i="1"/>
  <c r="D27" i="1"/>
  <c r="C27" i="1"/>
  <c r="B27" i="1"/>
  <c r="A27" i="1"/>
  <c r="E26" i="1"/>
  <c r="D26" i="1"/>
  <c r="C26" i="1"/>
  <c r="B26" i="1"/>
  <c r="A26" i="1"/>
  <c r="E25" i="1"/>
  <c r="D25" i="1"/>
  <c r="C25" i="1"/>
  <c r="B25" i="1"/>
  <c r="A25" i="1"/>
  <c r="E24" i="1"/>
  <c r="D24" i="1"/>
  <c r="C24" i="1"/>
  <c r="B24" i="1"/>
  <c r="A24" i="1"/>
  <c r="E23" i="1"/>
  <c r="D23" i="1"/>
  <c r="C23" i="1"/>
  <c r="B23" i="1"/>
  <c r="A23" i="1"/>
  <c r="E22" i="1"/>
  <c r="D22" i="1"/>
  <c r="C22" i="1"/>
  <c r="B22" i="1"/>
  <c r="A22" i="1"/>
  <c r="E21" i="1"/>
  <c r="D21" i="1"/>
  <c r="C21" i="1"/>
  <c r="B21" i="1"/>
  <c r="A21" i="1"/>
  <c r="E20" i="1"/>
  <c r="D20" i="1"/>
  <c r="C20" i="1"/>
  <c r="B20" i="1"/>
  <c r="A20" i="1"/>
  <c r="E19" i="1"/>
  <c r="D19" i="1"/>
  <c r="C19" i="1"/>
  <c r="B19" i="1"/>
  <c r="A19" i="1"/>
  <c r="E18" i="1"/>
  <c r="D18" i="1"/>
  <c r="C18" i="1"/>
  <c r="B18" i="1"/>
  <c r="A18" i="1"/>
  <c r="E17" i="1"/>
  <c r="D17" i="1"/>
  <c r="C17" i="1"/>
  <c r="B17" i="1"/>
  <c r="A17" i="1"/>
  <c r="E16" i="1"/>
  <c r="D16" i="1"/>
  <c r="C16" i="1"/>
  <c r="B16" i="1"/>
  <c r="A16" i="1"/>
  <c r="E15" i="1"/>
  <c r="D15" i="1"/>
  <c r="C15" i="1"/>
  <c r="B15" i="1"/>
  <c r="A15" i="1"/>
  <c r="E14" i="1"/>
  <c r="D14" i="1"/>
  <c r="C14" i="1"/>
  <c r="B14" i="1"/>
  <c r="A14" i="1"/>
  <c r="E13" i="1"/>
  <c r="D13" i="1"/>
  <c r="C13" i="1"/>
  <c r="B13" i="1"/>
  <c r="A13" i="1"/>
  <c r="E12" i="1"/>
  <c r="D12" i="1"/>
  <c r="C12" i="1"/>
  <c r="B12" i="1"/>
  <c r="A12" i="1"/>
  <c r="E11" i="1"/>
  <c r="D11" i="1"/>
  <c r="C11" i="1"/>
  <c r="B11" i="1"/>
  <c r="A11" i="1"/>
  <c r="E10" i="1"/>
  <c r="D10" i="1"/>
  <c r="C10" i="1"/>
  <c r="B10" i="1"/>
  <c r="A10" i="1"/>
  <c r="E9" i="1"/>
  <c r="D9" i="1"/>
  <c r="C9" i="1"/>
  <c r="B9" i="1"/>
  <c r="A9" i="1"/>
  <c r="E8" i="1"/>
  <c r="D8" i="1"/>
  <c r="C8" i="1"/>
  <c r="B8" i="1"/>
  <c r="A8" i="1"/>
  <c r="E7" i="1"/>
  <c r="D7" i="1"/>
  <c r="C7" i="1"/>
  <c r="B7" i="1"/>
  <c r="A7" i="1"/>
  <c r="E6" i="1"/>
  <c r="D6" i="1"/>
  <c r="C6" i="1"/>
  <c r="B6" i="1"/>
  <c r="A6" i="1"/>
  <c r="E5" i="1"/>
  <c r="D5" i="1"/>
  <c r="C5" i="1"/>
  <c r="B5" i="1"/>
  <c r="A5" i="1"/>
  <c r="E4" i="1"/>
  <c r="D4" i="1"/>
  <c r="C4" i="1"/>
  <c r="B4" i="1"/>
  <c r="A4" i="1"/>
  <c r="E3" i="1"/>
  <c r="D3" i="1"/>
  <c r="C3" i="1"/>
  <c r="B3" i="1"/>
  <c r="A3" i="1"/>
  <c r="E2" i="1"/>
  <c r="D2" i="1"/>
  <c r="C2" i="1"/>
  <c r="B2" i="1"/>
  <c r="A2" i="1"/>
</calcChain>
</file>

<file path=xl/sharedStrings.xml><?xml version="1.0" encoding="utf-8"?>
<sst xmlns="http://schemas.openxmlformats.org/spreadsheetml/2006/main" count="1735" uniqueCount="1225">
  <si>
    <t>Вопрос</t>
  </si>
  <si>
    <t>Правильный ответ</t>
  </si>
  <si>
    <t>Ответ 2</t>
  </si>
  <si>
    <t>Ответ 3</t>
  </si>
  <si>
    <t>Ответ 4</t>
  </si>
  <si>
    <t>Общие вопросы</t>
  </si>
  <si>
    <t>Как называется измерение, где обитает Эндер-дракон? а) Край б) Ад в) Верхний мир г) Измерение скалка</t>
  </si>
  <si>
    <t>Где можно встретить лягушек в майнкрафте? а) Болото б) Джунгли в) Пышные пещеры г) Пустыня</t>
  </si>
  <si>
    <t>Как называется режим, в котором можно летать и иметь неограниченные ресурсы? а) Творческий режим б) Режим выживания в) Режим приключений г) Режим наблюдателя</t>
  </si>
  <si>
    <t>С какого моба выпадает медь? а) Утопленник б) Зомби в) Пиглин г) Разбойник</t>
  </si>
  <si>
    <t>Какая руда светится в темноте, если по ней пройти или ударить? а) Редстоуновая руда б) Железная руда в) Золотая руда г) Алмазная руда</t>
  </si>
  <si>
    <t>Чем можно починить элитры? а) Мембраной фантома б) Алмазами в) Железом г) Кожей</t>
  </si>
  <si>
    <t>Какой моб атакует спрутов? а) Страж б) Утопленник в) Дельфин г) Лосось</t>
  </si>
  <si>
    <t>Что используется для создания портала в Нижний мир? а) Обсидиан б) Камень Края в) Бедрок г) Алмазные блоки</t>
  </si>
  <si>
    <t>Выбери структуру, которая генерируется только в Нижнем мире: а) Адская крепость б) Лесной особняк в) Деревня г) Пирамида</t>
  </si>
  <si>
    <t>Как называется зачарование, которое заставляет трезубец возвращаться к игроку? а) Верность б) Тягун в) Пронзатель г) Громовержец</t>
  </si>
  <si>
    <t>Как называется зачарование, которое увеличивает количество выпадающих из мобов предметов? а) Добыча б) Удача в) Эффективность г) Прочность</t>
  </si>
  <si>
    <t>Какой моб атакует жителей? а) Зомби б) Пиглин в) Скелет г) Крипер</t>
  </si>
  <si>
    <t>Что можно получить, убив корову огнем? а) Жареную говядину б) Сырую говядину в) Кожу г) Ничего</t>
  </si>
  <si>
    <t>Какой предмет указывает на место спавна игрока? а) Компас (в обычном мире) б) Карта в) Часы г) Магнетит</t>
  </si>
  <si>
    <t>Что выпадает из гаста? а) Порох и слеза гаста б) Только порох в) Только слеза гаста г) Огненный стержень</t>
  </si>
  <si>
    <t>В каком биоме можно найти деревья акации? а) В саванне б) В джунглях в) В тайге г) В темном лесу</t>
  </si>
  <si>
    <t>Что произойдет, если налить воду на источник лавы? а) Образуется обсидиан б) Образуется камень в) Ничего не произойдет г) Вода испарится</t>
  </si>
  <si>
    <t>Что выпадает из козла? а) Козий рог (если он ударится о твердый блок) б) Мясо в) Шерсть г) Ничего</t>
  </si>
  <si>
    <t>Какой блок первым делом добывает игрок в новом мире? а) Дерево б) Железо в) Алмаз г) Камень</t>
  </si>
  <si>
    <t>Из чего делается верстак? а) Из четырех досок б) Из четырех блоков камня в) Из двух палок и двух досок г) Из четырех слитков железа</t>
  </si>
  <si>
    <t>Какой блок может копировать баннеры? а) Верстак б) Ткацкий станок в) Наковальня г) Картографический стол</t>
  </si>
  <si>
    <t>Что нужно для создания коптильни? а) Печь и 4 бревна б) Печь и 4 доски в) Верстак и 4 бревна г) Печь и 4 камня</t>
  </si>
  <si>
    <t>Что делает наблюдатель? а) Подает редстоун-сигнал при обновлении блока перед ним б) Издает звуковой сигнал при приближении моба в) Показывает время суток г) Хранит предметы</t>
  </si>
  <si>
    <t>Что выпадает из древнего стража? а) Всё перечисленное б) Призмарин в) Рыба г) Губка</t>
  </si>
  <si>
    <t>Что можно получить при стрижке грибной коровы? а) Красные грибы б) Шерсть в) Кожу г) Ничего</t>
  </si>
  <si>
    <t>Что используется для создания удочки? а) 3 палки и 2 нити б) 2 палки и 3 нити в) 3 палки и 3 нити г) 2 палки и 2 нити</t>
  </si>
  <si>
    <t>Какой моб является самым маленьким в игре? а) Детёныш черепахи б) Маленький слизень в) Цыплёнок г) Чешуйница края</t>
  </si>
  <si>
    <t>Что нужно бесконечного источника воды? а) Квадрат 2х2, заполненный водой б) Один блок воды в) Котел с водой г) Это невозможно</t>
  </si>
  <si>
    <t>Какой моб не получает урон от падения? а) Курица б) Скелет в) Зомби г) Свинья</t>
  </si>
  <si>
    <t>Что можно получить, если скрестить лошадь и осла? а) Мула б) Жеребенка в) Другую лошадь г) Другого осла</t>
  </si>
  <si>
    <t>Что нужно сделать, чтобы призвать рейд разбойников? а) Выпить зловещую бутылку в деревне б) Флаг разбойников в) Рог г) Убить капитана разбойников</t>
  </si>
  <si>
    <t>Какой блок используется для сушки мокрых губок? а) Печь б) Наковальня в) Верстак г) Котел в Нижнем мире</t>
  </si>
  <si>
    <t>Как называется зачарование, которое позволяет стрелять несколькими стрелами из арбалета? а) Тройной выстрел б) Сила в) Пронзающая стрела г) Быстрая перезарядка</t>
  </si>
  <si>
    <t>Какой моб боится собак и волков? а) Скелет б) Зомби в) Крипер г) Паук</t>
  </si>
  <si>
    <t>Что используется для создания огненного заряда? а) Порох, огненный порошок, уголь б) Порох, лавовый крем в) Слеза гаста, огненный порошок г) Порох, огненный порошок, кременьы</t>
  </si>
  <si>
    <t>Какой блок можно использовать для проигрывания звуков мобов? а) Нотный блок с головой моба б) Проигрыватель в) Нотный блок г) Голова моба сама по себе</t>
  </si>
  <si>
    <t>Где растут гигантские грибы? а) Грибное поле и тёмный лес б) Темный лес в) Грибное поле г) Пещеры</t>
  </si>
  <si>
    <t>Что нужно для добычи обсидиана? а) Алмазная кирка б) Железная кирка в) Золотая кирка г) Каменная кирка</t>
  </si>
  <si>
    <t>Где чаще всего можно найти изумруды? а) В горах б) В океанах в) В лесах г) Везде</t>
  </si>
  <si>
    <t>Какой минерал самый прочный в игре для создания инструментов и брони? а) Незерит б) Золото в) Железо г) Алмаз</t>
  </si>
  <si>
    <t>На каком мобе могут летать до 4 игроков? а) Счастливый гаст б) Блейз в) Обычный гаст г) Такого моба нет</t>
  </si>
  <si>
    <t>Какой моб боится кошек? а) Крипер б) Свинья в) Зомби г) Корова</t>
  </si>
  <si>
    <t>Что делает Эндермен, если посмотреть ему в глаза? а) Становится агрессивным и атакует б) Ничего в) Телепортируется г) Издает громкий звук</t>
  </si>
  <si>
    <t>Как называется враждебный моб, летающий в небе и атакующий не спавших игроков? а) Фантом б) Летучая мышь в) Гаст г) Ифрит</t>
  </si>
  <si>
    <t>Какой моб является пассивным и дает молоко? а) Корова б) Свинья в) Курица г) Овца</t>
  </si>
  <si>
    <t>Какой моб атакует со спины, когда на него не смотрят? а) Скрипун б) Древний страж в) Хранитель г) Гаст</t>
  </si>
  <si>
    <t>Что делает медный голем? а) Сортирует предметы по сундукам б) Случайно нажимает на кнопки в) Держит предметы в руках г) Ничего</t>
  </si>
  <si>
    <t>Что выпадает из зомби-наездника? а) Особая пластинка б) Перья в) Кости г) Порох</t>
  </si>
  <si>
    <t>Какой предмет используется для переплавки руды? а) Печь б) Сундук в) Верстак г) Наковальня</t>
  </si>
  <si>
    <t>Как называется основной мир, в котором игрок появляется? а) Верхний мир б) Нижний мир в) Край г) Небесный мир</t>
  </si>
  <si>
    <t>Какой биом состоит в основном из песка и кактусов? а) Пустыня б) Лес в) Равнина г) Джунгли</t>
  </si>
  <si>
    <t>Из чего делается компостер? а) Из 7 полублоков б) Из 7 досок в) Из 7 палок г) Из 7 бревен</t>
  </si>
  <si>
    <t>Какие семена может выкопать нюхач? а) Семена факельника и кувшинницы б) Семена пшеницы в) Ничего из перечисленного г) Он выкапывает не семена</t>
  </si>
  <si>
    <t>Какой блок не висит в воздухе? а) Гравий б) Камень в) Земля г) Дерево</t>
  </si>
  <si>
    <t>Где можно встретить высушенного гаста? а) Нижний мир б) Край в) Верхний мир г) Нигде</t>
  </si>
  <si>
    <t>Что делает булава? а) Падая на моба наносит ему сокрушающий урон б) Моментально ломает блоки в) Позволяет забивать болты в доски г) Ничего</t>
  </si>
  <si>
    <t>Как называется зачарование, которое автоматически чинит предмет за счет опыта? а) Починка б) Прочность в) Ремонт г) Восстановление</t>
  </si>
  <si>
    <t>Что будет, если молния ударит в медного голема? а) Ничего б) Он превратится в статую в) Он перейдёт в начальную стадию окисления г) Появится электричество</t>
  </si>
  <si>
    <t>Как приручить кошку? а) Сырой треской или лососем б) Костью в) Пшеницей г) Морковью</t>
  </si>
  <si>
    <t>Какой эффект дает тотем бессмертия? а) Спасает от смерти один раз б) Увеличивает силу в) Дает невидимость г) Позволяет летать</t>
  </si>
  <si>
    <t>Как называется стол для улучшения предметов с помощью книг? а) Наковальня б) Печь в) Верстак г) Стол зачарований</t>
  </si>
  <si>
    <t>Что произойдет, если переименовать поборника в "Johnny" с помощью бирки? а) Он станет враждебным ко всем мобам б) Он начнет танцевать в) Он первевернется вниз головой г) Он станет пассивным</t>
  </si>
  <si>
    <t>Где в Нижнем мире появляются страйдеры? а) В лавовых озерах б) В долине песка душ в) В багровом лесу г) В искаженном лесу</t>
  </si>
  <si>
    <t>Какое зачарование несовместимо с зачарованием "Верность" на трезубце? а) Тягун б) Пронзатель в) Громовержец г) Починка</t>
  </si>
  <si>
    <t>Что используется в качестве "топлива" для стола кузнеца при создании незеритовых предметов? а) Ничего б) Алмазы в) Угольные блоки г) Огненные стержни</t>
  </si>
  <si>
    <t>В каких чанках могут спауниться слизни под землей, независимо от биома? а) В "слайм-чанках" б) Только на болоте в) В любых пещерах г) В чанках с большим количеством воды</t>
  </si>
  <si>
    <t>При каком условии железный голем, созданный жителями, может атаковать игрока? а) Игрок ударит жителя б) Игрок посмотрит ему в глаза в) Игрок возьмет предметы из кузницы г) Никогда</t>
  </si>
  <si>
    <t>Какой из этих эффектов можно получить от подозрительного рагу, приготовленного с одуванчиком? а) Насыщение б) Скорость в) Регенерация г) Прыгучесть</t>
  </si>
  <si>
    <t>Какой блок необходим для привязки компаса к определенному месту? а) Магнетит (Lodestone) б) Алмазный блок в) Редстоуновый блок г) Незеритовый блок</t>
  </si>
  <si>
    <t>Какой ингредиент необходим для создания зелья медленного падения? а) Фантомная мембрана б) Сахар в) Кроличья лапка г) Слеза гаста</t>
  </si>
  <si>
    <t>С помощью какого блока можно снять зачарования с предмета, получив при этом опыт? а) Точило б) Наковальня в) Стол зачарований г) Верстак</t>
  </si>
  <si>
    <t>Какое действие заставляет козла сбросить рог? а) Когда он атакует и ударяется о твердый блок б) Когда игрок его стрижет в) Когда в него попадает молния г) Это случайное событие</t>
  </si>
  <si>
    <t>Какой моб может быть призван, если на блок скалк-катализатора попадает опыт от умершего моба? а) Никакой б) Варден в) Скалк-крикун г) Скалк-сенсор</t>
  </si>
  <si>
    <t>Какая еда нужна для размножения панд? а) Бамбук б) Яблоки в) Торт г) Сахарный тростник</t>
  </si>
  <si>
    <t>Что будет, если во время рейда игрок ударит в колокол? а) Разбойники подсветятся б) Рейд прекратится в) Появится железный голем г) Жители прячутся еще быстрее</t>
  </si>
  <si>
    <t>Что нужно сделать, чтобы получить достижение "Не дождётесь!"? а) Отразить щитом любой снаряд. б) Войти в портал Нижнего мира в) Выстрелить из арбалета г) Не дождаться</t>
  </si>
  <si>
    <t>Какая структура является единственным местом, где можно найти осколки эха? а) Древний город б) Лесной особняк в) Адская крепость г) Город Края</t>
  </si>
  <si>
    <t>Какой из этих предметов нельзя положить в шалкеровый ящик? а) Другой шалкеровый ящик б) Сундук края в) Незеритовый слиток г) Голову дракона</t>
  </si>
  <si>
    <t>Какое растение в Нижнем мире отпугивает хоглинов? а) Искаженные грибы б) Багровые грибы в) Адский нарост г) Адские корни</t>
  </si>
  <si>
    <t>Какой предмет является основным при торговле с пиглинами? а) Золотой слиток б) Золотой самородок в) Позолоченный чернокамень г) Золотой блок</t>
  </si>
  <si>
    <t>Какое зачарование для трезубца работает только во время дождя или в воде? а) Тягун б) Громовержец в) Верность г) Пронзатель</t>
  </si>
  <si>
    <t>Что происходит с пчелой после того, как она ужалит игрока? а) Теряет жало и через время умирает б) Становится нейтральной в) Возвращается в улей за новым жалом г) Ничего</t>
  </si>
  <si>
    <t>Какой моб является единственным источником фантомных мембран? а) Фантом б) Летучая мышь в) Гаст г) Ведьма</t>
  </si>
  <si>
    <t>Что делает эффект "Плетения"? а) После смерти моба распространяет блоки паутины б) Восстанавливает голод в) Ранит живых сущностей г) Искажает зрение игрока</t>
  </si>
  <si>
    <t>Что делает команда "/time"? а) Меняет время суток б) Призывает часы в) Показывает время суток г) Что это я не знаю английский</t>
  </si>
  <si>
    <t>Какие ингредиенты нужны для зелья "черепашьей мощи"? а) Грубое зелье + Черепаший панцирь б) Грубое зелье + Иглобрюх в) Грубое зелье + Сахар г) Грубое зелье + Черепаший щиток</t>
  </si>
  <si>
    <t>Какой эффект дает зачарование "Скорость души"? а) Ускоряет передвижение по песку душ и земле душ б) Позволяет бегать по воде в) Увеличивает общую скорость бега г) Ускоряет душу</t>
  </si>
  <si>
    <t>Что произойдет, если заряженный крипер убьет зомби, скелета или другого крипера? а) С убитого моба выпадет голова б) Моб просто умрет в) Моб станет заряженным г) Произойдет взрыв</t>
  </si>
  <si>
    <t>Какое зелье имеет противоположный эффект зелью силы? а) Зелье слабости б) Зелье медлительности в) Зелье отравления г) Зелье вреда</t>
  </si>
  <si>
    <t>Какой блок может быть использован для создания "лифта"? а) Вода + Песок душ/Магма б) Воздух в) Паутина г) Лед</t>
  </si>
  <si>
    <t>Какой враждебный моб, атакует игрока зарядами ветра? а) Вихрь б) Буря в) Шторм г) Дух ветра</t>
  </si>
  <si>
    <t>Какой блок позволяет автоматизировать процесс крафта? а) Сборщик б) Раздатчик в) Выбрасыватель г) Фабрикатор</t>
  </si>
  <si>
    <t>Как называется структура, где можно найти подозрительный гравий и глиняные черепки? а) Руины троп б) Древний город в) Древний комплекс г) Погребенный город</t>
  </si>
  <si>
    <t>Какой инструмент нужно использовать на блоках подозрительного песка, чтобы добыть из них предметы? а) Кисточка б) Лопата в) Мотыга г) Рука</t>
  </si>
  <si>
    <t>Что можно найти и использовать для кастомизации своей брони, придавая ей уникальные узоры? а) Кузнечные шаблоны б) Гравировальные станки в) Древние руны г) Наборы красителей</t>
  </si>
  <si>
    <t>Какой вид скелета, стреляет отравленными стрелами? а) Болотник б) Топчун в) Гнилой скелет г) Моховой лучник</t>
  </si>
  <si>
    <t>Какой моб, может перевозить двух игроков одновременно? а) Верблюд б) Лошадь в) Лама г) Страйдер</t>
  </si>
  <si>
    <t>Какой предмет используется для активации "зловещих" событий в Камерах испытаний? а) Зловещая бутылочка б) Проклятый тотем в) Череп иссушителя г) Око Края</t>
  </si>
  <si>
    <t>Какое зачарование для булавы, создает порыв ветра при ударе? а) Ветряной шквал б) Отбрасывание в) Ударная волна г) Порыв</t>
  </si>
  <si>
    <t>Какого моба не существует в игре? а) Светлячок б) Медный голем в) Скрипун г) Досаждатель</t>
  </si>
  <si>
    <t>Какой моб способен открывать деревянные двери на высокой сложности? а) Зомби б) Разбойник в) Пиглин г) Утопленник</t>
  </si>
  <si>
    <t>Какой блок используется для возрождения игрока в Нижнем мире? а) Якорь возрождения б) Кровать в) Маяк г) Портал</t>
  </si>
  <si>
    <t>Какой моб в Minecraft появился из-за ошибки при моделировании свиньи? а) Крипер б) Эндермен в) Зомби г) Скелет</t>
  </si>
  <si>
    <t>Какой уровень освещения необходим, чтобы спавнер мобов продолжал работать? а) Любой б) 7 или ниже в) Только полная темнота (0) г) 11 или ниже</t>
  </si>
  <si>
    <t>Какой предмет требуется для активации портала в Край? а) Око Края б) Жемчуг Края в) Кристалл Края г) Слеза гаста</t>
  </si>
  <si>
    <t>Сколько тиков в секунду использует игровая логика Minecraft Java Edition? а) 20 б) 30 в) 60 г) 24</t>
  </si>
  <si>
    <t>Какой эффект можно выбрать у маяка только при пирамиде максимального размера? а) Регенерация б) Скорость в) Сила г) Прыгучесть</t>
  </si>
  <si>
    <t>В каком биоме естественным образом появляются верблюды? а) Пустыня б) Саванна в) Пустынные холмы г) Меса</t>
  </si>
  <si>
    <t>Какой предмет всегда указывает на точку спавна мира (или якорь возрождения)? а) Компас б) Карта в) Часы г) Око Края</t>
  </si>
  <si>
    <t>Какую максимальную высоту прыжка может иметь обычная лошадь без эффектов? а) До 5 блоков б) До 3 блоков в) До 4 блоков г) До 2 блоков</t>
  </si>
  <si>
    <t>Какой эффект даёт подозрительный суп из одуванчика? а) Насыщение б) Регенерация в) Скорость г) Слепота</t>
  </si>
  <si>
    <t>Какой предмет используется для разведения и приручения лис? а) Сладкие ягоды б) Яблоко в) Морковь г) Пшеница</t>
  </si>
  <si>
    <t>Какой уникальный эффект даёт полный комплект незеритовой брони? а) Уменьшение отбрасывания б) Огнестойкость в) Регенерация г) Сопротивление урону</t>
  </si>
  <si>
    <t>Сколько игроков максимум может ехать на одной лодке? а) 2 б) 1 в) 3 г) 4</t>
  </si>
  <si>
    <t>Какой инструмент ломает паутину быстрее всего? а) Меч б) Топор в) Кирка г) Мотыга</t>
  </si>
  <si>
    <t>Какой моб НЕ появляется естественным образом в Верхнем мире? а) Мул б) Зомби-лошадь в) Слизень г) Зомби-житель</t>
  </si>
  <si>
    <t>Какой эффект даёт зелье черепашьего мастера? а) Сопротивление урону и замедление б) Регенерация и замедление в) Огнестойкость и слабость г) Поглощение и медлительность</t>
  </si>
  <si>
    <t>Какой моб игнорирует эффект невидимости игрока? а) Дракон Края б) Эндермен в) Страж г) Железный Голем</t>
  </si>
  <si>
    <t>Какой предмет используется для зарядки якоря возрождения? а) Светокамень б) Порох в) Огненный стержень г) Магма-блок</t>
  </si>
  <si>
    <t>Какой блок позволяет плавить руды быстрее обычной печи? а) Плавильная печь б) Коптильня в) Камнерез г) Домна</t>
  </si>
  <si>
    <t>Какой блок используется для изменения профессии жителя-библиотекаря? а) Кафедра б) Компостер в) Коптильня г) Точило</t>
  </si>
  <si>
    <t>Какой максимальный уровень может иметь зачарование «Острота» без команд? а) V б) IV в) VI г) III</t>
  </si>
  <si>
    <t>Какой эффект накладывается на игрока при ношении черепа визер-скелета? а) Игрок реже привлекает внимание скелетов б) Эффект отсутствует в) Сопротивление урону г) Иммунитет к иссушению</t>
  </si>
  <si>
    <t>Какой блок полностью блокирует распространение звуковых вибраций скалк-сенсора? а) Шерсть б) Стекло в) Лёд г) Листва</t>
  </si>
  <si>
    <t>Через сколько ночей без сна начинают появляться фантомы? а) После 3 ночей без сна б) После 1 ночи без сна в) После 7 ночей без сна г) Появляются каждую ночь</t>
  </si>
  <si>
    <t>Каков шанс того, что при использовании жемчуга Края появится эндермит? а) 5% б) 1% в) 10% г) 20%</t>
  </si>
  <si>
    <t>Какой предмет используется для управления страйдером? а) Удочка с искажённым грибком б) Удочка с морковью в) Удочка г) Поводок</t>
  </si>
  <si>
    <t>Какое минимальное количество обсидиана нужно для создания работающего портала в Нижний мир? а) 10 блоков б) 14 блоков в) 12 блоков г) 8 блоков</t>
  </si>
  <si>
    <t>Как можно возродить Дракона Края? а) Поставить 4 энд-кристалла на портал б) Поставить 1 энд-кристалл в центр острова в) Зажечь 4 маяка вокруг острова г) Использовать 4 глаза Эндера на кристаллах</t>
  </si>
  <si>
    <t>Как ношение вырезанной тыквы влияет на эндермэнов при взгляде на них? а) Они не становятся враждебными при взгляде б) Она делает их более агрессивными в) Она защищает только от одного эндермэна г) Никак не влияет</t>
  </si>
  <si>
    <t>Сколько предметов одновременно может обжариваться на одном костре? а) До 4 предметов б) Только 1 предмет в) До 8 предметов г) До 2 предметов</t>
  </si>
  <si>
    <t>Что делает молоко при употреблении игроком в режиме выживания? а) Снимает все эффекты б) Восстанавливает здоровье и сытость в) Даёт иммунитет к огню на короткое время г) Снимает только отрицательные эффекты</t>
  </si>
  <si>
    <t>Что из перечисленного НЕ может пройти через портал? а) Дракон Края б) Гаст в) Лодка г) Предметы</t>
  </si>
  <si>
    <t>Если крипер был убит стрелой скелета, что он выбрасывает? а) Музыкальный диск б) Ничего в) Порох г) Голову крипера</t>
  </si>
  <si>
    <t>Какое условие требуется, чтобы зомби‑житель мог быть вылечен? а) Зелье слабости + золотое яблоко б) Тотем бессмертия в) Факел и хлеб г) Другой житель</t>
  </si>
  <si>
    <t>Что из следующего НЕ может быть дропнуто обычным зомби? а) Глина б) Гнилая плоть в) Железный слиток г) Морковь</t>
  </si>
  <si>
    <t>Что делает зелье исцеления с зомби? а) Наносит урон б) Лечит в) Дает эффект слабости г) Даёт эффект силы</t>
  </si>
  <si>
    <t>Какая редкость бойцов была удалена из игры в декабре 2023 года?</t>
  </si>
  <si>
    <t>Хроматическая</t>
  </si>
  <si>
    <t>Временная</t>
  </si>
  <si>
    <t>Награда на Пути к славе</t>
  </si>
  <si>
    <t>Трофейная</t>
  </si>
  <si>
    <t>Сколько всего редкостей бойцов существует в Brawl Stars на данный момент?</t>
  </si>
  <si>
    <t>7</t>
  </si>
  <si>
    <t>6</t>
  </si>
  <si>
    <t>8</t>
  </si>
  <si>
    <t>5</t>
  </si>
  <si>
    <t>Какой единственный боец имеет ультралегендарную редкость?</t>
  </si>
  <si>
    <t>Кадзэ</t>
  </si>
  <si>
    <t>Спайк</t>
  </si>
  <si>
    <t>Кэндзи</t>
  </si>
  <si>
    <t>Драко</t>
  </si>
  <si>
    <t>За сколько кредитов можно купить мифического бойца?</t>
  </si>
  <si>
    <t>1900</t>
  </si>
  <si>
    <t>925</t>
  </si>
  <si>
    <t>3800</t>
  </si>
  <si>
    <t>5500</t>
  </si>
  <si>
    <t>Какой цвет обозначает эпическую редкость бойцов?</t>
  </si>
  <si>
    <t>Фиолетовый</t>
  </si>
  <si>
    <t>Красный</t>
  </si>
  <si>
    <t>Жёлтый</t>
  </si>
  <si>
    <t>Синий</t>
  </si>
  <si>
    <t>На каком уровне бойца становятся доступны гаджеты?</t>
  </si>
  <si>
    <t>9</t>
  </si>
  <si>
    <t>10</t>
  </si>
  <si>
    <t>Сколько разных гаджетов есть у каждого бойца?</t>
  </si>
  <si>
    <t>2</t>
  </si>
  <si>
    <t>1</t>
  </si>
  <si>
    <t>3</t>
  </si>
  <si>
    <t>4</t>
  </si>
  <si>
    <t>В каком году были добавлены гаджеты в игру?</t>
  </si>
  <si>
    <t>2020</t>
  </si>
  <si>
    <t>2019</t>
  </si>
  <si>
    <t>2021</t>
  </si>
  <si>
    <t>2018</t>
  </si>
  <si>
    <t>За сколько монет можно купить звёздную силу?</t>
  </si>
  <si>
    <t>2000</t>
  </si>
  <si>
    <t>1000</t>
  </si>
  <si>
    <t>1500</t>
  </si>
  <si>
    <t>2500</t>
  </si>
  <si>
    <t>Сколько звёздных сил может иметь каждый боец?</t>
  </si>
  <si>
    <t>Какой боец был единственным с временной редкостью?</t>
  </si>
  <si>
    <t>Базз Лайтер</t>
  </si>
  <si>
    <t>Мипл</t>
  </si>
  <si>
    <t>Эдгар</t>
  </si>
  <si>
    <t>Какая редкость имеет наибольшее количество бойцов?</t>
  </si>
  <si>
    <t>Эпическая</t>
  </si>
  <si>
    <t>Мифическая</t>
  </si>
  <si>
    <t>Легендарная</t>
  </si>
  <si>
    <t>Редкая</t>
  </si>
  <si>
    <t>За сколько трофеев на Пути к славе можно получить Розу?</t>
  </si>
  <si>
    <t>1300</t>
  </si>
  <si>
    <t>960</t>
  </si>
  <si>
    <t>1850</t>
  </si>
  <si>
    <t>2600</t>
  </si>
  <si>
    <t>Какой боец из редких открывается последним по количеству трофеев?</t>
  </si>
  <si>
    <t>Булл</t>
  </si>
  <si>
    <t>Брок</t>
  </si>
  <si>
    <t>Роза</t>
  </si>
  <si>
    <t>Кольт</t>
  </si>
  <si>
    <t>Сколько мифических бойцов было выпущено в 2023 году?</t>
  </si>
  <si>
    <t>Какой боец был переведён из эпической в мифическую редкость?</t>
  </si>
  <si>
    <t>Мортис</t>
  </si>
  <si>
    <t>Тара</t>
  </si>
  <si>
    <t>Бо</t>
  </si>
  <si>
    <t>Фрэнк</t>
  </si>
  <si>
    <t>За сколько кристаллов можно купить ультралегендарного бойца?</t>
  </si>
  <si>
    <t>999</t>
  </si>
  <si>
    <t>699</t>
  </si>
  <si>
    <t>349</t>
  </si>
  <si>
    <t>169</t>
  </si>
  <si>
    <t>Какая система заменила Силовую гонку в 2021 году?</t>
  </si>
  <si>
    <t>Силовая лига</t>
  </si>
  <si>
    <t>Лига клубов</t>
  </si>
  <si>
    <t>Чемпионат</t>
  </si>
  <si>
    <t>Турнир</t>
  </si>
  <si>
    <t>Сколько кристаллов нужно собрать команде для победы в режиме Захват кристаллов?</t>
  </si>
  <si>
    <t>15</t>
  </si>
  <si>
    <t>12</t>
  </si>
  <si>
    <t>На каком минимальном уровне бойца становятся доступны звёздные силы?</t>
  </si>
  <si>
    <t>Какой игровой режим заменил собой другой режим в истории Brawl Stars?</t>
  </si>
  <si>
    <t>Горячая зона заменила Осаду</t>
  </si>
  <si>
    <t>Броулбол заменил Захват</t>
  </si>
  <si>
    <t>Награда заменила Ограбление</t>
  </si>
  <si>
    <t>Дуэли заменили Столкновение</t>
  </si>
  <si>
    <t>Сколько игроков участвует в одном матче режима Столкновение?</t>
  </si>
  <si>
    <t>Что происходит с бойцом в режиме Столкновение при получении урона от ядовитого газа?</t>
  </si>
  <si>
    <t>Теряет здоровье постепенно</t>
  </si>
  <si>
    <t>Мгновенно умирает</t>
  </si>
  <si>
    <t>Замедляется</t>
  </si>
  <si>
    <t>Получает дополнительный урон</t>
  </si>
  <si>
    <t>Какое максимальное количество очков здоровья имеет сейф в режиме Ограбление?</t>
  </si>
  <si>
    <t>45000</t>
  </si>
  <si>
    <t>50000</t>
  </si>
  <si>
    <t>40000</t>
  </si>
  <si>
    <t>35000</t>
  </si>
  <si>
    <t>В каком режиме игроки должны держать контроль над зонами на карте?</t>
  </si>
  <si>
    <t>Горячая зона</t>
  </si>
  <si>
    <t>Захват кристаллов</t>
  </si>
  <si>
    <t>Награда</t>
  </si>
  <si>
    <t>Ограбление</t>
  </si>
  <si>
    <t>Какой класс бойцов лучше всего подходит для защиты в режиме Ограбление?</t>
  </si>
  <si>
    <t>Танки</t>
  </si>
  <si>
    <t>Снайперы</t>
  </si>
  <si>
    <t>Убийцы</t>
  </si>
  <si>
    <t>Поддержка</t>
  </si>
  <si>
    <t>Что является основной целью в режиме Награда?</t>
  </si>
  <si>
    <t>Набрать больше звёзд за убийства</t>
  </si>
  <si>
    <t>Захватить кристаллы</t>
  </si>
  <si>
    <t>Уничтожить сейф</t>
  </si>
  <si>
    <t>Забить гол</t>
  </si>
  <si>
    <t>Сколько классов бойцов существует в Brawl Stars?</t>
  </si>
  <si>
    <t>Какой класс бойцов специализируется на контроле территории?</t>
  </si>
  <si>
    <t>Артиллерия</t>
  </si>
  <si>
    <t>Танк</t>
  </si>
  <si>
    <t>Убийца</t>
  </si>
  <si>
    <t>Стрелок</t>
  </si>
  <si>
    <t>Как называется система прогрессии, добавленная в мае 2020 года?</t>
  </si>
  <si>
    <t>Brawl Pass</t>
  </si>
  <si>
    <t>Мастерство</t>
  </si>
  <si>
    <t>Какой боец является единственным начальным бойцом в игре?</t>
  </si>
  <si>
    <t>Шелли</t>
  </si>
  <si>
    <t>Нита</t>
  </si>
  <si>
    <t>За сколько трофеев на Пути к славе можно получить Ниту?</t>
  </si>
  <si>
    <t>210</t>
  </si>
  <si>
    <t>405</t>
  </si>
  <si>
    <t>650</t>
  </si>
  <si>
    <t>Какая звёздная сила Бо позволяет видеть врагов в кустах на большем расстоянии?</t>
  </si>
  <si>
    <t>Парящий орёл</t>
  </si>
  <si>
    <t>Медвежий капкан</t>
  </si>
  <si>
    <t>Зоркий глаз</t>
  </si>
  <si>
    <t>Супертотем</t>
  </si>
  <si>
    <t>Какой гаджет Мортиса позволяет ему делать "волчок" лопатой?</t>
  </si>
  <si>
    <t>Комбо-спиннер</t>
  </si>
  <si>
    <t>Лёгкая лопата</t>
  </si>
  <si>
    <t>Теневой удар</t>
  </si>
  <si>
    <t>Быстрые ноги</t>
  </si>
  <si>
    <t>Сколько секунд длится перезарядка гаджета "Медвежьи лапы" у Ниты?</t>
  </si>
  <si>
    <t>13</t>
  </si>
  <si>
    <t>14</t>
  </si>
  <si>
    <t>16</t>
  </si>
  <si>
    <t>Какой цвет обозначает мифическую редкость бойцов?</t>
  </si>
  <si>
    <t>За сколько трофеев можно получить Эль Примо на Пути к славе?</t>
  </si>
  <si>
    <t>Какая звёздная сила Эмз увеличивает урон с каждым попаданием?</t>
  </si>
  <si>
    <t>Плохая карма</t>
  </si>
  <si>
    <t>Хайп</t>
  </si>
  <si>
    <t>Токсичность</t>
  </si>
  <si>
    <t>Заражение</t>
  </si>
  <si>
    <t>Сколько здоровья восстанавливает Эмз с каждого врага в зоне действия Супера при звёздной силе "Хайп"?</t>
  </si>
  <si>
    <t>576</t>
  </si>
  <si>
    <t>500</t>
  </si>
  <si>
    <t>600</t>
  </si>
  <si>
    <t>Какая редкость была удалена в декабре 2022 года?</t>
  </si>
  <si>
    <t>Какой гаджет Спайка позволяет ему выпускать иголки во все стороны?</t>
  </si>
  <si>
    <t>Игольница</t>
  </si>
  <si>
    <t>Кактус жизни</t>
  </si>
  <si>
    <t>Колючий шар</t>
  </si>
  <si>
    <t>Ядовитые шипы</t>
  </si>
  <si>
    <t>Сколько очков здоровья восстанавливает кактус жизни Спайка союзникам при смерти?</t>
  </si>
  <si>
    <t>1680</t>
  </si>
  <si>
    <t>1800</t>
  </si>
  <si>
    <t>Какие два образа может принимать Кадзэ?</t>
  </si>
  <si>
    <t>Гейша и Ниндзя</t>
  </si>
  <si>
    <t>Самурай и Монах</t>
  </si>
  <si>
    <t>Воин и Маг</t>
  </si>
  <si>
    <t>Танцор и Боец</t>
  </si>
  <si>
    <t>На сколько секунд Кадзэ получает невидимость при использовании гаджета Гостеприимная хозяйка в образе Гейши?</t>
  </si>
  <si>
    <t>Какой боец появился вместе с добавлением механики гиперзаряда?</t>
  </si>
  <si>
    <t>Чак</t>
  </si>
  <si>
    <t>Чарли</t>
  </si>
  <si>
    <t>Честер</t>
  </si>
  <si>
    <t>Пэм</t>
  </si>
  <si>
    <t>Какой гаджет позволяет Кольту мгновенно перезарядить револьверы 2 пулями?</t>
  </si>
  <si>
    <t>Устройство для перезарядки</t>
  </si>
  <si>
    <t>Серебряная пуля</t>
  </si>
  <si>
    <t>Быстрый выстрел</t>
  </si>
  <si>
    <t>Магнум заряд</t>
  </si>
  <si>
    <t>Сколько урона наносит следующая атака Кольта при использовании гаджета Серебряная пуля?</t>
  </si>
  <si>
    <t>Столько же, сколько 2 обычные пули</t>
  </si>
  <si>
    <t>В 3 раза больше обычного</t>
  </si>
  <si>
    <t>В 1.5 раза больше обычного</t>
  </si>
  <si>
    <t>Двойной урон плюс поджог</t>
  </si>
  <si>
    <t>Какой эффект производит турель Джесси при использовании гаджета Свеча зажигания?</t>
  </si>
  <si>
    <t>Замедляет всех врагов в зоне действия</t>
  </si>
  <si>
    <t>Наносит дополнительный урон</t>
  </si>
  <si>
    <t>Лечит союзников</t>
  </si>
  <si>
    <t>Оглушает врагов</t>
  </si>
  <si>
    <t>На сколько секунд увеличивается скорость атаки Скраппи при использовании гаджета Пружинка?</t>
  </si>
  <si>
    <t>Какой гаджет Бо заставляет все его мины взрываться одновременно?</t>
  </si>
  <si>
    <t>Растяжка</t>
  </si>
  <si>
    <t>Минное поле</t>
  </si>
  <si>
    <t>Детонатор</t>
  </si>
  <si>
    <t>С какой задержкой взрываются мины Бо при использовании гаджета Растяжка ?</t>
  </si>
  <si>
    <t>1,5 секунды</t>
  </si>
  <si>
    <t>1 секунда</t>
  </si>
  <si>
    <t>2 секунды</t>
  </si>
  <si>
    <t>0,5 секунды</t>
  </si>
  <si>
    <t>На сколько процентов ускоряет зарядку Супера союзников тотем Бо ?</t>
  </si>
  <si>
    <t>50%</t>
  </si>
  <si>
    <t>40%</t>
  </si>
  <si>
    <t>60%</t>
  </si>
  <si>
    <t>75%</t>
  </si>
  <si>
    <t>Сколько урона наносит Комбо-спиннер Мортиса всем врагам поблизости?</t>
  </si>
  <si>
    <t>2200</t>
  </si>
  <si>
    <t>На сколько секунд увеличивается скорость перезарядки Мортиса при использовании гаджета Лёгкая лопата ?</t>
  </si>
  <si>
    <t>Сколько очков здоровья имеет кактус жизни Спайка ?</t>
  </si>
  <si>
    <t>2800</t>
  </si>
  <si>
    <t>3000</t>
  </si>
  <si>
    <t>3200</t>
  </si>
  <si>
    <t>Какая звёздная сила Бо заменяет отбрасывание на оглушение врагов на 2 секунды?</t>
  </si>
  <si>
    <t>Силовой тотем</t>
  </si>
  <si>
    <t>Взрывные мины</t>
  </si>
  <si>
    <t>На сколько процентов увеличивается урон атаки Эмз с каждым попаданием при звёздной силе Плохая карма ?</t>
  </si>
  <si>
    <t>25%</t>
  </si>
  <si>
    <t>20%</t>
  </si>
  <si>
    <t>30%</t>
  </si>
  <si>
    <t>15%</t>
  </si>
  <si>
    <t>На сколько процентов увеличивается дистанция Супера Сту при звёздной силе Без тормозов ?</t>
  </si>
  <si>
    <t>71%</t>
  </si>
  <si>
    <t>Сколько очков здоровья восстанавливает Сту при использовании Супера со звёздной силой Глоток бензина ?</t>
  </si>
  <si>
    <t>512</t>
  </si>
  <si>
    <t>450</t>
  </si>
  <si>
    <t>Какая звёздная сила Пайпер добавляет урон, если она находится в кустах?</t>
  </si>
  <si>
    <t>Засада</t>
  </si>
  <si>
    <t>Кэшбэк</t>
  </si>
  <si>
    <t>Снайперский выстрел</t>
  </si>
  <si>
    <t>Маскировка</t>
  </si>
  <si>
    <t>Сколько дополнительного урона наносят снаряды Пайпер при звёздной силе Засада, если она находится в кустах?</t>
  </si>
  <si>
    <t>1190</t>
  </si>
  <si>
    <t>На сколько снарядов восстанавливает винтовку Пайпер при попадании со звёздной силой Кэшбэк?</t>
  </si>
  <si>
    <t>0,4</t>
  </si>
  <si>
    <t>0,5</t>
  </si>
  <si>
    <t>0,3</t>
  </si>
  <si>
    <t>Какая система пришла на замену ящикам как основной способ разблокировки бойцов?</t>
  </si>
  <si>
    <t>Дорога Старр</t>
  </si>
  <si>
    <t>Путь к Славе</t>
  </si>
  <si>
    <t>Сколько урона в секунду наносит лечебная турель Пэм врагам при звёздной силой Мамины объятия?</t>
  </si>
  <si>
    <t>800</t>
  </si>
  <si>
    <t>1200</t>
  </si>
  <si>
    <t>Какой боец способен временно становиться невидимым?</t>
  </si>
  <si>
    <t>Леон</t>
  </si>
  <si>
    <t>Эмз</t>
  </si>
  <si>
    <t>Сэнди</t>
  </si>
  <si>
    <t>Какие два образа может принимать боец Кадзэ?</t>
  </si>
  <si>
    <t>Монах и Воин</t>
  </si>
  <si>
    <t>Кулинар и Самурай</t>
  </si>
  <si>
    <t>У нее нет образов</t>
  </si>
  <si>
    <t>Как называется класс бойцов, стреляющих одиночным выстрелом с большого расстояния?</t>
  </si>
  <si>
    <t>Как называется возможность игры, позволяющая игрокам создавать собственные карты?</t>
  </si>
  <si>
    <t>Конструктор карт</t>
  </si>
  <si>
    <t>Дружеский бой</t>
  </si>
  <si>
    <t>Ротация карт</t>
  </si>
  <si>
    <t>Карты от сообщества</t>
  </si>
  <si>
    <t>Как называется режим, где один игрок играет за огромного мегабойца, а остальные пытаются его убить?</t>
  </si>
  <si>
    <t>Большая игра</t>
  </si>
  <si>
    <t>Осада</t>
  </si>
  <si>
    <t>Бой с боссом</t>
  </si>
  <si>
    <t>Выживание</t>
  </si>
  <si>
    <t>Как называется особое временное событие с несколькими этапами, за прохождение которого игрок получает награду?</t>
  </si>
  <si>
    <t>Испытание</t>
  </si>
  <si>
    <t>Ранговый бой</t>
  </si>
  <si>
    <t>Столкновение</t>
  </si>
  <si>
    <t>Какая звёздная сила Фрэнка позволяет ему забирать силу поражённого врага, добавляя к своему урону 25%?</t>
  </si>
  <si>
    <t>Похищение силы</t>
  </si>
  <si>
    <t>Губка</t>
  </si>
  <si>
    <t>Мощный удар</t>
  </si>
  <si>
    <t>Бесконечная ярость</t>
  </si>
  <si>
    <t>Сколько дополнительных очков здоровья получает Фрэнк со звёздной силой Губка?</t>
  </si>
  <si>
    <t>1340</t>
  </si>
  <si>
    <t>У кого гаджет очищает союзников от негативных эффектов и кратковременно лечит их?</t>
  </si>
  <si>
    <t>Поко</t>
  </si>
  <si>
    <t>Сколько бойцов было при запуске Brawl Stars?</t>
  </si>
  <si>
    <t>22</t>
  </si>
  <si>
    <t>29</t>
  </si>
  <si>
    <t>Что происходит с Беа при звёздной силе Мгновенная перезарядка, если она промахивается во время суперзаряженной атаки?</t>
  </si>
  <si>
    <t>Один раз мгновенно заряжает основную атаку</t>
  </si>
  <si>
    <t>Получает щит на 3 секунды</t>
  </si>
  <si>
    <t>Восстанавливает 50% здоровья</t>
  </si>
  <si>
    <t>Увеличивает урон на 25%</t>
  </si>
  <si>
    <t>На сколько процентов получает щит Беа, пока её основная атака хранит суперзаряд со звёздной силой Соты?</t>
  </si>
  <si>
    <t>35%</t>
  </si>
  <si>
    <t>Какие четыре мифических бойца были выпущены в 2023 году, что стало рекордом?</t>
  </si>
  <si>
    <t>Виллоу, Даг, Чак и Мико</t>
  </si>
  <si>
    <t>Мелоди, Лили, Клэнси, Мо</t>
  </si>
  <si>
    <t>Джуджу, Олли, Финкс, Луми</t>
  </si>
  <si>
    <t>Алли, Кадзэ, Транк, Мипл</t>
  </si>
  <si>
    <t>Какие два легендарных бойца нарушили традицию выпуска одного легендарного бойца в четвёртом квартале года?</t>
  </si>
  <si>
    <t>Драко и Кэндзи в 2024 году</t>
  </si>
  <si>
    <t>Спайк и Ворон в 2018 году</t>
  </si>
  <si>
    <t>Леон и Сэнди в 2019 году</t>
  </si>
  <si>
    <t>Амбер и Мэг в 2021 году</t>
  </si>
  <si>
    <t>В каком месяце был выпущен Кэндзи, второй легендарный боец 2024 года?</t>
  </si>
  <si>
    <t>Сентябре</t>
  </si>
  <si>
    <t>Октябре</t>
  </si>
  <si>
    <t>Ноябре</t>
  </si>
  <si>
    <t>Декабре</t>
  </si>
  <si>
    <t>Кто из эпических бойцов ранее был хроматическим до удаления этой редкости?</t>
  </si>
  <si>
    <t>Гэйл, Колетт, Белль, Эш, Лола, Сэм, Мэнди, Мэйси, Пёрл</t>
  </si>
  <si>
    <t>Бо, Эмз, Сту, Пайпер, Пэм</t>
  </si>
  <si>
    <t>Фрэнк, Биби, Беа, Нани, Эдгар</t>
  </si>
  <si>
    <t>Грифф, Гром, Бонни, Хэнк, Перл</t>
  </si>
  <si>
    <t>Какие мифические бойцы ранее были хроматическими до удаления этой редкости?</t>
  </si>
  <si>
    <t>Лу, Гавс, Базз, Фэнг, Ева, Джанет, Отис, Бастер, R-T, Чарли</t>
  </si>
  <si>
    <t>Мортис, Тара, Джин, Макс, Мистер П.</t>
  </si>
  <si>
    <t>Спраут, Байрон, Скуик, Лу, Гавс</t>
  </si>
  <si>
    <t>Базз, Фэнг, Ева, Джанет, Отис</t>
  </si>
  <si>
    <t>Какие легендарные бойцы ранее были хроматическими до удаления этой редкости?</t>
  </si>
  <si>
    <t>Вольт и Корделиус</t>
  </si>
  <si>
    <t>Спайк и Ворон</t>
  </si>
  <si>
    <t>Леон и Сэнди</t>
  </si>
  <si>
    <t>Амбер и Мэг</t>
  </si>
  <si>
    <t>В каком обновлении были добавлены гаджеты в Brawl Stars?</t>
  </si>
  <si>
    <t>Мартовском обновлении 2020 года</t>
  </si>
  <si>
    <t>Майском обновлении 2020 года</t>
  </si>
  <si>
    <t>Январском обновлении 2020 года</t>
  </si>
  <si>
    <t>Декабрьском обновлении 2019 года</t>
  </si>
  <si>
    <t>Сколько всего гаджетов существует в игре на данный момент?</t>
  </si>
  <si>
    <t>Больше 150</t>
  </si>
  <si>
    <t>Около 100</t>
  </si>
  <si>
    <t>Около 200</t>
  </si>
  <si>
    <t>Меньше 100</t>
  </si>
  <si>
    <t>Сколько всего звёздных сил существует в игре на данный момент?</t>
  </si>
  <si>
    <t>За сколько кристаллов можно купить эпического бойца?</t>
  </si>
  <si>
    <t>За сколько кристаллов можно купить легендарного бойца?</t>
  </si>
  <si>
    <t>Какой цвет обозначает легендарную редкость бойцов?</t>
  </si>
  <si>
    <t>Переливающийся</t>
  </si>
  <si>
    <t>Какой цвет обозначает редкую редкость бойцов?</t>
  </si>
  <si>
    <t>Зелёный</t>
  </si>
  <si>
    <t>Голубой</t>
  </si>
  <si>
    <t>Какой цвет обозначает сверхредкую редкость бойцов?</t>
  </si>
  <si>
    <t>За сколько трофеев на Пути к славе можно получить Барли?</t>
  </si>
  <si>
    <t>За сколько трофеев на Пути к славе можно получить Поко?</t>
  </si>
  <si>
    <t>За сколько трофеев на Пути к славе можно получить Брока?</t>
  </si>
  <si>
    <t>Какой боец из сверхредких открывается первым по количеству трофеев?</t>
  </si>
  <si>
    <t>Джесси</t>
  </si>
  <si>
    <t>Динамайк</t>
  </si>
  <si>
    <t>Тик</t>
  </si>
  <si>
    <t>8-Бит</t>
  </si>
  <si>
    <t>Какая коллаборация с мультсериалом произошла в сентябре 2024 года?</t>
  </si>
  <si>
    <t>Губка Боб</t>
  </si>
  <si>
    <t>Симпсоны</t>
  </si>
  <si>
    <t>Шрек</t>
  </si>
  <si>
    <t>Гравити Фолз</t>
  </si>
  <si>
    <t>Как называется событие, на котором разработчики оглашают обновления?</t>
  </si>
  <si>
    <t>Brawl Talk</t>
  </si>
  <si>
    <t>Brawl Stars</t>
  </si>
  <si>
    <t>BrawlCon</t>
  </si>
  <si>
    <t>Brawl Show</t>
  </si>
  <si>
    <t>В каком месяце традиционно делают одного бойца бесплатным в подарок?</t>
  </si>
  <si>
    <t>В декабре</t>
  </si>
  <si>
    <t>В январе</t>
  </si>
  <si>
    <t>В мае</t>
  </si>
  <si>
    <t>В сентябре</t>
  </si>
  <si>
    <t>Сколько примерно бойцов выпускается каждый год в Brawl Stars?</t>
  </si>
  <si>
    <t>10-12</t>
  </si>
  <si>
    <t>6-8</t>
  </si>
  <si>
    <t>15-20</t>
  </si>
  <si>
    <t>3-5</t>
  </si>
  <si>
    <t>С какого года бойцы выходят каждый месяц за неделю до начала сезона Brawl Pass?</t>
  </si>
  <si>
    <t>С 2024 года</t>
  </si>
  <si>
    <t>С 2023 года</t>
  </si>
  <si>
    <t>С 2022 года</t>
  </si>
  <si>
    <t>С 2021 года</t>
  </si>
  <si>
    <t>Что определяет редкость бойца при его добавлении в игру?</t>
  </si>
  <si>
    <t>Сложность механики</t>
  </si>
  <si>
    <t>Мощность бойца</t>
  </si>
  <si>
    <t>Популярность среди игроков</t>
  </si>
  <si>
    <t>Стоимость разработки</t>
  </si>
  <si>
    <t>Какие бойцы были сделаны бесплатными в декабрьских обновлениях?</t>
  </si>
  <si>
    <t>Эдгар, Гром, Грей, Мико, Мипл</t>
  </si>
  <si>
    <t>Спайк, Ворон, Леон, Сэнди</t>
  </si>
  <si>
    <t>Мортис, Тара, Джин, Макс</t>
  </si>
  <si>
    <t>Фрэнк, Биби, Беа, Нани</t>
  </si>
  <si>
    <t>Когда был удалён боец Базз Лайтер из игры?</t>
  </si>
  <si>
    <t>4 февраля 2025 года</t>
  </si>
  <si>
    <t>31 декабря 2024 года</t>
  </si>
  <si>
    <t>1 января 2025 года</t>
  </si>
  <si>
    <t>14 февраля 2025 года</t>
  </si>
  <si>
    <t>Какая редкость имеет переливающийся цвет?</t>
  </si>
  <si>
    <t>Ультралегендарная</t>
  </si>
  <si>
    <t>Какая редкость имеет наименьшее количество бойцов?</t>
  </si>
  <si>
    <t>Начальная</t>
  </si>
  <si>
    <t>Какое музыкальное сопровождение при открытии бойцов является идентичным для некоторых редкостей?</t>
  </si>
  <si>
    <t>Редкие и Сверхредкие; Эпические, Мифические и ранее Хроматические</t>
  </si>
  <si>
    <t>Все редкости имеют уникальную музыку</t>
  </si>
  <si>
    <t>Легендарные и Ультралегендарные</t>
  </si>
  <si>
    <t>Начальные и Редкие</t>
  </si>
  <si>
    <t>Какой персонаж является единственным пятизвездочным Гео-персонажем, использующим катализатор?</t>
  </si>
  <si>
    <t>В настоящее время такого персонажа нет</t>
  </si>
  <si>
    <t>Нин Гуан</t>
  </si>
  <si>
    <t>Чжун Ли</t>
  </si>
  <si>
    <t>Альбедо</t>
  </si>
  <si>
    <t>Из какого региона происходит персонаж Арлекино?</t>
  </si>
  <si>
    <t>Снежная</t>
  </si>
  <si>
    <t>Фонтейн</t>
  </si>
  <si>
    <t>Натлан</t>
  </si>
  <si>
    <t>Сумеру</t>
  </si>
  <si>
    <t>Какой тип оружия использует Райдэн Сёгун?</t>
  </si>
  <si>
    <t>Древковое оружие</t>
  </si>
  <si>
    <t>Одноручный меч</t>
  </si>
  <si>
    <t>Катализатор</t>
  </si>
  <si>
    <t>Двуручный меч</t>
  </si>
  <si>
    <t>Кто из перечисленных персонажей НЕ является четырехзвездочным Анемо-персонажем?</t>
  </si>
  <si>
    <t>Кадзуха</t>
  </si>
  <si>
    <t>Сахароза</t>
  </si>
  <si>
    <t>Фарузан</t>
  </si>
  <si>
    <t>Хэйдзо</t>
  </si>
  <si>
    <t>Какой персонаж из Мондштадта использует Крио-элемент и древковое оружие?</t>
  </si>
  <si>
    <t>Мика</t>
  </si>
  <si>
    <t>Кэйа</t>
  </si>
  <si>
    <t>Диона</t>
  </si>
  <si>
    <t>Розария</t>
  </si>
  <si>
    <t>Какое задание Архонтов является прелюдией к Тому Близнецы I?</t>
  </si>
  <si>
    <t>Хранитель ветви: Дайнслейф</t>
  </si>
  <si>
    <t>Мы встретимся снова</t>
  </si>
  <si>
    <t>Следы странника</t>
  </si>
  <si>
    <t>Чужеземец, поймавший ветер</t>
  </si>
  <si>
    <t>Какая элементальная реакция происходит при сочетании Пиро и Крио?</t>
  </si>
  <si>
    <t>Таяние</t>
  </si>
  <si>
    <t>Испарение</t>
  </si>
  <si>
    <t>Перегрузка</t>
  </si>
  <si>
    <t>Заморозка</t>
  </si>
  <si>
    <t>Сколько всего томов в основной сюжетной линии Тейвата планируется?</t>
  </si>
  <si>
    <t>7 томов</t>
  </si>
  <si>
    <t>5 томов</t>
  </si>
  <si>
    <t>6 томов</t>
  </si>
  <si>
    <t>8 томов</t>
  </si>
  <si>
    <t>Какой минимальный ранг приключений требуется для доступа к заданиям Тома III?</t>
  </si>
  <si>
    <t>35</t>
  </si>
  <si>
    <t>30</t>
  </si>
  <si>
    <t>40</t>
  </si>
  <si>
    <t>32</t>
  </si>
  <si>
    <t>Какой персонаж является единственным пятизвездочным Дендро-лучником?</t>
  </si>
  <si>
    <t>Тигнари</t>
  </si>
  <si>
    <t>Коллеи</t>
  </si>
  <si>
    <t>Нахида</t>
  </si>
  <si>
    <t>Бай Чжу</t>
  </si>
  <si>
    <t>В каком томе впервые появляется персонаж Дайнслейф?</t>
  </si>
  <si>
    <t>Том Близнецы I</t>
  </si>
  <si>
    <t>Пролог</t>
  </si>
  <si>
    <t>Том I</t>
  </si>
  <si>
    <t>Интерлюдии</t>
  </si>
  <si>
    <t>Какая максимальная редкость существует для артефактов в игре?</t>
  </si>
  <si>
    <t>5 звезд</t>
  </si>
  <si>
    <t>4 звезды</t>
  </si>
  <si>
    <t>6 звезд</t>
  </si>
  <si>
    <t>3 звезды</t>
  </si>
  <si>
    <t>Кто из персонажей НЕ является пятизвездочным Гидро-персонажем?</t>
  </si>
  <si>
    <t>Барбара</t>
  </si>
  <si>
    <t>Нёвиллет</t>
  </si>
  <si>
    <t>Кокоми</t>
  </si>
  <si>
    <t>Тарталья</t>
  </si>
  <si>
    <t>Какой персонаж использует адаптивный элемент?</t>
  </si>
  <si>
    <t>Путешественник</t>
  </si>
  <si>
    <t>Венти</t>
  </si>
  <si>
    <t>Сколько всего слотов артефактов у каждого персонажа?</t>
  </si>
  <si>
    <t>5 слотов</t>
  </si>
  <si>
    <t>4 слота</t>
  </si>
  <si>
    <t>6 слотов</t>
  </si>
  <si>
    <t>3 слота</t>
  </si>
  <si>
    <t>Какой персонаж является единственным четырехзвездочным Гео-пользователем лука?</t>
  </si>
  <si>
    <t>Горо</t>
  </si>
  <si>
    <t>Сара</t>
  </si>
  <si>
    <t>В каком регионе находится персонаж Бай Чжу?</t>
  </si>
  <si>
    <t>Ли Юэ</t>
  </si>
  <si>
    <t>Инадзума</t>
  </si>
  <si>
    <t>Какая элементальная реакция происходит при сочетании Электро и Гидро?</t>
  </si>
  <si>
    <t>Заряжен</t>
  </si>
  <si>
    <t>Сверхпроводимость</t>
  </si>
  <si>
    <t>Кристаллизация</t>
  </si>
  <si>
    <t>Кто из персонажей НЕ является пятизвездочным Электро-пользователем?</t>
  </si>
  <si>
    <t>Фишль</t>
  </si>
  <si>
    <t>Райдэн</t>
  </si>
  <si>
    <t>Кэ Цин</t>
  </si>
  <si>
    <t>Сайно</t>
  </si>
  <si>
    <t>Какой персонаж использует Пиро-элемент и двуручный меч из Натлана?</t>
  </si>
  <si>
    <t>Мавуика</t>
  </si>
  <si>
    <t>Дэхья</t>
  </si>
  <si>
    <t>Дилюк</t>
  </si>
  <si>
    <t>Ка Мин</t>
  </si>
  <si>
    <t>Какое название носит первая глава Тома II заданий Архонтов?</t>
  </si>
  <si>
    <t>Неизменный бог и вечная утопия</t>
  </si>
  <si>
    <t>Осенний ветер, багряные листья</t>
  </si>
  <si>
    <t>Забвение, исчезновение теней</t>
  </si>
  <si>
    <t>Всевидящий бог, бренный мир</t>
  </si>
  <si>
    <t>Сколько звезд в созвездии каждого персонажа?</t>
  </si>
  <si>
    <t>7 звезд</t>
  </si>
  <si>
    <t>Какой персонаж является единственным пятизвездочным Анемо-пользователем древкового оружия?</t>
  </si>
  <si>
    <t>Сяо</t>
  </si>
  <si>
    <t>Странник</t>
  </si>
  <si>
    <t>Из какого региона происходит персонаж Тарталья?</t>
  </si>
  <si>
    <t>Мондштадт</t>
  </si>
  <si>
    <t>Какая элементальная реакция происходит при сочетании Анемо с любым другим элементом?</t>
  </si>
  <si>
    <t>Рассеивание</t>
  </si>
  <si>
    <t>Горение</t>
  </si>
  <si>
    <t>Цветение</t>
  </si>
  <si>
    <t>Кто из персонажей является единственным четырехзвездочным Дендро-мечником?</t>
  </si>
  <si>
    <t>Кирара</t>
  </si>
  <si>
    <t>Кавех</t>
  </si>
  <si>
    <t>Какой максимальный уровень может достичь персонаж?</t>
  </si>
  <si>
    <t>90</t>
  </si>
  <si>
    <t>80</t>
  </si>
  <si>
    <t>100</t>
  </si>
  <si>
    <t>85</t>
  </si>
  <si>
    <t>В каком томе заданий Архонтов впервые появляется Сумеру?</t>
  </si>
  <si>
    <t>Том III</t>
  </si>
  <si>
    <t>Том II</t>
  </si>
  <si>
    <t>Том IV</t>
  </si>
  <si>
    <t>Какой персонаж является единственным пятизвездочным Крио-пользователем катализатора?</t>
  </si>
  <si>
    <t>Ризли</t>
  </si>
  <si>
    <t>Ци Ци</t>
  </si>
  <si>
    <t>Ганьюй</t>
  </si>
  <si>
    <t>Аяка</t>
  </si>
  <si>
    <t>Сколько всего фаз возвышения у персонажей?</t>
  </si>
  <si>
    <t>6 фаз</t>
  </si>
  <si>
    <t>5 фаз</t>
  </si>
  <si>
    <t>7 фаз</t>
  </si>
  <si>
    <t>4 фазы</t>
  </si>
  <si>
    <t>Какой персонаж является единственным четырехзвездочным Дендро-мечником?</t>
  </si>
  <si>
    <t>Какой персонаж из Фонтейна использует Гидро-элемент и одноручный меч?</t>
  </si>
  <si>
    <t>Фурина</t>
  </si>
  <si>
    <t>Сиджвин</t>
  </si>
  <si>
    <t>Клоринда</t>
  </si>
  <si>
    <t>Какая элементальная реакция происходит при сочетании Дендро и Электро?</t>
  </si>
  <si>
    <t>Обострение</t>
  </si>
  <si>
    <t>Катализ</t>
  </si>
  <si>
    <t>Кто из персонажей НЕ является пятизвездочным Пиро-пользователем?</t>
  </si>
  <si>
    <t>Беннет</t>
  </si>
  <si>
    <t>Ху Тао</t>
  </si>
  <si>
    <t>Кли</t>
  </si>
  <si>
    <t>Какой персонаж является единственным четырехзвездочным Анемо-пользователем двуручного меча?</t>
  </si>
  <si>
    <t>Саю</t>
  </si>
  <si>
    <t>Линетт</t>
  </si>
  <si>
    <t>В каком регионе впервые появляется элемент Дендро?</t>
  </si>
  <si>
    <t>Какое название носит третья глава Тома III заданий Архонтов?</t>
  </si>
  <si>
    <t>Сны, пустота и обман</t>
  </si>
  <si>
    <t>Сквозь дым и тёмные леса</t>
  </si>
  <si>
    <t>Сто свежих роз приносит утро</t>
  </si>
  <si>
    <t>Царь Дешрет и три волхва</t>
  </si>
  <si>
    <t>Какой персонаж является единственным пятизвездочным Гео-пользователем двуручного меча?</t>
  </si>
  <si>
    <t>Итто</t>
  </si>
  <si>
    <t>Ноэлль</t>
  </si>
  <si>
    <t>Какая элементальная реакция происходит при сочетании Крио и Электро?</t>
  </si>
  <si>
    <t>Кто из персонажей является единственным четырехзвездочным Гидро-пользователем древкового оружия?</t>
  </si>
  <si>
    <t>Кандакия</t>
  </si>
  <si>
    <t>Син Цю</t>
  </si>
  <si>
    <t>Далия</t>
  </si>
  <si>
    <t>В каком томе заданий Архонтов впервые появляется Фонтейн?</t>
  </si>
  <si>
    <t>Том V</t>
  </si>
  <si>
    <t>Какой персонаж из Инадзумы использует Электро-элемент и одноручный меч?</t>
  </si>
  <si>
    <t>Синобу</t>
  </si>
  <si>
    <t>Какая элементальная реакция происходит при сочетании Дендро и Пиро?</t>
  </si>
  <si>
    <t>Какой персонаж является единственным пятизвездочным персонажем, использующим адаптивный элемент?</t>
  </si>
  <si>
    <t>Сколько всего основных регионов планируется в Тейвате?</t>
  </si>
  <si>
    <t>7 регионов</t>
  </si>
  <si>
    <t>5 регионов</t>
  </si>
  <si>
    <t>6 регионов</t>
  </si>
  <si>
    <t>8 регионов</t>
  </si>
  <si>
    <t>Какой персонаж из Снежной использует Гидро-элемент и лук?</t>
  </si>
  <si>
    <t>Арлекино</t>
  </si>
  <si>
    <t>Е Лань</t>
  </si>
  <si>
    <t>Какой персонаж является единственным четырехзвездочным Пиро-пользователем двуручного меча из Ли Юэ?</t>
  </si>
  <si>
    <t>Синь Янь</t>
  </si>
  <si>
    <t>Бэй Доу</t>
  </si>
  <si>
    <t>Какая элементальная реакция происходит при сочетании Дендро и Гидро?</t>
  </si>
  <si>
    <t>Какой персонаж является единственным пятизвездочным Анемо-пользователем лука?</t>
  </si>
  <si>
    <t>В каком томе заданий Архонтов впервые появляется Натлан?</t>
  </si>
  <si>
    <t>Том VI</t>
  </si>
  <si>
    <t>Какой персонаж является единственным четырехзвездочным Электро-пользователем двуручного меча?</t>
  </si>
  <si>
    <t>Рэйзор</t>
  </si>
  <si>
    <t>Дори</t>
  </si>
  <si>
    <t>Сколько максимально талантов может прокачать персонаж?</t>
  </si>
  <si>
    <t>3 таланта</t>
  </si>
  <si>
    <t>4 таланта</t>
  </si>
  <si>
    <t>5 талантов</t>
  </si>
  <si>
    <t>2 таланта</t>
  </si>
  <si>
    <t>Какой персонаж из Мондштадта использует Гео-элемент и двуручный меч?</t>
  </si>
  <si>
    <t>Какая элементальная реакция происходит при сочетании Пиро и Электро?</t>
  </si>
  <si>
    <t>Кто из персонажей является единственным четырехзвездочным Крио-пользователем лука?</t>
  </si>
  <si>
    <t>Какое название носит четвертая глава Тома III заданий Архонтов?</t>
  </si>
  <si>
    <t>Пульс Акаши и пламя кальпы</t>
  </si>
  <si>
    <t>Какой персонаж является единственным пятизвездочным Дендро-пользователем катализатора из Лиюэ?</t>
  </si>
  <si>
    <t>Какая максимальная редкость оружия существует в игре?</t>
  </si>
  <si>
    <t>Какой персонаж из Инадзумы использует Гео-элемент и лук?</t>
  </si>
  <si>
    <t>Какое название носит пятая глава Тома III заданий Архонтов?</t>
  </si>
  <si>
    <t>Кариберт</t>
  </si>
  <si>
    <t>Какой персонаж является единственным четырехзвездочным Гидро-пользователем катализатора?</t>
  </si>
  <si>
    <t>Мона</t>
  </si>
  <si>
    <t>В каком регионе находится персонаж Кинич?</t>
  </si>
  <si>
    <t>Какая элементальная реакция НЕ существует в игре?</t>
  </si>
  <si>
    <t>Взрыв</t>
  </si>
  <si>
    <t>Какой персонаж является единственным пятизвездочным Электро-пользователем катализатора?</t>
  </si>
  <si>
    <t>Вареса</t>
  </si>
  <si>
    <t>Сколько элементальных реакций трансформации существует в игре?</t>
  </si>
  <si>
    <t>7 реакций</t>
  </si>
  <si>
    <t>5 реакций</t>
  </si>
  <si>
    <t>6 реакций</t>
  </si>
  <si>
    <t>8 реакций</t>
  </si>
  <si>
    <t>Какой персонаж из Сумеру использует Крио-элемент и одноручный меч?</t>
  </si>
  <si>
    <t>Лайла</t>
  </si>
  <si>
    <t>Какой персонаж является единственным пятизвездочным Пиро-пользователем катализатора?</t>
  </si>
  <si>
    <t>Янь Фэй</t>
  </si>
  <si>
    <t>Какой персонаж из Фонтейна использует Электро-элемент и одноручный меч?</t>
  </si>
  <si>
    <t>Какая элементальная реакция происходит при сочетании Гео с любым другим элементом?</t>
  </si>
  <si>
    <t>Поглощение</t>
  </si>
  <si>
    <t>Какой персонаж является единственным четырехзвездочным Гео-пользователем катализатора?</t>
  </si>
  <si>
    <t>В каком регионе находится персонаж Качина?</t>
  </si>
  <si>
    <t>Какой персонаж является единственным пятизвездочным Дендро-пользователем двуручного меча?</t>
  </si>
  <si>
    <t>Кинич</t>
  </si>
  <si>
    <t>Аль-Хайтам</t>
  </si>
  <si>
    <t>Какое название носит первая глава Тома IV заданий Архонтов?</t>
  </si>
  <si>
    <t>Прелюдия белых рос и чёрных волн</t>
  </si>
  <si>
    <t>Словно лёгкий дождь без причины</t>
  </si>
  <si>
    <t>К сиянию звёзд в глубине</t>
  </si>
  <si>
    <t>Приближение катастрофы</t>
  </si>
  <si>
    <t>Какой персонаж из Натлана использует Гео-элемент и древковое оружие?</t>
  </si>
  <si>
    <t>Качина</t>
  </si>
  <si>
    <t>Оророн</t>
  </si>
  <si>
    <t>Какая элементальная реакция происходит при добавлении Пиро к реакции Цветения?</t>
  </si>
  <si>
    <t>Бутонизация</t>
  </si>
  <si>
    <t>Вегета</t>
  </si>
  <si>
    <t>Проращение</t>
  </si>
  <si>
    <t>Разрастание</t>
  </si>
  <si>
    <t>Какой персонаж является единственным четырехзвездочным Анемо-пользователем катализатора из Лиюэ?</t>
  </si>
  <si>
    <t>Лань Янь</t>
  </si>
  <si>
    <t>Какое название носит вторая глава Тома IV заданий Архонтов?</t>
  </si>
  <si>
    <t>Какой персонаж из Инадзумы использует Дендро-элемент и одноручный меч?</t>
  </si>
  <si>
    <t>Какая элементальная реакция происходит при добавлении Электро к реакции Цветения?</t>
  </si>
  <si>
    <t>Гиперцветение</t>
  </si>
  <si>
    <t>Электроцветение</t>
  </si>
  <si>
    <t>Какой персонаж является единственным пятизвездочным Гидро-пользователем лука из Фонтейна?</t>
  </si>
  <si>
    <t>Какое название носит третья глава Тома IV заданий Архонтов?</t>
  </si>
  <si>
    <t>Маскарад виновных</t>
  </si>
  <si>
    <t>Какой персонаж из Фонтейна использует Крио-элемент и двуручный меч?</t>
  </si>
  <si>
    <t>Фремине</t>
  </si>
  <si>
    <t>Какой персонаж является единственным четырехзвездочным Пиро-пользователем древкового оружия из Инадзумы?</t>
  </si>
  <si>
    <t>Тома</t>
  </si>
  <si>
    <t>Сян Лин</t>
  </si>
  <si>
    <t>Ёимия</t>
  </si>
  <si>
    <t>Какое название носит четвертая глава Тома IV заданий Архонтов?</t>
  </si>
  <si>
    <t>Сказка на ночь</t>
  </si>
  <si>
    <t>Какой персонаж из Сумеру использует Электро-элемент и лук?</t>
  </si>
  <si>
    <t>Сетос</t>
  </si>
  <si>
    <t>Какой персонаж является единственным пятизвездочным Анемо-пользователем катализатора из Лиюэ?</t>
  </si>
  <si>
    <t>Сянь Юнь</t>
  </si>
  <si>
    <t>Какое название носит пятая глава Тома IV заданий Архонтов?</t>
  </si>
  <si>
    <t>Какой персонаж из Натлана использует Электро-элемент и лук?</t>
  </si>
  <si>
    <t>Какой персонаж является единственным пятизвездочным Анемо-пользователем лука из Натлана?</t>
  </si>
  <si>
    <t>Часка</t>
  </si>
  <si>
    <t>Какая элементальная реакция происходит при сочетании Гидро и Крио?</t>
  </si>
  <si>
    <t>Какой персонаж является единственным пятизвездочным Гео-пользователем одноручного меча из Фонтейна?</t>
  </si>
  <si>
    <t>Тиори</t>
  </si>
  <si>
    <t>Навия</t>
  </si>
  <si>
    <t>В каком регионе находится персонаж Муалани?</t>
  </si>
  <si>
    <t>Какой персонаж из Фонтейна использует Анемо-элемент и одноручный меч?</t>
  </si>
  <si>
    <t>Какая максимальная редкость персонажей существует в игре?</t>
  </si>
  <si>
    <t>Какой персонаж из Лиюэ использует Пиро-элемент и древковое оружие?</t>
  </si>
  <si>
    <t>Какое название носит шестая глава Тома Близнецы III заданий Архонтов?</t>
  </si>
  <si>
    <t>Реквием гулких глубин</t>
  </si>
  <si>
    <t>Какой персонаж является единственным четырехзвездочным Анемо-пользователем катализатора из Натлана?</t>
  </si>
  <si>
    <t>Ифа</t>
  </si>
  <si>
    <t>Какой персонаж из Сумеру использует Дендро-элемент и двуручный меч?</t>
  </si>
  <si>
    <t>В каком регионе находится персонаж Ситлали?</t>
  </si>
  <si>
    <t>Какой персонаж является единственным пятизвездочным Гидро-пользователем катализатора из Натлана?</t>
  </si>
  <si>
    <t>Муалани</t>
  </si>
  <si>
    <t>Какое название носит первая глава Тома V заданий Архонтов?</t>
  </si>
  <si>
    <t>Цветы под палящим солнцем</t>
  </si>
  <si>
    <t>Black Stone Under a White Stone</t>
  </si>
  <si>
    <t>Пылающая ода воскрешения</t>
  </si>
  <si>
    <t>Безжалостный мороз</t>
  </si>
  <si>
    <t>Какой уровень приключений нужен для открытия кооператива?</t>
  </si>
  <si>
    <t>20</t>
  </si>
  <si>
    <t>В каком году была выпущена Battle Royale версия Fortnite?</t>
  </si>
  <si>
    <t>2017</t>
  </si>
  <si>
    <t>2016</t>
  </si>
  <si>
    <t>Какая компания разработала Fortnite?</t>
  </si>
  <si>
    <t>Epic Games</t>
  </si>
  <si>
    <t>Activision</t>
  </si>
  <si>
    <t>EA Games</t>
  </si>
  <si>
    <t>Ubisoft</t>
  </si>
  <si>
    <t>Как называется автобус, с которого прыгают игроки в начале матча?</t>
  </si>
  <si>
    <t>Battle Bus</t>
  </si>
  <si>
    <t>War Bus</t>
  </si>
  <si>
    <t>Sky Bus</t>
  </si>
  <si>
    <t>Storm Bus</t>
  </si>
  <si>
    <t>Какое максимальное количество игроков может быть в одном матче Battle Royale?</t>
  </si>
  <si>
    <t>99</t>
  </si>
  <si>
    <t>120</t>
  </si>
  <si>
    <t>150</t>
  </si>
  <si>
    <t>Как называется явление, которое сжимает игровую зону?</t>
  </si>
  <si>
    <t>Шторм</t>
  </si>
  <si>
    <t>Буря</t>
  </si>
  <si>
    <t>Туман</t>
  </si>
  <si>
    <t>Циклон</t>
  </si>
  <si>
    <t>Какой максимальный уровень щита может быть у игрока?</t>
  </si>
  <si>
    <t>200</t>
  </si>
  <si>
    <t>250</t>
  </si>
  <si>
    <t>Какое оружие имеет самый высокий урон за выстрел в голову среди снайперских винтовок?</t>
  </si>
  <si>
    <t>Heavy Sniper Rifle</t>
  </si>
  <si>
    <t>Bolt-Action Sniper Rifle</t>
  </si>
  <si>
    <t>Semi-Auto Sniper Rifle</t>
  </si>
  <si>
    <t>Hunting Rifle</t>
  </si>
  <si>
    <t>В каком сезоне впервые появились транспортные средства?</t>
  </si>
  <si>
    <t>Сезон 5</t>
  </si>
  <si>
    <t>Сезон 4</t>
  </si>
  <si>
    <t>Сезон 6</t>
  </si>
  <si>
    <t>Сезон 3</t>
  </si>
  <si>
    <t>Как называется локация, добавленная в Сезоне 9 и представлявшая собой футуристический город?</t>
  </si>
  <si>
    <t>Neo Tilted</t>
  </si>
  <si>
    <t>Mega Mall</t>
  </si>
  <si>
    <t>Pressure Plant</t>
  </si>
  <si>
    <t>Sunny Steps</t>
  </si>
  <si>
    <t>Какой материал для строительства имеет наибольшую прочность?</t>
  </si>
  <si>
    <t>Металл</t>
  </si>
  <si>
    <t>Дерево</t>
  </si>
  <si>
    <t>Камень</t>
  </si>
  <si>
    <t>Кирпич</t>
  </si>
  <si>
    <t>Сколько V-Bucks стоит Battle Pass в стандартном сезоне?</t>
  </si>
  <si>
    <t>950</t>
  </si>
  <si>
    <t>Как называется режим, где игроки могут создавать свои собственные карты?</t>
  </si>
  <si>
    <t>Creative</t>
  </si>
  <si>
    <t>Playground</t>
  </si>
  <si>
    <t>Sandbox</t>
  </si>
  <si>
    <t>Builder</t>
  </si>
  <si>
    <t>Какая редкость оружия обозначается золотым цветом?</t>
  </si>
  <si>
    <t>Legendary</t>
  </si>
  <si>
    <t>Epic</t>
  </si>
  <si>
    <t>Rare</t>
  </si>
  <si>
    <t>Mythic</t>
  </si>
  <si>
    <t>В каком сезоне была уничтожена локация Tilted Towers?</t>
  </si>
  <si>
    <t>Сезон 8</t>
  </si>
  <si>
    <t>Сезон 9</t>
  </si>
  <si>
    <t>Сезон 7</t>
  </si>
  <si>
    <t>Сезон 10</t>
  </si>
  <si>
    <t>Как называется танец, который стал мемом и был добавлен в игру как эмоция?</t>
  </si>
  <si>
    <t>Floss</t>
  </si>
  <si>
    <t>Orange Justice</t>
  </si>
  <si>
    <t>Take the L</t>
  </si>
  <si>
    <t>Best Mates</t>
  </si>
  <si>
    <t>Какое оружие было временно удалено из игры из-за слишком высокого урона?</t>
  </si>
  <si>
    <t>Infinity Blade</t>
  </si>
  <si>
    <t>Drum Gun</t>
  </si>
  <si>
    <t>Combat Shotgun</t>
  </si>
  <si>
    <t>Boom Bow</t>
  </si>
  <si>
    <t>Как называется событие, которое привело к концу Первой главы Fortnite?</t>
  </si>
  <si>
    <t>The End</t>
  </si>
  <si>
    <t>The Blackout</t>
  </si>
  <si>
    <t>The Final Showdown</t>
  </si>
  <si>
    <t>The Device</t>
  </si>
  <si>
    <t>Какой персонаж является главным антагонистом в сюжете Fortnite?</t>
  </si>
  <si>
    <t>Гено</t>
  </si>
  <si>
    <t>Мидас</t>
  </si>
  <si>
    <t>Доктор Дум</t>
  </si>
  <si>
    <t>Галактус</t>
  </si>
  <si>
    <t>Сколько урона наносит обычный пикаксе по структурам?</t>
  </si>
  <si>
    <t>50</t>
  </si>
  <si>
    <t>75</t>
  </si>
  <si>
    <t>25</t>
  </si>
  <si>
    <t>Как называется локация, которая представляла собой тюрьму в первых сезонах?</t>
  </si>
  <si>
    <t>Moisty Mire</t>
  </si>
  <si>
    <t>Wailing Woods</t>
  </si>
  <si>
    <t>Prison</t>
  </si>
  <si>
    <t>Junk Junction</t>
  </si>
  <si>
    <t>Какой режим игры позволяет возрождаться после смерти?</t>
  </si>
  <si>
    <t>Team Rumble</t>
  </si>
  <si>
    <t>Solos</t>
  </si>
  <si>
    <t>Duos</t>
  </si>
  <si>
    <t>Arena</t>
  </si>
  <si>
    <t>Как называется валюта, которую можно заработать в Battle Pass?</t>
  </si>
  <si>
    <t>V-Bucks</t>
  </si>
  <si>
    <t>Battle Stars</t>
  </si>
  <si>
    <t>XP</t>
  </si>
  <si>
    <t>Gold</t>
  </si>
  <si>
    <t>Какая локация заменила Dusty Depot после падения метеорита?</t>
  </si>
  <si>
    <t>Dusty Divot</t>
  </si>
  <si>
    <t>Dusty Diner</t>
  </si>
  <si>
    <t>Dusty Hills</t>
  </si>
  <si>
    <t>Dusty Valley</t>
  </si>
  <si>
    <t>Сколько слотов для оружия и предметов есть у каждого игрока?</t>
  </si>
  <si>
    <t>Как называется особый тип сундука, который светится и содержит лучшую добычу?</t>
  </si>
  <si>
    <t>Supply Drop</t>
  </si>
  <si>
    <t>Legendary Chest</t>
  </si>
  <si>
    <t>Epic Chest</t>
  </si>
  <si>
    <t>Rare Chest</t>
  </si>
  <si>
    <t>Какое максимальное количество материалов одного типа может носить игрок?</t>
  </si>
  <si>
    <t>750</t>
  </si>
  <si>
    <t>Как называется режим, где команды из 50 игроков сражаются друг против друга?</t>
  </si>
  <si>
    <t>50v50</t>
  </si>
  <si>
    <t>Team Battle</t>
  </si>
  <si>
    <t>Large Team</t>
  </si>
  <si>
    <t>Mega Fight</t>
  </si>
  <si>
    <t>Какой персонаж из Marvel был добавлен в качестве босса в Сезоне 4 Главы 2?</t>
  </si>
  <si>
    <t>Танос</t>
  </si>
  <si>
    <t>Дэдпул</t>
  </si>
  <si>
    <t>Сколько урона наносит прямое попадание гранатой?</t>
  </si>
  <si>
    <t>125</t>
  </si>
  <si>
    <t>Как называется локация, которая была добавлена в честь популярного стримера?</t>
  </si>
  <si>
    <t>Lazy Lake</t>
  </si>
  <si>
    <t>Ninja Village</t>
  </si>
  <si>
    <t>Streamer Spot</t>
  </si>
  <si>
    <t>Fame Point</t>
  </si>
  <si>
    <t>Какое оружие имеет самую высокую скорострельность среди автоматов?</t>
  </si>
  <si>
    <t>Rapid Fire SMG</t>
  </si>
  <si>
    <t>Compact SMG</t>
  </si>
  <si>
    <t>Submachine Gun</t>
  </si>
  <si>
    <t>Burst SMG</t>
  </si>
  <si>
    <t>В каком сезоне был добавлен режим Zero Build?</t>
  </si>
  <si>
    <t>Сезон 2 Главы 3</t>
  </si>
  <si>
    <t>Сезон 1 Главы 3</t>
  </si>
  <si>
    <t>Сезон 3 Главы 3</t>
  </si>
  <si>
    <t>Сезон 4 Главы 2</t>
  </si>
  <si>
    <t>Какая максимальная скорость передвижения пешком в игре?</t>
  </si>
  <si>
    <t>5.5 м/с</t>
  </si>
  <si>
    <t>6.0 м/с</t>
  </si>
  <si>
    <t>5.0 м/с</t>
  </si>
  <si>
    <t>4.5 м/с</t>
  </si>
  <si>
    <t>Как называется особая способность, которая позволяет быстро перемещаться по карте?</t>
  </si>
  <si>
    <t>Rift-to-Go</t>
  </si>
  <si>
    <t>Launch Pad</t>
  </si>
  <si>
    <t>Bounce Pad</t>
  </si>
  <si>
    <t>Teleporter</t>
  </si>
  <si>
    <t>Какой предмет восстанавливает и здоровье, и щит одновременно?</t>
  </si>
  <si>
    <t>Slurp Juice</t>
  </si>
  <si>
    <t>Chug Jug</t>
  </si>
  <si>
    <t>Shield Potion</t>
  </si>
  <si>
    <t>Medkit</t>
  </si>
  <si>
    <t>Сколько секунд длится использование Chug Jug?</t>
  </si>
  <si>
    <t>Как называется локация, которая появилась после разрушения Tilted Towers в Сезоне 9?</t>
  </si>
  <si>
    <t>Tilted Town</t>
  </si>
  <si>
    <t>New Tilted</t>
  </si>
  <si>
    <t>Tilted Park</t>
  </si>
  <si>
    <t>Old Tilted</t>
  </si>
  <si>
    <t>Какое максимальное количество игроков может быть в команде в режиме Squad?</t>
  </si>
  <si>
    <t>Как называется валюта, которая используется для улучшения оружия в Creative?</t>
  </si>
  <si>
    <t>Gold Bars</t>
  </si>
  <si>
    <t>Creative Points</t>
  </si>
  <si>
    <t>Какой редкости соответствует фиолетовый цвет оружия?</t>
  </si>
  <si>
    <t>Uncommon</t>
  </si>
  <si>
    <t>В каком сезоне была добавлена механика рыбалки?</t>
  </si>
  <si>
    <t>Сезон 1 Главы 2</t>
  </si>
  <si>
    <t>Сезон 2 Главы 2</t>
  </si>
  <si>
    <t>Сезон 3 Главы 1</t>
  </si>
  <si>
    <t>Сезон 11</t>
  </si>
  <si>
    <t>Как называется NPC, который торгует оружием за золото?</t>
  </si>
  <si>
    <t>Торговец</t>
  </si>
  <si>
    <t>Продавец</t>
  </si>
  <si>
    <t>Дилер</t>
  </si>
  <si>
    <t>Поставщик</t>
  </si>
  <si>
    <t>Какое животное можно приручить и использовать как транспорт?</t>
  </si>
  <si>
    <t>Волк</t>
  </si>
  <si>
    <t>Кабан</t>
  </si>
  <si>
    <t>Курица</t>
  </si>
  <si>
    <t>Акула</t>
  </si>
  <si>
    <t>Сколько урона наносит обычный дробовик в ближнем бою?</t>
  </si>
  <si>
    <t>от 70 до 180</t>
  </si>
  <si>
    <t>от 50 до 150</t>
  </si>
  <si>
    <t>от 80 до 200</t>
  </si>
  <si>
    <t>от 60 до 160</t>
  </si>
  <si>
    <t>Как называется событие, которое происходит в конце каждого сезона?</t>
  </si>
  <si>
    <t>Live Event</t>
  </si>
  <si>
    <t>Season Finale</t>
  </si>
  <si>
    <t>Epic Event</t>
  </si>
  <si>
    <t>Final Show</t>
  </si>
  <si>
    <t>Какой материал добывается из машин и металлических конструкций?</t>
  </si>
  <si>
    <t>Сталь</t>
  </si>
  <si>
    <t>Железо</t>
  </si>
  <si>
    <t>Алюминий</t>
  </si>
  <si>
    <t>Как называется режим, где игроки строят и защищают базу от зомби?</t>
  </si>
  <si>
    <t>Save the World</t>
  </si>
  <si>
    <t>Horde Mode</t>
  </si>
  <si>
    <t>Defense Mode</t>
  </si>
  <si>
    <t>Zombie Rush</t>
  </si>
  <si>
    <t>Какое оружие стреляет ракетами и имеет высокий урон по области?</t>
  </si>
  <si>
    <t>Rocket Launcher</t>
  </si>
  <si>
    <t>Grenade Launcher</t>
  </si>
  <si>
    <t>RPG</t>
  </si>
  <si>
    <t>Missile Launcher</t>
  </si>
  <si>
    <t>Сколько опыта нужно для повышения одного уровня Battle Pass в среднем?</t>
  </si>
  <si>
    <t>80000</t>
  </si>
  <si>
    <t>75000</t>
  </si>
  <si>
    <t>85000</t>
  </si>
  <si>
    <t>70000</t>
  </si>
  <si>
    <t>Как называется способность, которая делает игрока невидимым на короткое время?</t>
  </si>
  <si>
    <t>Shadow Stone</t>
  </si>
  <si>
    <t>Invisibility Cloak</t>
  </si>
  <si>
    <t>Stealth Mode</t>
  </si>
  <si>
    <t>Ghost Form</t>
  </si>
  <si>
    <t>Как называется явление, которое появляется на карте и создает порталы?</t>
  </si>
  <si>
    <t>Rift</t>
  </si>
  <si>
    <t>Portal</t>
  </si>
  <si>
    <t>Wormhole</t>
  </si>
  <si>
    <t>Vortex</t>
  </si>
  <si>
    <t>Какое максимальное количество здоровья у игрока?</t>
  </si>
  <si>
    <t>В каком сезоне было добавлено первое событие коллаборации с Marvel?</t>
  </si>
  <si>
    <t>Как называется состояние, когда игрок лежит на земле и может быть воскрешен?</t>
  </si>
  <si>
    <t>DBNO</t>
  </si>
  <si>
    <t>Knocked</t>
  </si>
  <si>
    <t>Downed</t>
  </si>
  <si>
    <t>Crawling</t>
  </si>
  <si>
    <t>Какое оружие может стрелять через стены?</t>
  </si>
  <si>
    <t>Railgun</t>
  </si>
  <si>
    <t>X-Ray Gun</t>
  </si>
  <si>
    <t>Thermal Rifle</t>
  </si>
  <si>
    <t>Laser Gun</t>
  </si>
  <si>
    <t>Как называется локация, которая заменила Loot Lake в начале Сезона 6?</t>
  </si>
  <si>
    <t>Leaky Lake</t>
  </si>
  <si>
    <t>Floating Island</t>
  </si>
  <si>
    <t>Kevin Lake</t>
  </si>
  <si>
    <t>Purple Lake</t>
  </si>
  <si>
    <t>Сколько пуль содержит обойма обычной штурмовой винтовки?</t>
  </si>
  <si>
    <t>Какой редкости соответствует синий цвет оружия?</t>
  </si>
  <si>
    <t>Common</t>
  </si>
  <si>
    <t>Как называется предмет, который позволяет игроку летать на короткое время?</t>
  </si>
  <si>
    <t>Jetpack</t>
  </si>
  <si>
    <t>Wings</t>
  </si>
  <si>
    <t>Hoverpack</t>
  </si>
  <si>
    <t>Flight Pod</t>
  </si>
  <si>
    <t>В каком сезоне была введена механика улучшения оружия?</t>
  </si>
  <si>
    <t>Сезон 5 Главы 2</t>
  </si>
  <si>
    <t>Сезон 6 Главы 2</t>
  </si>
  <si>
    <t>Сезон 3 Главы 2</t>
  </si>
  <si>
    <t>Как называется данц робота, который был популярен в первых сезонах?</t>
  </si>
  <si>
    <t>The Robot</t>
  </si>
  <si>
    <t>Mech Dance</t>
  </si>
  <si>
    <t>Cyborg Move</t>
  </si>
  <si>
    <t>Automate</t>
  </si>
  <si>
    <t>Какое максимальное количество уровней в Battle Pass?</t>
  </si>
  <si>
    <t>110</t>
  </si>
  <si>
    <t>Как называется локация, которая появилась на месте Polar Peak?</t>
  </si>
  <si>
    <t>Ice Castle</t>
  </si>
  <si>
    <t>Frozen Fortress</t>
  </si>
  <si>
    <t>Cold Palace</t>
  </si>
  <si>
    <t>Какое оружие стреляет огненными снарядами?</t>
  </si>
  <si>
    <t>Flamethrower</t>
  </si>
  <si>
    <t>Fire Gun</t>
  </si>
  <si>
    <t>Burn Blaster</t>
  </si>
  <si>
    <t>Heat Ray</t>
  </si>
  <si>
    <t>Сколько раз можно использовать Launch Pad?</t>
  </si>
  <si>
    <t>Бесконечно</t>
  </si>
  <si>
    <t>3 раза</t>
  </si>
  <si>
    <t>5 раз</t>
  </si>
  <si>
    <t>1 раз</t>
  </si>
  <si>
    <t>Как называется остров, который летал над картой в Сезоне 6?</t>
  </si>
  <si>
    <t>Flying Rock</t>
  </si>
  <si>
    <t>Hovering Land</t>
  </si>
  <si>
    <t>Sky Island</t>
  </si>
  <si>
    <t>Какой материал добывается с помощью пикаксы быстрее всего?</t>
  </si>
  <si>
    <t>Кристалл</t>
  </si>
  <si>
    <t>Какое максимальное количество боеприпасов можно носить для одного типа оружия?</t>
  </si>
  <si>
    <t>Различно для каждого типа</t>
  </si>
  <si>
    <t>Как называется событие, которое произошло в середине Сезона 7?</t>
  </si>
  <si>
    <t>Ice Storm</t>
  </si>
  <si>
    <t>Snow Event</t>
  </si>
  <si>
    <t>Blizzard Attack</t>
  </si>
  <si>
    <t>Freeze Storm</t>
  </si>
  <si>
    <t>Какое оружие может выпускать крюк с веревкой?</t>
  </si>
  <si>
    <t>Grappler</t>
  </si>
  <si>
    <t>Hook Gun</t>
  </si>
  <si>
    <t>Rope Shooter</t>
  </si>
  <si>
    <t>Cable Launcher</t>
  </si>
  <si>
    <t>В каком сезоне появилась локация Paradise Palms?</t>
  </si>
  <si>
    <t>Какой предмет можно использовать для создания временного укрытия?</t>
  </si>
  <si>
    <t>Port-a-Fort</t>
  </si>
  <si>
    <t>Quick Fort</t>
  </si>
  <si>
    <t>Instant Base</t>
  </si>
  <si>
    <t>Fast Shelter</t>
  </si>
  <si>
    <t>Как называется способность, которая позволяет строить быстрее?</t>
  </si>
  <si>
    <t>Turbo Building</t>
  </si>
  <si>
    <t>Speed Build</t>
  </si>
  <si>
    <t>Fast Construction</t>
  </si>
  <si>
    <t>Quick Build</t>
  </si>
  <si>
    <t>Какое оружие стреляет стрелами с взрывчаткой?</t>
  </si>
  <si>
    <t>Explosive Bow</t>
  </si>
  <si>
    <t>Blast Arrow</t>
  </si>
  <si>
    <t>Dynamite Bow</t>
  </si>
  <si>
    <t>Как называется место, где игроки могут покупать оружие за золото?</t>
  </si>
  <si>
    <t>Upgrade Bench</t>
  </si>
  <si>
    <t>Weapon Shop</t>
  </si>
  <si>
    <t>Gold Store</t>
  </si>
  <si>
    <t>Trading Post</t>
  </si>
  <si>
    <t>Как называется событие, где игроки сражались против гигантских роботов?</t>
  </si>
  <si>
    <t>Mech vs Monster</t>
  </si>
  <si>
    <t>Robot War</t>
  </si>
  <si>
    <t>Giant Battle</t>
  </si>
  <si>
    <t>Kaiju Fight</t>
  </si>
  <si>
    <t>Какой максимальный урон может нанести критический выстрел из помпового дробовика?</t>
  </si>
  <si>
    <t>237</t>
  </si>
  <si>
    <t>220</t>
  </si>
  <si>
    <t>В каком сезоне появился персонаж Джонси?</t>
  </si>
  <si>
    <t>С самого начала</t>
  </si>
  <si>
    <t>Сезон 2</t>
  </si>
  <si>
    <t>Сезон 1</t>
  </si>
  <si>
    <t>Как называется способность видеть врагов через стены?</t>
  </si>
  <si>
    <t>X-Ray Vision</t>
  </si>
  <si>
    <t>Wall Hack</t>
  </si>
  <si>
    <t>See Through</t>
  </si>
  <si>
    <t>Thermal Vision</t>
  </si>
  <si>
    <t>Какая локация заменила Wailing Woods?</t>
  </si>
  <si>
    <t>The Block</t>
  </si>
  <si>
    <t>New Woods</t>
  </si>
  <si>
    <t>Forest Park</t>
  </si>
  <si>
    <t>Tree Town</t>
  </si>
  <si>
    <t>Сколько очков здоровья восстанавливает большая аптечка?</t>
  </si>
  <si>
    <t>Как называется режим с зомби, который периодически возвращается?</t>
  </si>
  <si>
    <t>Fortnitemares</t>
  </si>
  <si>
    <t>Zombie Mode</t>
  </si>
  <si>
    <t>Halloween Event</t>
  </si>
  <si>
    <t>Undead Rush</t>
  </si>
  <si>
    <t>Какой персонаж носит золотой костюм и имеет способность превращать предметы в золото?</t>
  </si>
  <si>
    <t>Голден</t>
  </si>
  <si>
    <t>Король Золото</t>
  </si>
  <si>
    <t>Ауреус</t>
  </si>
  <si>
    <t>В каком сезоне была добавлена механика плавания?</t>
  </si>
  <si>
    <t>Сезон 4 Главы 1</t>
  </si>
  <si>
    <t>Сезон 2 Главы 1</t>
  </si>
  <si>
    <t>Как называется танец, основанный на популярном мем с крабом?</t>
  </si>
  <si>
    <t>Crab Rave</t>
  </si>
  <si>
    <t>Crab Walk</t>
  </si>
  <si>
    <t>Shell Shock</t>
  </si>
  <si>
    <t>Ocean Dance</t>
  </si>
  <si>
    <t>Какое оружие стреляет лазерными лучами?</t>
  </si>
  <si>
    <t>Charge Shotgun</t>
  </si>
  <si>
    <t>Laser Rifle</t>
  </si>
  <si>
    <t>Plasma Gun</t>
  </si>
  <si>
    <t>Energy Blaster</t>
  </si>
  <si>
    <t>Сколько золота нужно для полного улучшения оружия?</t>
  </si>
  <si>
    <t>Зависит от оружия</t>
  </si>
  <si>
    <t>Как называется локация, где находился большой робот?</t>
  </si>
  <si>
    <t>Robot Factory</t>
  </si>
  <si>
    <t>Mech Base</t>
  </si>
  <si>
    <t>Steel City</t>
  </si>
  <si>
    <t>В каком сезоне игроки могли летать на драконах?</t>
  </si>
  <si>
    <t>Никогда</t>
  </si>
  <si>
    <t>Какой предмет позволяет мгновенно построить металлический форт?</t>
  </si>
  <si>
    <t>Port-a-Fortress</t>
  </si>
  <si>
    <t>Mega Fort</t>
  </si>
  <si>
    <t>Steel Base</t>
  </si>
  <si>
    <t>Metal Fortress</t>
  </si>
  <si>
    <t>Как называется способность некоторых скинов менять внешний вид в игре?</t>
  </si>
  <si>
    <t>Реактивность</t>
  </si>
  <si>
    <t>Трансформация</t>
  </si>
  <si>
    <t>Эволюция</t>
  </si>
  <si>
    <t>Мутация</t>
  </si>
  <si>
    <t>Какая максимальная высота строительства в игре?</t>
  </si>
  <si>
    <t>Ограничена высотным лимитом</t>
  </si>
  <si>
    <t>20 блоков</t>
  </si>
  <si>
    <t>50 блоков</t>
  </si>
  <si>
    <t>100 блоков</t>
  </si>
  <si>
    <t>В каком сезоне появились первые боссы на карте?</t>
  </si>
  <si>
    <t>Сезон 7 Главы 2</t>
  </si>
  <si>
    <t>Как называется эмоция, где персонаж делает сальто назад?</t>
  </si>
  <si>
    <t>Backflip</t>
  </si>
  <si>
    <t>Flip Out</t>
  </si>
  <si>
    <t>Reverse Jump</t>
  </si>
  <si>
    <t>Back Roll</t>
  </si>
  <si>
    <t>Какое максимальное количество игроков может одновременно редактировать одну постройку?</t>
  </si>
  <si>
    <t>Все в команде</t>
  </si>
  <si>
    <t>В каком сезоне была добавлена возможность кататься на животных?</t>
  </si>
  <si>
    <t>Сезон 8 Главы 2</t>
  </si>
  <si>
    <t>Как называлось событие, в котором нужно было выполнять задания от Снегназовца?</t>
  </si>
  <si>
    <t>Operation Snowdown</t>
  </si>
  <si>
    <t>New Year</t>
  </si>
  <si>
    <t>Winterfest</t>
  </si>
  <si>
    <t>Gold Rush</t>
  </si>
  <si>
    <t>Какой персонаж известен своей фразой Never gonna give you up?</t>
  </si>
  <si>
    <t>Рик Эстли</t>
  </si>
  <si>
    <t>Джонси</t>
  </si>
  <si>
    <t>Пили</t>
  </si>
  <si>
    <t>Кит</t>
  </si>
  <si>
    <t>Сколько времени длится один полный цикл шторма в стандартном матче?</t>
  </si>
  <si>
    <t>Около 25 минут</t>
  </si>
  <si>
    <t>20 минут</t>
  </si>
  <si>
    <t>30 минут</t>
  </si>
  <si>
    <t>15 минут</t>
  </si>
  <si>
    <t>Как называется особый тип матча с уменьшенной картой?</t>
  </si>
  <si>
    <t>Mini Battle</t>
  </si>
  <si>
    <t>Quick Match</t>
  </si>
  <si>
    <t>Speed Game</t>
  </si>
  <si>
    <t>Hurricane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</si>
</sst>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font>
      <sz val="10"/>
      <color rgb="FF000000"/>
      <name val="Arial"/>
      <scheme val="minor"/>
    </font>
    <font>
      <b/>
      <sz val="11"/>
      <color theme="1"/>
      <name val="Arial"/>
    </font>
    <font>
      <b/>
      <sz val="11"/>
      <color rgb="FF242F26"/>
      <name val="Arial"/>
    </font>
    <font>
      <sz val="10"/>
      <color theme="1"/>
      <name val="Arial"/>
    </font>
    <font>
      <sz val="10"/>
      <color rgb="FF000000"/>
      <name val="Arial"/>
    </font>
    <font>
      <sz val="10"/>
      <color rgb="FF242F26"/>
      <name val="Arial"/>
    </font>
    <font>
      <sz val="12"/>
      <color rgb="FF212529"/>
      <name val="Quattrocento Sans"/>
    </font>
    <font>
      <sz val="10"/>
      <color theme="1"/>
      <name val="Arial"/>
    </font>
    <font>
      <sz val="12"/>
      <color rgb="FF212529"/>
      <name val="-apple-system"/>
    </font>
    <font>
      <sz val="12"/>
      <color rgb="FF212529"/>
      <name val="Arial"/>
    </font>
    <font>
      <sz val="12"/>
      <color rgb="FF242F26"/>
      <name val="Arial"/>
    </font>
    <font>
      <sz val="12"/>
      <color theme="1"/>
      <name val="FkGroteskNeue"/>
    </font>
    <font>
      <b/>
      <sz val="10"/>
      <color theme="1"/>
      <name val="Arial"/>
      <scheme val="minor"/>
    </font>
    <font>
      <sz val="10"/>
      <color theme="1"/>
      <name val="Arial"/>
      <scheme val="minor"/>
    </font>
  </fonts>
  <fills count="3">
    <fill>
      <patternFill patternType="none"/>
    </fill>
    <fill>
      <patternFill patternType="gray125"/>
    </fill>
    <fill>
      <patternFill patternType="solid">
        <fgColor rgb="FFFFFFFF"/>
        <bgColor rgb="FFFFFFFF"/>
      </patternFill>
    </fill>
  </fills>
  <borders count="3">
    <border>
      <left/>
      <right/>
      <top/>
      <bottom/>
      <diagonal/>
    </border>
    <border>
      <left style="thin">
        <color rgb="FF356854"/>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1">
    <xf numFmtId="0" fontId="0" fillId="0" borderId="0" xfId="0"/>
    <xf numFmtId="0" fontId="1" fillId="0" borderId="0" xfId="0" applyFont="1" applyAlignment="1">
      <alignment horizontal="center"/>
    </xf>
    <xf numFmtId="0" fontId="2" fillId="0" borderId="1" xfId="0" applyFont="1" applyBorder="1" applyAlignment="1">
      <alignment horizontal="center" vertical="top" wrapText="1"/>
    </xf>
    <xf numFmtId="0" fontId="3" fillId="0" borderId="2" xfId="0" applyFont="1" applyBorder="1" applyAlignment="1">
      <alignment vertical="center"/>
    </xf>
    <xf numFmtId="0" fontId="3" fillId="0" borderId="0" xfId="0" applyFont="1" applyAlignment="1">
      <alignment horizontal="left" vertical="center" wrapText="1"/>
    </xf>
    <xf numFmtId="0" fontId="4" fillId="0" borderId="2" xfId="0" applyFont="1" applyBorder="1"/>
    <xf numFmtId="0" fontId="5" fillId="0" borderId="0" xfId="0" applyFont="1" applyAlignment="1">
      <alignment horizontal="left" vertical="center" wrapText="1"/>
    </xf>
    <xf numFmtId="0" fontId="6" fillId="0" borderId="0" xfId="0" applyFont="1" applyAlignment="1">
      <alignment horizontal="left" vertical="center" wrapText="1"/>
    </xf>
    <xf numFmtId="0" fontId="7" fillId="0" borderId="2" xfId="0" applyFont="1" applyBorder="1"/>
    <xf numFmtId="0" fontId="8" fillId="2" borderId="0" xfId="0" applyFont="1" applyFill="1" applyAlignment="1">
      <alignment horizontal="left" wrapText="1"/>
    </xf>
    <xf numFmtId="0" fontId="9" fillId="2" borderId="0" xfId="0" applyFont="1" applyFill="1" applyAlignment="1">
      <alignment horizontal="left" wrapText="1"/>
    </xf>
    <xf numFmtId="0" fontId="10" fillId="0" borderId="0" xfId="0" applyFont="1"/>
    <xf numFmtId="0" fontId="11" fillId="0" borderId="0" xfId="0" applyFont="1"/>
    <xf numFmtId="0" fontId="12" fillId="0" borderId="0" xfId="0" applyFont="1" applyAlignment="1">
      <alignment horizontal="center"/>
    </xf>
    <xf numFmtId="49" fontId="12" fillId="0" borderId="0" xfId="0" applyNumberFormat="1" applyFont="1" applyAlignment="1">
      <alignment horizontal="center"/>
    </xf>
    <xf numFmtId="0" fontId="13" fillId="0" borderId="0" xfId="0" applyFont="1"/>
    <xf numFmtId="49" fontId="13" fillId="0" borderId="0" xfId="0" applyNumberFormat="1" applyFont="1"/>
    <xf numFmtId="49" fontId="13" fillId="2" borderId="0" xfId="0" applyNumberFormat="1" applyFont="1" applyFill="1"/>
    <xf numFmtId="0" fontId="13" fillId="2" borderId="0" xfId="0" applyFont="1" applyFill="1"/>
    <xf numFmtId="49" fontId="13" fillId="0" borderId="0" xfId="0" quotePrefix="1" applyNumberFormat="1" applyFont="1"/>
    <xf numFmtId="0" fontId="13" fillId="0" borderId="0" xfId="0" quotePrefix="1" applyFont="1"/>
  </cellXfs>
  <cellStyles count="1">
    <cellStyle name="Обычный"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2">
    <tableStyle name="Майнкрафт-style" pivot="0" count="2" xr9:uid="{00000000-0011-0000-FFFF-FFFF00000000}">
      <tableStyleElement type="firstRowStripe" dxfId="3"/>
      <tableStyleElement type="secondRowStripe" dxfId="2"/>
    </tableStyle>
    <tableStyle name="EN Minecraft-style"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F34" headerRowCount="0">
  <tableColumns count="6">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s>
  <tableStyleInfo name="Майнкрафт-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F34" headerRowCount="0">
  <tableColumns count="6">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s>
  <tableStyleInfo name="EN Minecraft-style" showFirstColumn="1" showLastColumn="1" showRowStripes="1" showColumnStripes="0"/>
</table>
</file>

<file path=xl/theme/theme1.xml><?xml version="1.0" encoding="utf-8"?>
<a:theme xmlns:a="http://schemas.openxmlformats.org/drawingml/2006/main" name="Sheets">
  <a:themeElements>
    <a:clrScheme name="Sheets">
      <a:dk1>
        <a:srgbClr val="242F26"/>
      </a:dk1>
      <a:lt1>
        <a:srgbClr val="FFFFFF"/>
      </a:lt1>
      <a:dk2>
        <a:srgbClr val="242F26"/>
      </a:dk2>
      <a:lt2>
        <a:srgbClr val="FFFFFF"/>
      </a:lt2>
      <a:accent1>
        <a:srgbClr val="608F66"/>
      </a:accent1>
      <a:accent2>
        <a:srgbClr val="274766"/>
      </a:accent2>
      <a:accent3>
        <a:srgbClr val="DFA398"/>
      </a:accent3>
      <a:accent4>
        <a:srgbClr val="AB9084"/>
      </a:accent4>
      <a:accent5>
        <a:srgbClr val="613942"/>
      </a:accent5>
      <a:accent6>
        <a:srgbClr val="E68CA5"/>
      </a:accent6>
      <a:hlink>
        <a:srgbClr val="608F66"/>
      </a:hlink>
      <a:folHlink>
        <a:srgbClr val="608F6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000"/>
  <sheetViews>
    <sheetView workbookViewId="0"/>
  </sheetViews>
  <sheetFormatPr defaultColWidth="12.5703125" defaultRowHeight="15.75" customHeight="1"/>
  <cols>
    <col min="1" max="1" width="85.5703125" customWidth="1"/>
    <col min="2" max="5" width="23.28515625" customWidth="1"/>
    <col min="6" max="6" width="109.7109375" customWidth="1"/>
    <col min="22" max="22" width="12.5703125" customWidth="1"/>
    <col min="23" max="23" width="16.42578125" customWidth="1"/>
  </cols>
  <sheetData>
    <row r="1" spans="1:23" ht="16.5" customHeight="1">
      <c r="A1" s="1" t="s">
        <v>0</v>
      </c>
      <c r="B1" s="1" t="s">
        <v>1</v>
      </c>
      <c r="C1" s="1" t="s">
        <v>2</v>
      </c>
      <c r="D1" s="1" t="s">
        <v>3</v>
      </c>
      <c r="E1" s="1" t="s">
        <v>4</v>
      </c>
      <c r="F1" s="2" t="s">
        <v>5</v>
      </c>
      <c r="V1" s="1"/>
      <c r="W1" s="1"/>
    </row>
    <row r="2" spans="1:23" ht="16.5" customHeight="1">
      <c r="A2" s="3" t="str">
        <f ca="1">IFERROR(__xludf.DUMMYFUNCTION("REGEXEXTRACT(F2, ""s*(.*?)\s*а\)"")"),"Как называется измерение, где обитает Эндер-дракон? ")</f>
        <v>Как называется измерение, где обитает Эндер-дракон? </v>
      </c>
      <c r="B2" s="3" t="str">
        <f ca="1">IFERROR(__xludf.DUMMYFUNCTION("REGEXREPLACE(REGEXEXTRACT(F2, ""а\)\s*(.*?)\s*б\)""), ""^\s*"", """")"),"Край ")</f>
        <v>Край </v>
      </c>
      <c r="C2" s="3" t="str">
        <f ca="1">IFERROR(__xludf.DUMMYFUNCTION("REGEXREPLACE(REGEXEXTRACT(F2, ""б\)\s*(.*?)\s*в\)""), ""^\s*"", """")"),"Ад")</f>
        <v>Ад</v>
      </c>
      <c r="D2" s="3" t="str">
        <f ca="1">IFERROR(__xludf.DUMMYFUNCTION("REGEXREPLACE(REGEXEXTRACT(F2, ""в\)\s*(.*?)\s*г\)""), ""^\s*"", """")"),"Верхний мир")</f>
        <v>Верхний мир</v>
      </c>
      <c r="E2" s="3" t="str">
        <f ca="1">IFERROR(__xludf.DUMMYFUNCTION("REGEXREPLACE(REGEXEXTRACT(F2, ""г\)\s*(.*)""), ""^\s*"", """")"),"Измерение скалка")</f>
        <v>Измерение скалка</v>
      </c>
      <c r="F2" s="4" t="s">
        <v>6</v>
      </c>
      <c r="V2" s="3"/>
      <c r="W2" s="3"/>
    </row>
    <row r="3" spans="1:23" ht="16.5" customHeight="1">
      <c r="A3" s="3" t="str">
        <f ca="1">IFERROR(__xludf.DUMMYFUNCTION("REGEXEXTRACT(F3, ""s*(.*?)\s*а\)"")"),"Где можно встретить лягушек в майнкрафте?")</f>
        <v>Где можно встретить лягушек в майнкрафте?</v>
      </c>
      <c r="B3" s="3" t="str">
        <f ca="1">IFERROR(__xludf.DUMMYFUNCTION("REGEXREPLACE(REGEXEXTRACT(F3, ""а\)\s*(.*?)\s*б\)""), ""^\s*"", """")"),"Болото")</f>
        <v>Болото</v>
      </c>
      <c r="C3" s="3" t="str">
        <f ca="1">IFERROR(__xludf.DUMMYFUNCTION("REGEXREPLACE(REGEXEXTRACT(F3, ""б\)\s*(.*?)\s*в\)""), ""^\s*"", """")"),"Джунгли")</f>
        <v>Джунгли</v>
      </c>
      <c r="D3" s="3" t="str">
        <f ca="1">IFERROR(__xludf.DUMMYFUNCTION("REGEXREPLACE(REGEXEXTRACT(F3, ""в\)\s*(.*?)\s*г\)""), ""^\s*"", """")"),"Пышные пещеры")</f>
        <v>Пышные пещеры</v>
      </c>
      <c r="E3" s="3" t="str">
        <f ca="1">IFERROR(__xludf.DUMMYFUNCTION("REGEXREPLACE(REGEXEXTRACT(F3, ""г\)\s*(.*)""), ""^\s*"", """")"),"Пустыня")</f>
        <v>Пустыня</v>
      </c>
      <c r="F3" s="4" t="s">
        <v>7</v>
      </c>
      <c r="V3" s="3"/>
      <c r="W3" s="3"/>
    </row>
    <row r="4" spans="1:23" ht="16.5" customHeight="1">
      <c r="A4" s="3" t="str">
        <f ca="1">IFERROR(__xludf.DUMMYFUNCTION("REGEXEXTRACT(F4, ""s*(.*?)\s*а\)"")"),"Как называется режим, в котором можно летать и иметь неограниченные ресурсы?")</f>
        <v>Как называется режим, в котором можно летать и иметь неограниченные ресурсы?</v>
      </c>
      <c r="B4" s="3" t="str">
        <f ca="1">IFERROR(__xludf.DUMMYFUNCTION("REGEXREPLACE(REGEXEXTRACT(F4, ""а\)\s*(.*?)\s*б\)""), ""^\s*"", """")"),"Творческий режим")</f>
        <v>Творческий режим</v>
      </c>
      <c r="C4" s="3" t="str">
        <f ca="1">IFERROR(__xludf.DUMMYFUNCTION("REGEXREPLACE(REGEXEXTRACT(F4, ""б\)\s*(.*?)\s*в\)""), ""^\s*"", """")"),"Режим выживания")</f>
        <v>Режим выживания</v>
      </c>
      <c r="D4" s="3" t="str">
        <f ca="1">IFERROR(__xludf.DUMMYFUNCTION("REGEXREPLACE(REGEXEXTRACT(F4, ""в\)\s*(.*?)\s*г\)""), ""^\s*"", """")"),"Режим приключений")</f>
        <v>Режим приключений</v>
      </c>
      <c r="E4" s="3" t="str">
        <f ca="1">IFERROR(__xludf.DUMMYFUNCTION("REGEXREPLACE(REGEXEXTRACT(F4, ""г\)\s*(.*)""), ""^\s*"", """")"),"Режим наблюдателя")</f>
        <v>Режим наблюдателя</v>
      </c>
      <c r="F4" s="4" t="s">
        <v>8</v>
      </c>
      <c r="V4" s="3"/>
      <c r="W4" s="3"/>
    </row>
    <row r="5" spans="1:23" ht="16.5" customHeight="1">
      <c r="A5" s="3" t="str">
        <f ca="1">IFERROR(__xludf.DUMMYFUNCTION("REGEXEXTRACT(F5, ""s*(.*?)\s*а\)"")"),"С какого моба выпадает медь?")</f>
        <v>С какого моба выпадает медь?</v>
      </c>
      <c r="B5" s="3" t="str">
        <f ca="1">IFERROR(__xludf.DUMMYFUNCTION("REGEXREPLACE(REGEXEXTRACT(F5, ""а\)\s*(.*?)\s*б\)""), ""^\s*"", """")"),"Утопленник")</f>
        <v>Утопленник</v>
      </c>
      <c r="C5" s="3" t="str">
        <f ca="1">IFERROR(__xludf.DUMMYFUNCTION("REGEXREPLACE(REGEXEXTRACT(F5, ""б\)\s*(.*?)\s*в\)""), ""^\s*"", """")"),"Зомби")</f>
        <v>Зомби</v>
      </c>
      <c r="D5" s="3" t="str">
        <f ca="1">IFERROR(__xludf.DUMMYFUNCTION("REGEXREPLACE(REGEXEXTRACT(F5, ""в\)\s*(.*?)\s*г\)""), ""^\s*"", """")"),"Пиглин")</f>
        <v>Пиглин</v>
      </c>
      <c r="E5" s="3" t="str">
        <f ca="1">IFERROR(__xludf.DUMMYFUNCTION("REGEXREPLACE(REGEXEXTRACT(F5, ""г\)\s*(.*)""), ""^\s*"", """")"),"Разбойник")</f>
        <v>Разбойник</v>
      </c>
      <c r="F5" s="4" t="s">
        <v>9</v>
      </c>
      <c r="V5" s="3"/>
      <c r="W5" s="5"/>
    </row>
    <row r="6" spans="1:23" ht="16.5" customHeight="1">
      <c r="A6" s="3" t="str">
        <f ca="1">IFERROR(__xludf.DUMMYFUNCTION("REGEXEXTRACT(F6, ""s*(.*?)\s*а\)"")"),"Какая руда светится в темноте, если по ней пройти или ударить?")</f>
        <v>Какая руда светится в темноте, если по ней пройти или ударить?</v>
      </c>
      <c r="B6" s="3" t="str">
        <f ca="1">IFERROR(__xludf.DUMMYFUNCTION("REGEXREPLACE(REGEXEXTRACT(F6, ""а\)\s*(.*?)\s*б\)""), ""^\s*"", """")"),"Редстоуновая руда")</f>
        <v>Редстоуновая руда</v>
      </c>
      <c r="C6" s="3" t="str">
        <f ca="1">IFERROR(__xludf.DUMMYFUNCTION("REGEXREPLACE(REGEXEXTRACT(F6, ""б\)\s*(.*?)\s*в\)""), ""^\s*"", """")"),"Железная руда")</f>
        <v>Железная руда</v>
      </c>
      <c r="D6" s="3" t="str">
        <f ca="1">IFERROR(__xludf.DUMMYFUNCTION("REGEXREPLACE(REGEXEXTRACT(F6, ""в\)\s*(.*?)\s*г\)""), ""^\s*"", """")"),"Золотая руда")</f>
        <v>Золотая руда</v>
      </c>
      <c r="E6" s="3" t="str">
        <f ca="1">IFERROR(__xludf.DUMMYFUNCTION("REGEXREPLACE(REGEXEXTRACT(F6, ""г\)\s*(.*)""), ""^\s*"", """")"),"Алмазная руда")</f>
        <v>Алмазная руда</v>
      </c>
      <c r="F6" s="4" t="s">
        <v>10</v>
      </c>
      <c r="V6" s="3"/>
      <c r="W6" s="5"/>
    </row>
    <row r="7" spans="1:23" ht="16.5" customHeight="1">
      <c r="A7" s="3" t="str">
        <f ca="1">IFERROR(__xludf.DUMMYFUNCTION("REGEXEXTRACT(F7, ""s*(.*?)\s*а\)"")"),"Чем можно починить элитры?")</f>
        <v>Чем можно починить элитры?</v>
      </c>
      <c r="B7" s="3" t="str">
        <f ca="1">IFERROR(__xludf.DUMMYFUNCTION("REGEXREPLACE(REGEXEXTRACT(F7, ""а\)\s*(.*?)\s*б\)""), ""^\s*"", """")"),"Мембраной фантома")</f>
        <v>Мембраной фантома</v>
      </c>
      <c r="C7" s="3" t="str">
        <f ca="1">IFERROR(__xludf.DUMMYFUNCTION("REGEXREPLACE(REGEXEXTRACT(F7, ""б\)\s*(.*?)\s*в\)""), ""^\s*"", """")"),"Алмазами")</f>
        <v>Алмазами</v>
      </c>
      <c r="D7" s="3" t="str">
        <f ca="1">IFERROR(__xludf.DUMMYFUNCTION("REGEXREPLACE(REGEXEXTRACT(F7, ""в\)\s*(.*?)\s*г\)""), ""^\s*"", """")"),"Железом")</f>
        <v>Железом</v>
      </c>
      <c r="E7" s="3" t="str">
        <f ca="1">IFERROR(__xludf.DUMMYFUNCTION("REGEXREPLACE(REGEXEXTRACT(F7, ""г\)\s*(.*)""), ""^\s*"", """")"),"Кожей")</f>
        <v>Кожей</v>
      </c>
      <c r="F7" s="6" t="s">
        <v>11</v>
      </c>
      <c r="V7" s="3"/>
      <c r="W7" s="5"/>
    </row>
    <row r="8" spans="1:23" ht="16.5" customHeight="1">
      <c r="A8" s="3" t="str">
        <f ca="1">IFERROR(__xludf.DUMMYFUNCTION("REGEXEXTRACT(F8, ""s*(.*?)\s*а\)"")"),"Какой моб атакует спрутов?")</f>
        <v>Какой моб атакует спрутов?</v>
      </c>
      <c r="B8" s="3" t="str">
        <f ca="1">IFERROR(__xludf.DUMMYFUNCTION("REGEXREPLACE(REGEXEXTRACT(F8, ""а\)\s*(.*?)\s*б\)""), ""^\s*"", """")"),"Страж")</f>
        <v>Страж</v>
      </c>
      <c r="C8" s="3" t="str">
        <f ca="1">IFERROR(__xludf.DUMMYFUNCTION("REGEXREPLACE(REGEXEXTRACT(F8, ""б\)\s*(.*?)\s*в\)""), ""^\s*"", """")"),"Утопленник")</f>
        <v>Утопленник</v>
      </c>
      <c r="D8" s="3" t="str">
        <f ca="1">IFERROR(__xludf.DUMMYFUNCTION("REGEXREPLACE(REGEXEXTRACT(F8, ""в\)\s*(.*?)\s*г\)""), ""^\s*"", """")"),"Дельфин")</f>
        <v>Дельфин</v>
      </c>
      <c r="E8" s="3" t="str">
        <f ca="1">IFERROR(__xludf.DUMMYFUNCTION("REGEXREPLACE(REGEXEXTRACT(F8, ""г\)\s*(.*)""), ""^\s*"", """")"),"Лосось")</f>
        <v>Лосось</v>
      </c>
      <c r="F8" s="4" t="s">
        <v>12</v>
      </c>
      <c r="V8" s="3"/>
      <c r="W8" s="5"/>
    </row>
    <row r="9" spans="1:23" ht="16.5" customHeight="1">
      <c r="A9" s="3" t="str">
        <f ca="1">IFERROR(__xludf.DUMMYFUNCTION("REGEXEXTRACT(F9, ""s*(.*?)\s*а\)"")"),"Что используется для создания портала в Нижний мир?")</f>
        <v>Что используется для создания портала в Нижний мир?</v>
      </c>
      <c r="B9" s="3" t="str">
        <f ca="1">IFERROR(__xludf.DUMMYFUNCTION("REGEXREPLACE(REGEXEXTRACT(F9, ""а\)\s*(.*?)\s*б\)""), ""^\s*"", """")"),"Обсидиан")</f>
        <v>Обсидиан</v>
      </c>
      <c r="C9" s="3" t="str">
        <f ca="1">IFERROR(__xludf.DUMMYFUNCTION("REGEXREPLACE(REGEXEXTRACT(F9, ""б\)\s*(.*?)\s*в\)""), ""^\s*"", """")"),"Камень Края")</f>
        <v>Камень Края</v>
      </c>
      <c r="D9" s="3" t="str">
        <f ca="1">IFERROR(__xludf.DUMMYFUNCTION("REGEXREPLACE(REGEXEXTRACT(F9, ""в\)\s*(.*?)\s*г\)""), ""^\s*"", """")"),"Бедрок")</f>
        <v>Бедрок</v>
      </c>
      <c r="E9" s="3" t="str">
        <f ca="1">IFERROR(__xludf.DUMMYFUNCTION("REGEXREPLACE(REGEXEXTRACT(F9, ""г\)\s*(.*)""), ""^\s*"", """")"),"Алмазные блоки")</f>
        <v>Алмазные блоки</v>
      </c>
      <c r="F9" s="4" t="s">
        <v>13</v>
      </c>
      <c r="V9" s="3"/>
      <c r="W9" s="5"/>
    </row>
    <row r="10" spans="1:23" ht="16.5" customHeight="1">
      <c r="A10" s="3" t="str">
        <f ca="1">IFERROR(__xludf.DUMMYFUNCTION("REGEXEXTRACT(F10, ""s*(.*?)\s*а\)"")"),"Выбери структуру, которая генерируется только в Нижнем мире:")</f>
        <v>Выбери структуру, которая генерируется только в Нижнем мире:</v>
      </c>
      <c r="B10" s="3" t="str">
        <f ca="1">IFERROR(__xludf.DUMMYFUNCTION("REGEXREPLACE(REGEXEXTRACT(F10, ""а\)\s*(.*?)\s*б\)""), ""^\s*"", """")"),"Адская крепость")</f>
        <v>Адская крепость</v>
      </c>
      <c r="C10" s="3" t="str">
        <f ca="1">IFERROR(__xludf.DUMMYFUNCTION("REGEXREPLACE(REGEXEXTRACT(F10, ""б\)\s*(.*?)\s*в\)""), ""^\s*"", """")"),"Лесной особняк")</f>
        <v>Лесной особняк</v>
      </c>
      <c r="D10" s="3" t="str">
        <f ca="1">IFERROR(__xludf.DUMMYFUNCTION("REGEXREPLACE(REGEXEXTRACT(F10, ""в\)\s*(.*?)\s*г\)""), ""^\s*"", """")"),"Деревня")</f>
        <v>Деревня</v>
      </c>
      <c r="E10" s="3" t="str">
        <f ca="1">IFERROR(__xludf.DUMMYFUNCTION("REGEXREPLACE(REGEXEXTRACT(F10, ""г\)\s*(.*)""), ""^\s*"", """")"),"Пирамида")</f>
        <v>Пирамида</v>
      </c>
      <c r="F10" s="4" t="s">
        <v>14</v>
      </c>
      <c r="V10" s="3"/>
      <c r="W10" s="5"/>
    </row>
    <row r="11" spans="1:23" ht="16.5" customHeight="1">
      <c r="A11" s="3" t="str">
        <f ca="1">IFERROR(__xludf.DUMMYFUNCTION("REGEXEXTRACT(F11, ""s*(.*?)\s*а\)"")"),"Как называется зачарование, которое заставляет трезубец возвращаться к игроку?")</f>
        <v>Как называется зачарование, которое заставляет трезубец возвращаться к игроку?</v>
      </c>
      <c r="B11" s="3" t="str">
        <f ca="1">IFERROR(__xludf.DUMMYFUNCTION("REGEXREPLACE(REGEXEXTRACT(F11, ""а\)\s*(.*?)\s*б\)""), ""^\s*"", """")"),"Верность")</f>
        <v>Верность</v>
      </c>
      <c r="C11" s="3" t="str">
        <f ca="1">IFERROR(__xludf.DUMMYFUNCTION("REGEXREPLACE(REGEXEXTRACT(F11, ""б\)\s*(.*?)\s*в\)""), ""^\s*"", """")"),"Тягун")</f>
        <v>Тягун</v>
      </c>
      <c r="D11" s="3" t="str">
        <f ca="1">IFERROR(__xludf.DUMMYFUNCTION("REGEXREPLACE(REGEXEXTRACT(F11, ""в\)\s*(.*?)\s*г\)""), ""^\s*"", """")"),"Пронзатель")</f>
        <v>Пронзатель</v>
      </c>
      <c r="E11" s="3" t="str">
        <f ca="1">IFERROR(__xludf.DUMMYFUNCTION("REGEXREPLACE(REGEXEXTRACT(F11, ""г\)\s*(.*)""), ""^\s*"", """")"),"Громовержец")</f>
        <v>Громовержец</v>
      </c>
      <c r="F11" s="4" t="s">
        <v>15</v>
      </c>
      <c r="V11" s="3"/>
      <c r="W11" s="5"/>
    </row>
    <row r="12" spans="1:23" ht="16.5" customHeight="1">
      <c r="A12" s="3" t="str">
        <f ca="1">IFERROR(__xludf.DUMMYFUNCTION("REGEXEXTRACT(F12, ""s*(.*?)\s*а\)"")"),"Как называется зачарование, которое увеличивает количество выпадающих из мобов предметов?")</f>
        <v>Как называется зачарование, которое увеличивает количество выпадающих из мобов предметов?</v>
      </c>
      <c r="B12" s="3" t="str">
        <f ca="1">IFERROR(__xludf.DUMMYFUNCTION("REGEXREPLACE(REGEXEXTRACT(F12, ""а\)\s*(.*?)\s*б\)""), ""^\s*"", """")"),"Добыча")</f>
        <v>Добыча</v>
      </c>
      <c r="C12" s="3" t="str">
        <f ca="1">IFERROR(__xludf.DUMMYFUNCTION("REGEXREPLACE(REGEXEXTRACT(F12, ""б\)\s*(.*?)\s*в\)""), ""^\s*"", """")"),"Удача")</f>
        <v>Удача</v>
      </c>
      <c r="D12" s="3" t="str">
        <f ca="1">IFERROR(__xludf.DUMMYFUNCTION("REGEXREPLACE(REGEXEXTRACT(F12, ""в\)\s*(.*?)\s*г\)""), ""^\s*"", """")"),"Эффективность")</f>
        <v>Эффективность</v>
      </c>
      <c r="E12" s="3" t="str">
        <f ca="1">IFERROR(__xludf.DUMMYFUNCTION("REGEXREPLACE(REGEXEXTRACT(F12, ""г\)\s*(.*)""), ""^\s*"", """")"),"Прочность")</f>
        <v>Прочность</v>
      </c>
      <c r="F12" s="4" t="s">
        <v>16</v>
      </c>
      <c r="V12" s="3"/>
      <c r="W12" s="5"/>
    </row>
    <row r="13" spans="1:23" ht="16.5" customHeight="1">
      <c r="A13" s="3" t="str">
        <f ca="1">IFERROR(__xludf.DUMMYFUNCTION("REGEXEXTRACT(F13, ""s*(.*?)\s*а\)"")"),"Какой моб атакует жителей?")</f>
        <v>Какой моб атакует жителей?</v>
      </c>
      <c r="B13" s="3" t="str">
        <f ca="1">IFERROR(__xludf.DUMMYFUNCTION("REGEXREPLACE(REGEXEXTRACT(F13, ""а\)\s*(.*?)\s*б\)""), ""^\s*"", """")"),"Зомби")</f>
        <v>Зомби</v>
      </c>
      <c r="C13" s="3" t="str">
        <f ca="1">IFERROR(__xludf.DUMMYFUNCTION("REGEXREPLACE(REGEXEXTRACT(F13, ""б\)\s*(.*?)\s*в\)""), ""^\s*"", """")"),"Пиглин")</f>
        <v>Пиглин</v>
      </c>
      <c r="D13" s="3" t="str">
        <f ca="1">IFERROR(__xludf.DUMMYFUNCTION("REGEXREPLACE(REGEXEXTRACT(F13, ""в\)\s*(.*?)\s*г\)""), ""^\s*"", """")"),"Скелет")</f>
        <v>Скелет</v>
      </c>
      <c r="E13" s="3" t="str">
        <f ca="1">IFERROR(__xludf.DUMMYFUNCTION("REGEXREPLACE(REGEXEXTRACT(F13, ""г\)\s*(.*)""), ""^\s*"", """")"),"Крипер")</f>
        <v>Крипер</v>
      </c>
      <c r="F13" s="4" t="s">
        <v>17</v>
      </c>
      <c r="V13" s="3"/>
      <c r="W13" s="5"/>
    </row>
    <row r="14" spans="1:23" ht="16.5" customHeight="1">
      <c r="A14" s="3" t="str">
        <f ca="1">IFERROR(__xludf.DUMMYFUNCTION("REGEXEXTRACT(F14, ""s*(.*?)\s*а\)"")"),"Что можно получить, убив корову огнем?")</f>
        <v>Что можно получить, убив корову огнем?</v>
      </c>
      <c r="B14" s="3" t="str">
        <f ca="1">IFERROR(__xludf.DUMMYFUNCTION("REGEXREPLACE(REGEXEXTRACT(F14, ""а\)\s*(.*?)\s*б\)""), ""^\s*"", """")"),"Жареную говядину")</f>
        <v>Жареную говядину</v>
      </c>
      <c r="C14" s="3" t="str">
        <f ca="1">IFERROR(__xludf.DUMMYFUNCTION("REGEXREPLACE(REGEXEXTRACT(F14, ""б\)\s*(.*?)\s*в\)""), ""^\s*"", """")"),"Сырую говядину")</f>
        <v>Сырую говядину</v>
      </c>
      <c r="D14" s="3" t="str">
        <f ca="1">IFERROR(__xludf.DUMMYFUNCTION("REGEXREPLACE(REGEXEXTRACT(F14, ""в\)\s*(.*?)\s*г\)""), ""^\s*"", """")"),"Кожу")</f>
        <v>Кожу</v>
      </c>
      <c r="E14" s="3" t="str">
        <f ca="1">IFERROR(__xludf.DUMMYFUNCTION("REGEXREPLACE(REGEXEXTRACT(F14, ""г\)\s*(.*)""), ""^\s*"", """")"),"Ничего")</f>
        <v>Ничего</v>
      </c>
      <c r="F14" s="4" t="s">
        <v>18</v>
      </c>
      <c r="V14" s="3"/>
      <c r="W14" s="5"/>
    </row>
    <row r="15" spans="1:23" ht="16.5" customHeight="1">
      <c r="A15" s="3" t="str">
        <f ca="1">IFERROR(__xludf.DUMMYFUNCTION("REGEXEXTRACT(F15, ""s*(.*?)\s*а\)"")"),"Какой предмет указывает на место спавна игрока?")</f>
        <v>Какой предмет указывает на место спавна игрока?</v>
      </c>
      <c r="B15" s="3" t="str">
        <f ca="1">IFERROR(__xludf.DUMMYFUNCTION("REGEXREPLACE(REGEXEXTRACT(F15, ""а\)\s*(.*?)\s*б\)""), ""^\s*"", """")"),"Компас (в обычном мире)")</f>
        <v>Компас (в обычном мире)</v>
      </c>
      <c r="C15" s="3" t="str">
        <f ca="1">IFERROR(__xludf.DUMMYFUNCTION("REGEXREPLACE(REGEXEXTRACT(F15, ""б\)\s*(.*?)\s*в\)""), ""^\s*"", """")"),"Карта")</f>
        <v>Карта</v>
      </c>
      <c r="D15" s="3" t="str">
        <f ca="1">IFERROR(__xludf.DUMMYFUNCTION("REGEXREPLACE(REGEXEXTRACT(F15, ""в\)\s*(.*?)\s*г\)""), ""^\s*"", """")"),"Часы")</f>
        <v>Часы</v>
      </c>
      <c r="E15" s="3" t="str">
        <f ca="1">IFERROR(__xludf.DUMMYFUNCTION("REGEXREPLACE(REGEXEXTRACT(F15, ""г\)\s*(.*)""), ""^\s*"", """")"),"Магнетит")</f>
        <v>Магнетит</v>
      </c>
      <c r="F15" s="4" t="s">
        <v>19</v>
      </c>
      <c r="V15" s="3"/>
      <c r="W15" s="5"/>
    </row>
    <row r="16" spans="1:23" ht="16.5" customHeight="1">
      <c r="A16" s="3" t="str">
        <f ca="1">IFERROR(__xludf.DUMMYFUNCTION("REGEXEXTRACT(F16, ""s*(.*?)\s*а\)"")"),"Что выпадает из гаста?")</f>
        <v>Что выпадает из гаста?</v>
      </c>
      <c r="B16" s="3" t="str">
        <f ca="1">IFERROR(__xludf.DUMMYFUNCTION("REGEXREPLACE(REGEXEXTRACT(F16, ""а\)\s*(.*?)\s*б\)""), ""^\s*"", """")"),"Порох и слеза гаста")</f>
        <v>Порох и слеза гаста</v>
      </c>
      <c r="C16" s="3" t="str">
        <f ca="1">IFERROR(__xludf.DUMMYFUNCTION("REGEXREPLACE(REGEXEXTRACT(F16, ""б\)\s*(.*?)\s*в\)""), ""^\s*"", """")"),"Только порох")</f>
        <v>Только порох</v>
      </c>
      <c r="D16" s="3" t="str">
        <f ca="1">IFERROR(__xludf.DUMMYFUNCTION("REGEXREPLACE(REGEXEXTRACT(F16, ""в\)\s*(.*?)\s*г\)""), ""^\s*"", """")"),"Только слеза гаста")</f>
        <v>Только слеза гаста</v>
      </c>
      <c r="E16" s="3" t="str">
        <f ca="1">IFERROR(__xludf.DUMMYFUNCTION("REGEXREPLACE(REGEXEXTRACT(F16, ""г\)\s*(.*)""), ""^\s*"", """")"),"Огненный стержень")</f>
        <v>Огненный стержень</v>
      </c>
      <c r="F16" s="4" t="s">
        <v>20</v>
      </c>
      <c r="V16" s="3"/>
      <c r="W16" s="5"/>
    </row>
    <row r="17" spans="1:23" ht="16.5" customHeight="1">
      <c r="A17" s="3" t="str">
        <f ca="1">IFERROR(__xludf.DUMMYFUNCTION("REGEXEXTRACT(F17, ""s*(.*?)\s*а\)"")"),"В каком биоме можно найти деревья акации?")</f>
        <v>В каком биоме можно найти деревья акации?</v>
      </c>
      <c r="B17" s="3" t="str">
        <f ca="1">IFERROR(__xludf.DUMMYFUNCTION("REGEXREPLACE(REGEXEXTRACT(F17, ""а\)\s*(.*?)\s*б\)""), ""^\s*"", """")"),"В саванне")</f>
        <v>В саванне</v>
      </c>
      <c r="C17" s="3" t="str">
        <f ca="1">IFERROR(__xludf.DUMMYFUNCTION("REGEXREPLACE(REGEXEXTRACT(F17, ""б\)\s*(.*?)\s*в\)""), ""^\s*"", """")"),"В джунглях")</f>
        <v>В джунглях</v>
      </c>
      <c r="D17" s="3" t="str">
        <f ca="1">IFERROR(__xludf.DUMMYFUNCTION("REGEXREPLACE(REGEXEXTRACT(F17, ""в\)\s*(.*?)\s*г\)""), ""^\s*"", """")"),"В тайге")</f>
        <v>В тайге</v>
      </c>
      <c r="E17" s="3" t="str">
        <f ca="1">IFERROR(__xludf.DUMMYFUNCTION("REGEXREPLACE(REGEXEXTRACT(F17, ""г\)\s*(.*)""), ""^\s*"", """")"),"В темном лесу")</f>
        <v>В темном лесу</v>
      </c>
      <c r="F17" s="4" t="s">
        <v>21</v>
      </c>
      <c r="V17" s="3"/>
      <c r="W17" s="5"/>
    </row>
    <row r="18" spans="1:23" ht="16.5" customHeight="1">
      <c r="A18" s="3" t="str">
        <f ca="1">IFERROR(__xludf.DUMMYFUNCTION("REGEXEXTRACT(F18, ""s*(.*?)\s*а\)"")"),"Что произойдет, если налить воду на источник лавы?")</f>
        <v>Что произойдет, если налить воду на источник лавы?</v>
      </c>
      <c r="B18" s="3" t="str">
        <f ca="1">IFERROR(__xludf.DUMMYFUNCTION("REGEXREPLACE(REGEXEXTRACT(F18, ""а\)\s*(.*?)\s*б\)""), ""^\s*"", """")"),"Образуется обсидиан")</f>
        <v>Образуется обсидиан</v>
      </c>
      <c r="C18" s="3" t="str">
        <f ca="1">IFERROR(__xludf.DUMMYFUNCTION("REGEXREPLACE(REGEXEXTRACT(F18, ""б\)\s*(.*?)\s*в\)""), ""^\s*"", """")"),"Образуется камень")</f>
        <v>Образуется камень</v>
      </c>
      <c r="D18" s="3" t="str">
        <f ca="1">IFERROR(__xludf.DUMMYFUNCTION("REGEXREPLACE(REGEXEXTRACT(F18, ""в\)\s*(.*?)\s*г\)""), ""^\s*"", """")"),"Ничего не произойдет")</f>
        <v>Ничего не произойдет</v>
      </c>
      <c r="E18" s="3" t="str">
        <f ca="1">IFERROR(__xludf.DUMMYFUNCTION("REGEXREPLACE(REGEXEXTRACT(F18, ""г\)\s*(.*)""), ""^\s*"", """")"),"Вода испарится")</f>
        <v>Вода испарится</v>
      </c>
      <c r="F18" s="4" t="s">
        <v>22</v>
      </c>
      <c r="V18" s="3"/>
      <c r="W18" s="5"/>
    </row>
    <row r="19" spans="1:23" ht="16.5" customHeight="1">
      <c r="A19" s="3" t="str">
        <f ca="1">IFERROR(__xludf.DUMMYFUNCTION("REGEXEXTRACT(F19, ""s*(.*?)\s*а\)"")"),"Что выпадает из козла?")</f>
        <v>Что выпадает из козла?</v>
      </c>
      <c r="B19" s="3" t="str">
        <f ca="1">IFERROR(__xludf.DUMMYFUNCTION("REGEXREPLACE(REGEXEXTRACT(F19, ""а\)\s*(.*?)\s*б\)""), ""^\s*"", """")"),"Козий рог (если он ударится о твердый блок)")</f>
        <v>Козий рог (если он ударится о твердый блок)</v>
      </c>
      <c r="C19" s="3" t="str">
        <f ca="1">IFERROR(__xludf.DUMMYFUNCTION("REGEXREPLACE(REGEXEXTRACT(F19, ""б\)\s*(.*?)\s*в\)""), ""^\s*"", """")"),"Мясо")</f>
        <v>Мясо</v>
      </c>
      <c r="D19" s="3" t="str">
        <f ca="1">IFERROR(__xludf.DUMMYFUNCTION("REGEXREPLACE(REGEXEXTRACT(F19, ""в\)\s*(.*?)\s*г\)""), ""^\s*"", """")"),"Шерсть")</f>
        <v>Шерсть</v>
      </c>
      <c r="E19" s="3" t="str">
        <f ca="1">IFERROR(__xludf.DUMMYFUNCTION("REGEXREPLACE(REGEXEXTRACT(F19, ""г\)\s*(.*)""), ""^\s*"", """")"),"Ничего")</f>
        <v>Ничего</v>
      </c>
      <c r="F19" s="4" t="s">
        <v>23</v>
      </c>
      <c r="V19" s="3"/>
      <c r="W19" s="5"/>
    </row>
    <row r="20" spans="1:23" ht="16.5" customHeight="1">
      <c r="A20" s="3" t="str">
        <f ca="1">IFERROR(__xludf.DUMMYFUNCTION("REGEXEXTRACT(F20, ""s*(.*?)\s*а\)"")"),"Какой блок первым делом добывает игрок в новом мире?")</f>
        <v>Какой блок первым делом добывает игрок в новом мире?</v>
      </c>
      <c r="B20" s="3" t="str">
        <f ca="1">IFERROR(__xludf.DUMMYFUNCTION("REGEXREPLACE(REGEXEXTRACT(F20, ""а\)\s*(.*?)\s*б\)""), ""^\s*"", """")"),"Дерево")</f>
        <v>Дерево</v>
      </c>
      <c r="C20" s="3" t="str">
        <f ca="1">IFERROR(__xludf.DUMMYFUNCTION("REGEXREPLACE(REGEXEXTRACT(F20, ""б\)\s*(.*?)\s*в\)""), ""^\s*"", """")"),"Железо")</f>
        <v>Железо</v>
      </c>
      <c r="D20" s="3" t="str">
        <f ca="1">IFERROR(__xludf.DUMMYFUNCTION("REGEXREPLACE(REGEXEXTRACT(F20, ""в\)\s*(.*?)\s*г\)""), ""^\s*"", """")"),"Алмаз")</f>
        <v>Алмаз</v>
      </c>
      <c r="E20" s="3" t="str">
        <f ca="1">IFERROR(__xludf.DUMMYFUNCTION("REGEXREPLACE(REGEXEXTRACT(F20, ""г\)\s*(.*)""), ""^\s*"", """")"),"Камень")</f>
        <v>Камень</v>
      </c>
      <c r="F20" s="4" t="s">
        <v>24</v>
      </c>
      <c r="V20" s="3"/>
      <c r="W20" s="5"/>
    </row>
    <row r="21" spans="1:23" ht="16.5" customHeight="1">
      <c r="A21" s="3" t="str">
        <f ca="1">IFERROR(__xludf.DUMMYFUNCTION("REGEXEXTRACT(F21, ""s*(.*?)\s*а\)"")"),"Из чего делается верстак?")</f>
        <v>Из чего делается верстак?</v>
      </c>
      <c r="B21" s="3" t="str">
        <f ca="1">IFERROR(__xludf.DUMMYFUNCTION("REGEXREPLACE(REGEXEXTRACT(F21, ""а\)\s*(.*?)\s*б\)""), ""^\s*"", """")"),"Из четырех досок")</f>
        <v>Из четырех досок</v>
      </c>
      <c r="C21" s="3" t="str">
        <f ca="1">IFERROR(__xludf.DUMMYFUNCTION("REGEXREPLACE(REGEXEXTRACT(F21, ""б\)\s*(.*?)\s*в\)""), ""^\s*"", """")"),"Из четырех блоков камня")</f>
        <v>Из четырех блоков камня</v>
      </c>
      <c r="D21" s="3" t="str">
        <f ca="1">IFERROR(__xludf.DUMMYFUNCTION("REGEXREPLACE(REGEXEXTRACT(F21, ""в\)\s*(.*?)\s*г\)""), ""^\s*"", """")"),"Из двух палок и двух досок")</f>
        <v>Из двух палок и двух досок</v>
      </c>
      <c r="E21" s="3" t="str">
        <f ca="1">IFERROR(__xludf.DUMMYFUNCTION("REGEXREPLACE(REGEXEXTRACT(F21, ""г\)\s*(.*)""), ""^\s*"", """")"),"Из четырех слитков железа")</f>
        <v>Из четырех слитков железа</v>
      </c>
      <c r="F21" s="4" t="s">
        <v>25</v>
      </c>
      <c r="V21" s="3"/>
      <c r="W21" s="5"/>
    </row>
    <row r="22" spans="1:23" ht="16.5" customHeight="1">
      <c r="A22" s="3" t="str">
        <f ca="1">IFERROR(__xludf.DUMMYFUNCTION("REGEXEXTRACT(F22, ""s*(.*?)\s*а\)"")"),"Какой блок может копировать баннеры?")</f>
        <v>Какой блок может копировать баннеры?</v>
      </c>
      <c r="B22" s="3" t="str">
        <f ca="1">IFERROR(__xludf.DUMMYFUNCTION("REGEXREPLACE(REGEXEXTRACT(F22, ""а\)\s*(.*?)\s*б\)""), ""^\s*"", """")"),"Верстак")</f>
        <v>Верстак</v>
      </c>
      <c r="C22" s="3" t="str">
        <f ca="1">IFERROR(__xludf.DUMMYFUNCTION("REGEXREPLACE(REGEXEXTRACT(F22, ""б\)\s*(.*?)\s*в\)""), ""^\s*"", """")"),"Ткацкий станок")</f>
        <v>Ткацкий станок</v>
      </c>
      <c r="D22" s="3" t="str">
        <f ca="1">IFERROR(__xludf.DUMMYFUNCTION("REGEXREPLACE(REGEXEXTRACT(F22, ""в\)\s*(.*?)\s*г\)""), ""^\s*"", """")"),"Наковальня")</f>
        <v>Наковальня</v>
      </c>
      <c r="E22" s="3" t="str">
        <f ca="1">IFERROR(__xludf.DUMMYFUNCTION("REGEXREPLACE(REGEXEXTRACT(F22, ""г\)\s*(.*)""), ""^\s*"", """")"),"Картографический стол")</f>
        <v>Картографический стол</v>
      </c>
      <c r="F22" s="4" t="s">
        <v>26</v>
      </c>
      <c r="V22" s="3"/>
      <c r="W22" s="5"/>
    </row>
    <row r="23" spans="1:23" ht="16.5" customHeight="1">
      <c r="A23" s="3" t="str">
        <f ca="1">IFERROR(__xludf.DUMMYFUNCTION("REGEXEXTRACT(F23, ""s*(.*?)\s*а\)"")"),"Что нужно для создания коптильни?")</f>
        <v>Что нужно для создания коптильни?</v>
      </c>
      <c r="B23" s="3" t="str">
        <f ca="1">IFERROR(__xludf.DUMMYFUNCTION("REGEXREPLACE(REGEXEXTRACT(F23, ""а\)\s*(.*?)\s*б\)""), ""^\s*"", """")"),"Печь и 4 бревна")</f>
        <v>Печь и 4 бревна</v>
      </c>
      <c r="C23" s="3" t="str">
        <f ca="1">IFERROR(__xludf.DUMMYFUNCTION("REGEXREPLACE(REGEXEXTRACT(F23, ""б\)\s*(.*?)\s*в\)""), ""^\s*"", """")"),"Печь и 4 доски")</f>
        <v>Печь и 4 доски</v>
      </c>
      <c r="D23" s="3" t="str">
        <f ca="1">IFERROR(__xludf.DUMMYFUNCTION("REGEXREPLACE(REGEXEXTRACT(F23, ""в\)\s*(.*?)\s*г\)""), ""^\s*"", """")"),"Верстак и 4 бревна")</f>
        <v>Верстак и 4 бревна</v>
      </c>
      <c r="E23" s="3" t="str">
        <f ca="1">IFERROR(__xludf.DUMMYFUNCTION("REGEXREPLACE(REGEXEXTRACT(F23, ""г\)\s*(.*)""), ""^\s*"", """")"),"Печь и 4 камня")</f>
        <v>Печь и 4 камня</v>
      </c>
      <c r="F23" s="4" t="s">
        <v>27</v>
      </c>
      <c r="V23" s="3"/>
      <c r="W23" s="5"/>
    </row>
    <row r="24" spans="1:23" ht="16.5" customHeight="1">
      <c r="A24" s="3" t="str">
        <f ca="1">IFERROR(__xludf.DUMMYFUNCTION("REGEXEXTRACT(F24, ""s*(.*?)\s*а\)"")"),"Что делает наблюдатель?")</f>
        <v>Что делает наблюдатель?</v>
      </c>
      <c r="B24" s="3" t="str">
        <f ca="1">IFERROR(__xludf.DUMMYFUNCTION("REGEXREPLACE(REGEXEXTRACT(F24, ""а\)\s*(.*?)\s*б\)""), ""^\s*"", """")"),"Подает редстоун-сигнал при обновлении блока перед ним")</f>
        <v>Подает редстоун-сигнал при обновлении блока перед ним</v>
      </c>
      <c r="C24" s="3" t="str">
        <f ca="1">IFERROR(__xludf.DUMMYFUNCTION("REGEXREPLACE(REGEXEXTRACT(F24, ""б\)\s*(.*?)\s*в\)""), ""^\s*"", """")"),"Издает звуковой сигнал при приближении моба")</f>
        <v>Издает звуковой сигнал при приближении моба</v>
      </c>
      <c r="D24" s="3" t="str">
        <f ca="1">IFERROR(__xludf.DUMMYFUNCTION("REGEXREPLACE(REGEXEXTRACT(F24, ""в\)\s*(.*?)\s*г\)""), ""^\s*"", """")"),"Показывает время суток")</f>
        <v>Показывает время суток</v>
      </c>
      <c r="E24" s="3" t="str">
        <f ca="1">IFERROR(__xludf.DUMMYFUNCTION("REGEXREPLACE(REGEXEXTRACT(F24, ""г\)\s*(.*)""), ""^\s*"", """")"),"Хранит предметы")</f>
        <v>Хранит предметы</v>
      </c>
      <c r="F24" s="4" t="s">
        <v>28</v>
      </c>
      <c r="V24" s="3"/>
      <c r="W24" s="5"/>
    </row>
    <row r="25" spans="1:23" ht="16.5" customHeight="1">
      <c r="A25" s="3" t="str">
        <f ca="1">IFERROR(__xludf.DUMMYFUNCTION("REGEXEXTRACT(F25, ""s*(.*?)\s*а\)"")"),"Что выпадает из древнего стража?")</f>
        <v>Что выпадает из древнего стража?</v>
      </c>
      <c r="B25" s="3" t="str">
        <f ca="1">IFERROR(__xludf.DUMMYFUNCTION("REGEXREPLACE(REGEXEXTRACT(F25, ""а\)\s*(.*?)\s*б\)""), ""^\s*"", """")"),"Всё перечисленное")</f>
        <v>Всё перечисленное</v>
      </c>
      <c r="C25" s="3" t="str">
        <f ca="1">IFERROR(__xludf.DUMMYFUNCTION("REGEXREPLACE(REGEXEXTRACT(F25, ""б\)\s*(.*?)\s*в\)""), ""^\s*"", """")"),"Призмарин")</f>
        <v>Призмарин</v>
      </c>
      <c r="D25" s="3" t="str">
        <f ca="1">IFERROR(__xludf.DUMMYFUNCTION("REGEXREPLACE(REGEXEXTRACT(F25, ""в\)\s*(.*?)\s*г\)""), ""^\s*"", """")"),"Рыба")</f>
        <v>Рыба</v>
      </c>
      <c r="E25" s="3" t="str">
        <f ca="1">IFERROR(__xludf.DUMMYFUNCTION("REGEXREPLACE(REGEXEXTRACT(F25, ""г\)\s*(.*)""), ""^\s*"", """")"),"Губка")</f>
        <v>Губка</v>
      </c>
      <c r="F25" s="4" t="s">
        <v>29</v>
      </c>
      <c r="V25" s="3"/>
      <c r="W25" s="5"/>
    </row>
    <row r="26" spans="1:23" ht="16.5" customHeight="1">
      <c r="A26" s="3" t="str">
        <f ca="1">IFERROR(__xludf.DUMMYFUNCTION("REGEXEXTRACT(F26, ""s*(.*?)\s*а\)"")"),"Что можно получить при стрижке грибной коровы?")</f>
        <v>Что можно получить при стрижке грибной коровы?</v>
      </c>
      <c r="B26" s="3" t="str">
        <f ca="1">IFERROR(__xludf.DUMMYFUNCTION("REGEXREPLACE(REGEXEXTRACT(F26, ""а\)\s*(.*?)\s*б\)""), ""^\s*"", """")"),"Красные грибы")</f>
        <v>Красные грибы</v>
      </c>
      <c r="C26" s="3" t="str">
        <f ca="1">IFERROR(__xludf.DUMMYFUNCTION("REGEXREPLACE(REGEXEXTRACT(F26, ""б\)\s*(.*?)\s*в\)""), ""^\s*"", """")"),"Шерсть")</f>
        <v>Шерсть</v>
      </c>
      <c r="D26" s="3" t="str">
        <f ca="1">IFERROR(__xludf.DUMMYFUNCTION("REGEXREPLACE(REGEXEXTRACT(F26, ""в\)\s*(.*?)\s*г\)""), ""^\s*"", """")"),"Кожу")</f>
        <v>Кожу</v>
      </c>
      <c r="E26" s="3" t="str">
        <f ca="1">IFERROR(__xludf.DUMMYFUNCTION("REGEXREPLACE(REGEXEXTRACT(F26, ""г\)\s*(.*)""), ""^\s*"", """")"),"Ничего")</f>
        <v>Ничего</v>
      </c>
      <c r="F26" s="4" t="s">
        <v>30</v>
      </c>
      <c r="V26" s="3"/>
      <c r="W26" s="5"/>
    </row>
    <row r="27" spans="1:23" ht="16.5" customHeight="1">
      <c r="A27" s="3" t="str">
        <f ca="1">IFERROR(__xludf.DUMMYFUNCTION("REGEXEXTRACT(F27, ""s*(.*?)\s*а\)"")"),"Что используется для создания удочки?")</f>
        <v>Что используется для создания удочки?</v>
      </c>
      <c r="B27" s="3" t="str">
        <f ca="1">IFERROR(__xludf.DUMMYFUNCTION("REGEXREPLACE(REGEXEXTRACT(F27, ""а\)\s*(.*?)\s*б\)""), ""^\s*"", """")"),"3 палки и 2 нити")</f>
        <v>3 палки и 2 нити</v>
      </c>
      <c r="C27" s="3" t="str">
        <f ca="1">IFERROR(__xludf.DUMMYFUNCTION("REGEXREPLACE(REGEXEXTRACT(F27, ""б\)\s*(.*?)\s*в\)""), ""^\s*"", """")"),"2 палки и 3 нити")</f>
        <v>2 палки и 3 нити</v>
      </c>
      <c r="D27" s="3" t="str">
        <f ca="1">IFERROR(__xludf.DUMMYFUNCTION("REGEXREPLACE(REGEXEXTRACT(F27, ""в\)\s*(.*?)\s*г\)""), ""^\s*"", """")"),"3 палки и 3 нити")</f>
        <v>3 палки и 3 нити</v>
      </c>
      <c r="E27" s="3" t="str">
        <f ca="1">IFERROR(__xludf.DUMMYFUNCTION("REGEXREPLACE(REGEXEXTRACT(F27, ""г\)\s*(.*)""), ""^\s*"", """")"),"2 палки и 2 нити")</f>
        <v>2 палки и 2 нити</v>
      </c>
      <c r="F27" s="4" t="s">
        <v>31</v>
      </c>
      <c r="V27" s="3"/>
      <c r="W27" s="5"/>
    </row>
    <row r="28" spans="1:23" ht="16.5" customHeight="1">
      <c r="A28" s="3" t="str">
        <f ca="1">IFERROR(__xludf.DUMMYFUNCTION("REGEXEXTRACT(F28, ""s*(.*?)\s*а\)"")"),"Какой моб является самым маленьким в игре?")</f>
        <v>Какой моб является самым маленьким в игре?</v>
      </c>
      <c r="B28" s="3" t="str">
        <f ca="1">IFERROR(__xludf.DUMMYFUNCTION("REGEXREPLACE(REGEXEXTRACT(F28, ""а\)\s*(.*?)\s*б\)""), ""^\s*"", """")"),"Детёныш черепахи")</f>
        <v>Детёныш черепахи</v>
      </c>
      <c r="C28" s="3" t="str">
        <f ca="1">IFERROR(__xludf.DUMMYFUNCTION("REGEXREPLACE(REGEXEXTRACT(F28, ""б\)\s*(.*?)\s*в\)""), ""^\s*"", """")"),"Маленький слизень")</f>
        <v>Маленький слизень</v>
      </c>
      <c r="D28" s="3" t="str">
        <f ca="1">IFERROR(__xludf.DUMMYFUNCTION("REGEXREPLACE(REGEXEXTRACT(F28, ""в\)\s*(.*?)\s*г\)""), ""^\s*"", """")"),"Цыплёнок")</f>
        <v>Цыплёнок</v>
      </c>
      <c r="E28" s="3" t="str">
        <f ca="1">IFERROR(__xludf.DUMMYFUNCTION("REGEXREPLACE(REGEXEXTRACT(F28, ""г\)\s*(.*)""), ""^\s*"", """")"),"Чешуйница края")</f>
        <v>Чешуйница края</v>
      </c>
      <c r="F28" s="4" t="s">
        <v>32</v>
      </c>
      <c r="V28" s="3"/>
      <c r="W28" s="5"/>
    </row>
    <row r="29" spans="1:23" ht="16.5" customHeight="1">
      <c r="A29" s="3" t="str">
        <f ca="1">IFERROR(__xludf.DUMMYFUNCTION("REGEXEXTRACT(F29, ""s*(.*?)\s*а\)"")"),"Что нужно бесконечного источника воды?")</f>
        <v>Что нужно бесконечного источника воды?</v>
      </c>
      <c r="B29" s="3" t="str">
        <f ca="1">IFERROR(__xludf.DUMMYFUNCTION("REGEXREPLACE(REGEXEXTRACT(F29, ""а\)\s*(.*?)\s*б\)""), ""^\s*"", """")"),"Квадрат 2х2, заполненный водой")</f>
        <v>Квадрат 2х2, заполненный водой</v>
      </c>
      <c r="C29" s="3" t="str">
        <f ca="1">IFERROR(__xludf.DUMMYFUNCTION("REGEXREPLACE(REGEXEXTRACT(F29, ""б\)\s*(.*?)\s*в\)""), ""^\s*"", """")"),"Один блок воды")</f>
        <v>Один блок воды</v>
      </c>
      <c r="D29" s="3" t="str">
        <f ca="1">IFERROR(__xludf.DUMMYFUNCTION("REGEXREPLACE(REGEXEXTRACT(F29, ""в\)\s*(.*?)\s*г\)""), ""^\s*"", """")"),"Котел с водой")</f>
        <v>Котел с водой</v>
      </c>
      <c r="E29" s="3" t="str">
        <f ca="1">IFERROR(__xludf.DUMMYFUNCTION("REGEXREPLACE(REGEXEXTRACT(F29, ""г\)\s*(.*)""), ""^\s*"", """")"),"Это невозможно")</f>
        <v>Это невозможно</v>
      </c>
      <c r="F29" s="4" t="s">
        <v>33</v>
      </c>
      <c r="V29" s="3"/>
      <c r="W29" s="5"/>
    </row>
    <row r="30" spans="1:23" ht="16.5" customHeight="1">
      <c r="A30" s="3" t="str">
        <f ca="1">IFERROR(__xludf.DUMMYFUNCTION("REGEXEXTRACT(F30, ""s*(.*?)\s*а\)"")"),"Какой моб не получает урон от падения?")</f>
        <v>Какой моб не получает урон от падения?</v>
      </c>
      <c r="B30" s="3" t="str">
        <f ca="1">IFERROR(__xludf.DUMMYFUNCTION("REGEXREPLACE(REGEXEXTRACT(F30, ""а\)\s*(.*?)\s*б\)""), ""^\s*"", """")"),"Курица")</f>
        <v>Курица</v>
      </c>
      <c r="C30" s="3" t="str">
        <f ca="1">IFERROR(__xludf.DUMMYFUNCTION("REGEXREPLACE(REGEXEXTRACT(F30, ""б\)\s*(.*?)\s*в\)""), ""^\s*"", """")"),"Скелет")</f>
        <v>Скелет</v>
      </c>
      <c r="D30" s="3" t="str">
        <f ca="1">IFERROR(__xludf.DUMMYFUNCTION("REGEXREPLACE(REGEXEXTRACT(F30, ""в\)\s*(.*?)\s*г\)""), ""^\s*"", """")"),"Зомби")</f>
        <v>Зомби</v>
      </c>
      <c r="E30" s="3" t="str">
        <f ca="1">IFERROR(__xludf.DUMMYFUNCTION("REGEXREPLACE(REGEXEXTRACT(F30, ""г\)\s*(.*)""), ""^\s*"", """")"),"Свинья")</f>
        <v>Свинья</v>
      </c>
      <c r="F30" s="4" t="s">
        <v>34</v>
      </c>
      <c r="V30" s="3"/>
      <c r="W30" s="5"/>
    </row>
    <row r="31" spans="1:23" ht="16.5" customHeight="1">
      <c r="A31" s="3" t="str">
        <f ca="1">IFERROR(__xludf.DUMMYFUNCTION("REGEXEXTRACT(F31, ""s*(.*?)\s*а\)"")"),"Что можно получить, если скрестить лошадь и осла?")</f>
        <v>Что можно получить, если скрестить лошадь и осла?</v>
      </c>
      <c r="B31" s="3" t="str">
        <f ca="1">IFERROR(__xludf.DUMMYFUNCTION("REGEXREPLACE(REGEXEXTRACT(F31, ""а\)\s*(.*?)\s*б\)""), ""^\s*"", """")"),"Мула")</f>
        <v>Мула</v>
      </c>
      <c r="C31" s="3" t="str">
        <f ca="1">IFERROR(__xludf.DUMMYFUNCTION("REGEXREPLACE(REGEXEXTRACT(F31, ""б\)\s*(.*?)\s*в\)""), ""^\s*"", """")"),"Жеребенка")</f>
        <v>Жеребенка</v>
      </c>
      <c r="D31" s="3" t="str">
        <f ca="1">IFERROR(__xludf.DUMMYFUNCTION("REGEXREPLACE(REGEXEXTRACT(F31, ""в\)\s*(.*?)\s*г\)""), ""^\s*"", """")"),"Другую лошадь")</f>
        <v>Другую лошадь</v>
      </c>
      <c r="E31" s="3" t="str">
        <f ca="1">IFERROR(__xludf.DUMMYFUNCTION("REGEXREPLACE(REGEXEXTRACT(F31, ""г\)\s*(.*)""), ""^\s*"", """")"),"Другого осла")</f>
        <v>Другого осла</v>
      </c>
      <c r="F31" s="4" t="s">
        <v>35</v>
      </c>
      <c r="V31" s="3"/>
      <c r="W31" s="5"/>
    </row>
    <row r="32" spans="1:23" ht="16.5" customHeight="1">
      <c r="A32" s="3" t="str">
        <f ca="1">IFERROR(__xludf.DUMMYFUNCTION("REGEXEXTRACT(F32, ""s*(.*?)\s*а\)"")"),"Что нужно сделать, чтобы призвать рейд разбойников?")</f>
        <v>Что нужно сделать, чтобы призвать рейд разбойников?</v>
      </c>
      <c r="B32" s="3" t="str">
        <f ca="1">IFERROR(__xludf.DUMMYFUNCTION("REGEXREPLACE(REGEXEXTRACT(F32, ""а\)\s*(.*?)\s*б\)""), ""^\s*"", """")"),"Выпить зловещую бутылку в деревне")</f>
        <v>Выпить зловещую бутылку в деревне</v>
      </c>
      <c r="C32" s="3" t="str">
        <f ca="1">IFERROR(__xludf.DUMMYFUNCTION("REGEXREPLACE(REGEXEXTRACT(F32, ""б\)\s*(.*?)\s*в\)""), ""^\s*"", """")"),"Флаг разбойников")</f>
        <v>Флаг разбойников</v>
      </c>
      <c r="D32" s="3" t="str">
        <f ca="1">IFERROR(__xludf.DUMMYFUNCTION("REGEXREPLACE(REGEXEXTRACT(F32, ""в\)\s*(.*?)\s*г\)""), ""^\s*"", """")"),"Рог")</f>
        <v>Рог</v>
      </c>
      <c r="E32" s="3" t="str">
        <f ca="1">IFERROR(__xludf.DUMMYFUNCTION("REGEXREPLACE(REGEXEXTRACT(F32, ""г\)\s*(.*)""), ""^\s*"", """")"),"Убить капитана разбойников")</f>
        <v>Убить капитана разбойников</v>
      </c>
      <c r="F32" s="4" t="s">
        <v>36</v>
      </c>
      <c r="V32" s="3"/>
      <c r="W32" s="5"/>
    </row>
    <row r="33" spans="1:23" ht="16.5" customHeight="1">
      <c r="A33" s="3" t="str">
        <f ca="1">IFERROR(__xludf.DUMMYFUNCTION("REGEXEXTRACT(F33, ""s*(.*?)\s*а\)"")"),"Какой блок используется для сушки мокрых губок?")</f>
        <v>Какой блок используется для сушки мокрых губок?</v>
      </c>
      <c r="B33" s="3" t="str">
        <f ca="1">IFERROR(__xludf.DUMMYFUNCTION("REGEXREPLACE(REGEXEXTRACT(F33, ""а\)\s*(.*?)\s*б\)""), ""^\s*"", """")"),"Печь")</f>
        <v>Печь</v>
      </c>
      <c r="C33" s="3" t="str">
        <f ca="1">IFERROR(__xludf.DUMMYFUNCTION("REGEXREPLACE(REGEXEXTRACT(F33, ""б\)\s*(.*?)\s*в\)""), ""^\s*"", """")"),"Наковальня")</f>
        <v>Наковальня</v>
      </c>
      <c r="D33" s="3" t="str">
        <f ca="1">IFERROR(__xludf.DUMMYFUNCTION("REGEXREPLACE(REGEXEXTRACT(F33, ""в\)\s*(.*?)\s*г\)""), ""^\s*"", """")"),"Верстак")</f>
        <v>Верстак</v>
      </c>
      <c r="E33" s="3" t="str">
        <f ca="1">IFERROR(__xludf.DUMMYFUNCTION("REGEXREPLACE(REGEXEXTRACT(F33, ""г\)\s*(.*)""), ""^\s*"", """")"),"Котел в Нижнем мире")</f>
        <v>Котел в Нижнем мире</v>
      </c>
      <c r="F33" s="4" t="s">
        <v>37</v>
      </c>
      <c r="V33" s="3"/>
      <c r="W33" s="5"/>
    </row>
    <row r="34" spans="1:23" ht="16.5" customHeight="1">
      <c r="A34" s="3" t="str">
        <f ca="1">IFERROR(__xludf.DUMMYFUNCTION("REGEXEXTRACT(F34, ""s*(.*?)\s*а\)"")"),"Как называется зачарование, которое позволяет стрелять несколькими стрелами из арбалета?")</f>
        <v>Как называется зачарование, которое позволяет стрелять несколькими стрелами из арбалета?</v>
      </c>
      <c r="B34" s="3" t="str">
        <f ca="1">IFERROR(__xludf.DUMMYFUNCTION("REGEXREPLACE(REGEXEXTRACT(F34, ""а\)\s*(.*?)\s*б\)""), ""^\s*"", """")"),"Тройной выстрел")</f>
        <v>Тройной выстрел</v>
      </c>
      <c r="C34" s="3" t="str">
        <f ca="1">IFERROR(__xludf.DUMMYFUNCTION("REGEXREPLACE(REGEXEXTRACT(F34, ""б\)\s*(.*?)\s*в\)""), ""^\s*"", """")"),"Сила")</f>
        <v>Сила</v>
      </c>
      <c r="D34" s="3" t="str">
        <f ca="1">IFERROR(__xludf.DUMMYFUNCTION("REGEXREPLACE(REGEXEXTRACT(F34, ""в\)\s*(.*?)\s*г\)""), ""^\s*"", """")"),"Пронзающая стрела")</f>
        <v>Пронзающая стрела</v>
      </c>
      <c r="E34" s="3" t="str">
        <f ca="1">IFERROR(__xludf.DUMMYFUNCTION("REGEXREPLACE(REGEXEXTRACT(F34, ""г\)\s*(.*)""), ""^\s*"", """")"),"Быстрая перезарядка")</f>
        <v>Быстрая перезарядка</v>
      </c>
      <c r="F34" s="4" t="s">
        <v>38</v>
      </c>
      <c r="V34" s="3"/>
      <c r="W34" s="5"/>
    </row>
    <row r="35" spans="1:23" ht="16.5" customHeight="1">
      <c r="A35" s="3" t="str">
        <f ca="1">IFERROR(__xludf.DUMMYFUNCTION("REGEXEXTRACT(F35, ""s*(.*?)\s*а\)"")"),"Какой моб боится собак и волков?")</f>
        <v>Какой моб боится собак и волков?</v>
      </c>
      <c r="B35" s="3" t="str">
        <f ca="1">IFERROR(__xludf.DUMMYFUNCTION("REGEXREPLACE(REGEXEXTRACT(F35, ""а\)\s*(.*?)\s*б\)""), ""^\s*"", """")"),"Скелет")</f>
        <v>Скелет</v>
      </c>
      <c r="C35" s="3" t="str">
        <f ca="1">IFERROR(__xludf.DUMMYFUNCTION("REGEXREPLACE(REGEXEXTRACT(F35, ""б\)\s*(.*?)\s*в\)""), ""^\s*"", """")"),"Зомби")</f>
        <v>Зомби</v>
      </c>
      <c r="D35" s="3" t="str">
        <f ca="1">IFERROR(__xludf.DUMMYFUNCTION("REGEXREPLACE(REGEXEXTRACT(F35, ""в\)\s*(.*?)\s*г\)""), ""^\s*"", """")"),"Крипер")</f>
        <v>Крипер</v>
      </c>
      <c r="E35" s="3" t="str">
        <f ca="1">IFERROR(__xludf.DUMMYFUNCTION("REGEXREPLACE(REGEXEXTRACT(F35, ""г\)\s*(.*)""), ""^\s*"", """")"),"Паук")</f>
        <v>Паук</v>
      </c>
      <c r="F35" s="7" t="s">
        <v>39</v>
      </c>
      <c r="V35" s="3"/>
      <c r="W35" s="8"/>
    </row>
    <row r="36" spans="1:23" ht="16.5" customHeight="1">
      <c r="A36" s="3" t="str">
        <f ca="1">IFERROR(__xludf.DUMMYFUNCTION("REGEXEXTRACT(F36, ""s*(.*?)\s*а\)"")"),"Что используется для создания огненного заряда?")</f>
        <v>Что используется для создания огненного заряда?</v>
      </c>
      <c r="B36" s="3" t="str">
        <f ca="1">IFERROR(__xludf.DUMMYFUNCTION("REGEXREPLACE(REGEXEXTRACT(F36, ""а\)\s*(.*?)\s*б\)""), ""^\s*"", """")"),"Порох, огненный порошок, уголь")</f>
        <v>Порох, огненный порошок, уголь</v>
      </c>
      <c r="C36" s="3" t="str">
        <f ca="1">IFERROR(__xludf.DUMMYFUNCTION("REGEXREPLACE(REGEXEXTRACT(F36, ""б\)\s*(.*?)\s*в\)""), ""^\s*"", """")"),"Порох, лавовый крем")</f>
        <v>Порох, лавовый крем</v>
      </c>
      <c r="D36" s="3" t="str">
        <f ca="1">IFERROR(__xludf.DUMMYFUNCTION("REGEXREPLACE(REGEXEXTRACT(F36, ""в\)\s*(.*?)\s*г\)""), ""^\s*"", """")"),"Слеза гаста, огненный порошок")</f>
        <v>Слеза гаста, огненный порошок</v>
      </c>
      <c r="E36" s="3" t="str">
        <f ca="1">IFERROR(__xludf.DUMMYFUNCTION("REGEXREPLACE(REGEXEXTRACT(F36, ""г\)\s*(.*)""), ""^\s*"", """")"),"Порох, огненный порошок, кременьы")</f>
        <v>Порох, огненный порошок, кременьы</v>
      </c>
      <c r="F36" s="7" t="s">
        <v>40</v>
      </c>
      <c r="V36" s="3"/>
      <c r="W36" s="8"/>
    </row>
    <row r="37" spans="1:23" ht="16.5" customHeight="1">
      <c r="A37" s="3" t="str">
        <f ca="1">IFERROR(__xludf.DUMMYFUNCTION("REGEXEXTRACT(F37, ""s*(.*?)\s*а\)"")"),"Какой блок можно использовать для проигрывания звуков мобов?")</f>
        <v>Какой блок можно использовать для проигрывания звуков мобов?</v>
      </c>
      <c r="B37" s="3" t="str">
        <f ca="1">IFERROR(__xludf.DUMMYFUNCTION("REGEXREPLACE(REGEXEXTRACT(F37, ""а\)\s*(.*?)\s*б\)""), ""^\s*"", """")"),"Нотный блок с головой моба")</f>
        <v>Нотный блок с головой моба</v>
      </c>
      <c r="C37" s="3" t="str">
        <f ca="1">IFERROR(__xludf.DUMMYFUNCTION("REGEXREPLACE(REGEXEXTRACT(F37, ""б\)\s*(.*?)\s*в\)""), ""^\s*"", """")"),"Проигрыватель")</f>
        <v>Проигрыватель</v>
      </c>
      <c r="D37" s="3" t="str">
        <f ca="1">IFERROR(__xludf.DUMMYFUNCTION("REGEXREPLACE(REGEXEXTRACT(F37, ""в\)\s*(.*?)\s*г\)""), ""^\s*"", """")"),"Нотный блок")</f>
        <v>Нотный блок</v>
      </c>
      <c r="E37" s="3" t="str">
        <f ca="1">IFERROR(__xludf.DUMMYFUNCTION("REGEXREPLACE(REGEXEXTRACT(F37, ""г\)\s*(.*)""), ""^\s*"", """")"),"Голова моба сама по себе")</f>
        <v>Голова моба сама по себе</v>
      </c>
      <c r="F37" s="7" t="s">
        <v>41</v>
      </c>
      <c r="V37" s="3"/>
      <c r="W37" s="8"/>
    </row>
    <row r="38" spans="1:23" ht="16.5" customHeight="1">
      <c r="A38" s="3" t="str">
        <f ca="1">IFERROR(__xludf.DUMMYFUNCTION("REGEXEXTRACT(F38, ""s*(.*?)\s*а\)"")"),"Где растут гигантские грибы?")</f>
        <v>Где растут гигантские грибы?</v>
      </c>
      <c r="B38" s="3" t="str">
        <f ca="1">IFERROR(__xludf.DUMMYFUNCTION("REGEXREPLACE(REGEXEXTRACT(F38, ""а\)\s*(.*?)\s*б\)""), ""^\s*"", """")"),"Грибное поле и тёмный лес")</f>
        <v>Грибное поле и тёмный лес</v>
      </c>
      <c r="C38" s="3" t="str">
        <f ca="1">IFERROR(__xludf.DUMMYFUNCTION("REGEXREPLACE(REGEXEXTRACT(F38, ""б\)\s*(.*?)\s*в\)""), ""^\s*"", """")"),"Темный лес")</f>
        <v>Темный лес</v>
      </c>
      <c r="D38" s="3" t="str">
        <f ca="1">IFERROR(__xludf.DUMMYFUNCTION("REGEXREPLACE(REGEXEXTRACT(F38, ""в\)\s*(.*?)\s*г\)""), ""^\s*"", """")"),"Грибное поле")</f>
        <v>Грибное поле</v>
      </c>
      <c r="E38" s="3" t="str">
        <f ca="1">IFERROR(__xludf.DUMMYFUNCTION("REGEXREPLACE(REGEXEXTRACT(F38, ""г\)\s*(.*)""), ""^\s*"", """")"),"Пещеры")</f>
        <v>Пещеры</v>
      </c>
      <c r="F38" s="7" t="s">
        <v>42</v>
      </c>
      <c r="V38" s="3"/>
      <c r="W38" s="8"/>
    </row>
    <row r="39" spans="1:23" ht="16.5" customHeight="1">
      <c r="A39" s="3" t="str">
        <f ca="1">IFERROR(__xludf.DUMMYFUNCTION("REGEXEXTRACT(F39, ""s*(.*?)\s*а\)"")"),"Что нужно для добычи обсидиана?")</f>
        <v>Что нужно для добычи обсидиана?</v>
      </c>
      <c r="B39" s="3" t="str">
        <f ca="1">IFERROR(__xludf.DUMMYFUNCTION("REGEXREPLACE(REGEXEXTRACT(F39, ""а\)\s*(.*?)\s*б\)""), ""^\s*"", """")"),"Алмазная кирка")</f>
        <v>Алмазная кирка</v>
      </c>
      <c r="C39" s="3" t="str">
        <f ca="1">IFERROR(__xludf.DUMMYFUNCTION("REGEXREPLACE(REGEXEXTRACT(F39, ""б\)\s*(.*?)\s*в\)""), ""^\s*"", """")"),"Железная кирка")</f>
        <v>Железная кирка</v>
      </c>
      <c r="D39" s="3" t="str">
        <f ca="1">IFERROR(__xludf.DUMMYFUNCTION("REGEXREPLACE(REGEXEXTRACT(F39, ""в\)\s*(.*?)\s*г\)""), ""^\s*"", """")"),"Золотая кирка")</f>
        <v>Золотая кирка</v>
      </c>
      <c r="E39" s="3" t="str">
        <f ca="1">IFERROR(__xludf.DUMMYFUNCTION("REGEXREPLACE(REGEXEXTRACT(F39, ""г\)\s*(.*)""), ""^\s*"", """")"),"Каменная кирка")</f>
        <v>Каменная кирка</v>
      </c>
      <c r="F39" s="7" t="s">
        <v>43</v>
      </c>
      <c r="V39" s="3"/>
      <c r="W39" s="8"/>
    </row>
    <row r="40" spans="1:23" ht="16.5" customHeight="1">
      <c r="A40" s="3" t="str">
        <f ca="1">IFERROR(__xludf.DUMMYFUNCTION("REGEXEXTRACT(F40, ""s*(.*?)\s*а\)"")"),"Где чаще всего можно найти изумруды?")</f>
        <v>Где чаще всего можно найти изумруды?</v>
      </c>
      <c r="B40" s="3" t="str">
        <f ca="1">IFERROR(__xludf.DUMMYFUNCTION("REGEXREPLACE(REGEXEXTRACT(F40, ""а\)\s*(.*?)\s*б\)""), ""^\s*"", """")"),"В горах")</f>
        <v>В горах</v>
      </c>
      <c r="C40" s="3" t="str">
        <f ca="1">IFERROR(__xludf.DUMMYFUNCTION("REGEXREPLACE(REGEXEXTRACT(F40, ""б\)\s*(.*?)\s*в\)""), ""^\s*"", """")"),"В океанах")</f>
        <v>В океанах</v>
      </c>
      <c r="D40" s="3" t="str">
        <f ca="1">IFERROR(__xludf.DUMMYFUNCTION("REGEXREPLACE(REGEXEXTRACT(F40, ""в\)\s*(.*?)\s*г\)""), ""^\s*"", """")"),"В лесах")</f>
        <v>В лесах</v>
      </c>
      <c r="E40" s="3" t="str">
        <f ca="1">IFERROR(__xludf.DUMMYFUNCTION("REGEXREPLACE(REGEXEXTRACT(F40, ""г\)\s*(.*)""), ""^\s*"", """")"),"Везде")</f>
        <v>Везде</v>
      </c>
      <c r="F40" s="7" t="s">
        <v>44</v>
      </c>
      <c r="V40" s="3"/>
      <c r="W40" s="8"/>
    </row>
    <row r="41" spans="1:23" ht="16.5" customHeight="1">
      <c r="A41" s="3" t="str">
        <f ca="1">IFERROR(__xludf.DUMMYFUNCTION("REGEXEXTRACT(F41, ""s*(.*?)\s*а\)"")"),"Какой минерал самый прочный в игре для создания инструментов и брони?")</f>
        <v>Какой минерал самый прочный в игре для создания инструментов и брони?</v>
      </c>
      <c r="B41" s="3" t="str">
        <f ca="1">IFERROR(__xludf.DUMMYFUNCTION("REGEXREPLACE(REGEXEXTRACT(F41, ""а\)\s*(.*?)\s*б\)""), ""^\s*"", """")"),"Незерит")</f>
        <v>Незерит</v>
      </c>
      <c r="C41" s="3" t="str">
        <f ca="1">IFERROR(__xludf.DUMMYFUNCTION("REGEXREPLACE(REGEXEXTRACT(F41, ""б\)\s*(.*?)\s*в\)""), ""^\s*"", """")"),"Золото")</f>
        <v>Золото</v>
      </c>
      <c r="D41" s="3" t="str">
        <f ca="1">IFERROR(__xludf.DUMMYFUNCTION("REGEXREPLACE(REGEXEXTRACT(F41, ""в\)\s*(.*?)\s*г\)""), ""^\s*"", """")"),"Железо")</f>
        <v>Железо</v>
      </c>
      <c r="E41" s="3" t="str">
        <f ca="1">IFERROR(__xludf.DUMMYFUNCTION("REGEXREPLACE(REGEXEXTRACT(F41, ""г\)\s*(.*)""), ""^\s*"", """")"),"Алмаз")</f>
        <v>Алмаз</v>
      </c>
      <c r="F41" s="7" t="s">
        <v>45</v>
      </c>
      <c r="V41" s="3"/>
      <c r="W41" s="8"/>
    </row>
    <row r="42" spans="1:23" ht="16.5" customHeight="1">
      <c r="A42" s="3" t="str">
        <f ca="1">IFERROR(__xludf.DUMMYFUNCTION("REGEXEXTRACT(F42, ""s*(.*?)\s*а\)"")"),"На каком мобе могут летать до 4 игроков?")</f>
        <v>На каком мобе могут летать до 4 игроков?</v>
      </c>
      <c r="B42" s="3" t="str">
        <f ca="1">IFERROR(__xludf.DUMMYFUNCTION("REGEXREPLACE(REGEXEXTRACT(F42, ""а\)\s*(.*?)\s*б\)""), ""^\s*"", """")"),"Счастливый гаст")</f>
        <v>Счастливый гаст</v>
      </c>
      <c r="C42" s="3" t="str">
        <f ca="1">IFERROR(__xludf.DUMMYFUNCTION("REGEXREPLACE(REGEXEXTRACT(F42, ""б\)\s*(.*?)\s*в\)""), ""^\s*"", """")"),"Блейз")</f>
        <v>Блейз</v>
      </c>
      <c r="D42" s="3" t="str">
        <f ca="1">IFERROR(__xludf.DUMMYFUNCTION("REGEXREPLACE(REGEXEXTRACT(F42, ""в\)\s*(.*?)\s*г\)""), ""^\s*"", """")"),"Обычный гаст")</f>
        <v>Обычный гаст</v>
      </c>
      <c r="E42" s="3" t="str">
        <f ca="1">IFERROR(__xludf.DUMMYFUNCTION("REGEXREPLACE(REGEXEXTRACT(F42, ""г\)\s*(.*)""), ""^\s*"", """")"),"Такого моба нет")</f>
        <v>Такого моба нет</v>
      </c>
      <c r="F42" s="7" t="s">
        <v>46</v>
      </c>
      <c r="V42" s="3"/>
      <c r="W42" s="8"/>
    </row>
    <row r="43" spans="1:23" ht="16.5" customHeight="1">
      <c r="A43" s="3" t="str">
        <f ca="1">IFERROR(__xludf.DUMMYFUNCTION("REGEXEXTRACT(F43, ""s*(.*?)\s*а\)"")"),"Какой моб боится кошек?")</f>
        <v>Какой моб боится кошек?</v>
      </c>
      <c r="B43" s="3" t="str">
        <f ca="1">IFERROR(__xludf.DUMMYFUNCTION("REGEXREPLACE(REGEXEXTRACT(F43, ""а\)\s*(.*?)\s*б\)""), ""^\s*"", """")"),"Крипер")</f>
        <v>Крипер</v>
      </c>
      <c r="C43" s="3" t="str">
        <f ca="1">IFERROR(__xludf.DUMMYFUNCTION("REGEXREPLACE(REGEXEXTRACT(F43, ""б\)\s*(.*?)\s*в\)""), ""^\s*"", """")"),"Свинья")</f>
        <v>Свинья</v>
      </c>
      <c r="D43" s="3" t="str">
        <f ca="1">IFERROR(__xludf.DUMMYFUNCTION("REGEXREPLACE(REGEXEXTRACT(F43, ""в\)\s*(.*?)\s*г\)""), ""^\s*"", """")"),"Зомби")</f>
        <v>Зомби</v>
      </c>
      <c r="E43" s="3" t="str">
        <f ca="1">IFERROR(__xludf.DUMMYFUNCTION("REGEXREPLACE(REGEXEXTRACT(F43, ""г\)\s*(.*)""), ""^\s*"", """")"),"Корова")</f>
        <v>Корова</v>
      </c>
      <c r="F43" s="7" t="s">
        <v>47</v>
      </c>
      <c r="V43" s="3"/>
      <c r="W43" s="8"/>
    </row>
    <row r="44" spans="1:23" ht="16.5" customHeight="1">
      <c r="A44" s="3" t="str">
        <f ca="1">IFERROR(__xludf.DUMMYFUNCTION("REGEXEXTRACT(F44, ""s*(.*?)\s*а\)"")"),"Что делает Эндермен, если посмотреть ему в глаза?")</f>
        <v>Что делает Эндермен, если посмотреть ему в глаза?</v>
      </c>
      <c r="B44" s="3" t="str">
        <f ca="1">IFERROR(__xludf.DUMMYFUNCTION("REGEXREPLACE(REGEXEXTRACT(F44, ""а\)\s*(.*?)\s*б\)""), ""^\s*"", """")"),"Становится агрессивным и атакует")</f>
        <v>Становится агрессивным и атакует</v>
      </c>
      <c r="C44" s="3" t="str">
        <f ca="1">IFERROR(__xludf.DUMMYFUNCTION("REGEXREPLACE(REGEXEXTRACT(F44, ""б\)\s*(.*?)\s*в\)""), ""^\s*"", """")"),"Ничего")</f>
        <v>Ничего</v>
      </c>
      <c r="D44" s="3" t="str">
        <f ca="1">IFERROR(__xludf.DUMMYFUNCTION("REGEXREPLACE(REGEXEXTRACT(F44, ""в\)\s*(.*?)\s*г\)""), ""^\s*"", """")"),"Телепортируется")</f>
        <v>Телепортируется</v>
      </c>
      <c r="E44" s="3" t="str">
        <f ca="1">IFERROR(__xludf.DUMMYFUNCTION("REGEXREPLACE(REGEXEXTRACT(F44, ""г\)\s*(.*)""), ""^\s*"", """")"),"Издает громкий звук")</f>
        <v>Издает громкий звук</v>
      </c>
      <c r="F44" s="7" t="s">
        <v>48</v>
      </c>
      <c r="V44" s="3"/>
      <c r="W44" s="8"/>
    </row>
    <row r="45" spans="1:23" ht="16.5" customHeight="1">
      <c r="A45" s="3" t="str">
        <f ca="1">IFERROR(__xludf.DUMMYFUNCTION("REGEXEXTRACT(F45, ""s*(.*?)\s*а\)"")"),"Как называется враждебный моб, летающий в небе и атакующий не спавших игроков?")</f>
        <v>Как называется враждебный моб, летающий в небе и атакующий не спавших игроков?</v>
      </c>
      <c r="B45" s="3" t="str">
        <f ca="1">IFERROR(__xludf.DUMMYFUNCTION("REGEXREPLACE(REGEXEXTRACT(F45, ""а\)\s*(.*?)\s*б\)""), ""^\s*"", """")"),"Фантом")</f>
        <v>Фантом</v>
      </c>
      <c r="C45" s="3" t="str">
        <f ca="1">IFERROR(__xludf.DUMMYFUNCTION("REGEXREPLACE(REGEXEXTRACT(F45, ""б\)\s*(.*?)\s*в\)""), ""^\s*"", """")"),"Летучая мышь")</f>
        <v>Летучая мышь</v>
      </c>
      <c r="D45" s="3" t="str">
        <f ca="1">IFERROR(__xludf.DUMMYFUNCTION("REGEXREPLACE(REGEXEXTRACT(F45, ""в\)\s*(.*?)\s*г\)""), ""^\s*"", """")"),"Гаст")</f>
        <v>Гаст</v>
      </c>
      <c r="E45" s="3" t="str">
        <f ca="1">IFERROR(__xludf.DUMMYFUNCTION("REGEXREPLACE(REGEXEXTRACT(F45, ""г\)\s*(.*)""), ""^\s*"", """")"),"Ифрит")</f>
        <v>Ифрит</v>
      </c>
      <c r="F45" s="7" t="s">
        <v>49</v>
      </c>
      <c r="V45" s="3"/>
      <c r="W45" s="8"/>
    </row>
    <row r="46" spans="1:23" ht="16.5" customHeight="1">
      <c r="A46" s="3" t="str">
        <f ca="1">IFERROR(__xludf.DUMMYFUNCTION("REGEXEXTRACT(F46, ""s*(.*?)\s*а\)"")"),"Какой моб является пассивным и дает молоко?")</f>
        <v>Какой моб является пассивным и дает молоко?</v>
      </c>
      <c r="B46" s="3" t="str">
        <f ca="1">IFERROR(__xludf.DUMMYFUNCTION("REGEXREPLACE(REGEXEXTRACT(F46, ""а\)\s*(.*?)\s*б\)""), ""^\s*"", """")"),"Корова")</f>
        <v>Корова</v>
      </c>
      <c r="C46" s="3" t="str">
        <f ca="1">IFERROR(__xludf.DUMMYFUNCTION("REGEXREPLACE(REGEXEXTRACT(F46, ""б\)\s*(.*?)\s*в\)""), ""^\s*"", """")"),"Свинья")</f>
        <v>Свинья</v>
      </c>
      <c r="D46" s="3" t="str">
        <f ca="1">IFERROR(__xludf.DUMMYFUNCTION("REGEXREPLACE(REGEXEXTRACT(F46, ""в\)\s*(.*?)\s*г\)""), ""^\s*"", """")"),"Курица")</f>
        <v>Курица</v>
      </c>
      <c r="E46" s="3" t="str">
        <f ca="1">IFERROR(__xludf.DUMMYFUNCTION("REGEXREPLACE(REGEXEXTRACT(F46, ""г\)\s*(.*)""), ""^\s*"", """")"),"Овца")</f>
        <v>Овца</v>
      </c>
      <c r="F46" s="7" t="s">
        <v>50</v>
      </c>
      <c r="V46" s="3"/>
      <c r="W46" s="8"/>
    </row>
    <row r="47" spans="1:23" ht="16.5" customHeight="1">
      <c r="A47" s="3" t="str">
        <f ca="1">IFERROR(__xludf.DUMMYFUNCTION("REGEXEXTRACT(F47, ""s*(.*?)\s*а\)"")"),"Какой моб атакует со спины, когда на него не смотрят?")</f>
        <v>Какой моб атакует со спины, когда на него не смотрят?</v>
      </c>
      <c r="B47" s="3" t="str">
        <f ca="1">IFERROR(__xludf.DUMMYFUNCTION("REGEXREPLACE(REGEXEXTRACT(F47, ""а\)\s*(.*?)\s*б\)""), ""^\s*"", """")"),"Скрипун")</f>
        <v>Скрипун</v>
      </c>
      <c r="C47" s="3" t="str">
        <f ca="1">IFERROR(__xludf.DUMMYFUNCTION("REGEXREPLACE(REGEXEXTRACT(F47, ""б\)\s*(.*?)\s*в\)""), ""^\s*"", """")"),"Древний страж")</f>
        <v>Древний страж</v>
      </c>
      <c r="D47" s="3" t="str">
        <f ca="1">IFERROR(__xludf.DUMMYFUNCTION("REGEXREPLACE(REGEXEXTRACT(F47, ""в\)\s*(.*?)\s*г\)""), ""^\s*"", """")"),"Хранитель")</f>
        <v>Хранитель</v>
      </c>
      <c r="E47" s="3" t="str">
        <f ca="1">IFERROR(__xludf.DUMMYFUNCTION("REGEXREPLACE(REGEXEXTRACT(F47, ""г\)\s*(.*)""), ""^\s*"", """")"),"Гаст")</f>
        <v>Гаст</v>
      </c>
      <c r="F47" s="7" t="s">
        <v>51</v>
      </c>
      <c r="V47" s="3"/>
      <c r="W47" s="8"/>
    </row>
    <row r="48" spans="1:23" ht="16.5" customHeight="1">
      <c r="A48" s="3" t="str">
        <f ca="1">IFERROR(__xludf.DUMMYFUNCTION("REGEXEXTRACT(F48, ""s*(.*?)\s*а\)"")"),"Что делает медный голем?")</f>
        <v>Что делает медный голем?</v>
      </c>
      <c r="B48" s="3" t="str">
        <f ca="1">IFERROR(__xludf.DUMMYFUNCTION("REGEXREPLACE(REGEXEXTRACT(F48, ""а\)\s*(.*?)\s*б\)""), ""^\s*"", """")"),"Сортирует предметы по сундукам")</f>
        <v>Сортирует предметы по сундукам</v>
      </c>
      <c r="C48" s="3" t="str">
        <f ca="1">IFERROR(__xludf.DUMMYFUNCTION("REGEXREPLACE(REGEXEXTRACT(F48, ""б\)\s*(.*?)\s*в\)""), ""^\s*"", """")"),"Случайно нажимает на кнопки")</f>
        <v>Случайно нажимает на кнопки</v>
      </c>
      <c r="D48" s="3" t="str">
        <f ca="1">IFERROR(__xludf.DUMMYFUNCTION("REGEXREPLACE(REGEXEXTRACT(F48, ""в\)\s*(.*?)\s*г\)""), ""^\s*"", """")"),"Держит предметы в руках")</f>
        <v>Держит предметы в руках</v>
      </c>
      <c r="E48" s="3" t="str">
        <f ca="1">IFERROR(__xludf.DUMMYFUNCTION("REGEXREPLACE(REGEXEXTRACT(F48, ""г\)\s*(.*)""), ""^\s*"", """")"),"Ничего")</f>
        <v>Ничего</v>
      </c>
      <c r="F48" s="7" t="s">
        <v>52</v>
      </c>
      <c r="V48" s="3"/>
      <c r="W48" s="8"/>
    </row>
    <row r="49" spans="1:23" ht="16.5" customHeight="1">
      <c r="A49" s="3" t="str">
        <f ca="1">IFERROR(__xludf.DUMMYFUNCTION("REGEXEXTRACT(F49, ""s*(.*?)\s*а\)"")"),"Что выпадает из зомби-наездника?")</f>
        <v>Что выпадает из зомби-наездника?</v>
      </c>
      <c r="B49" s="3" t="str">
        <f ca="1">IFERROR(__xludf.DUMMYFUNCTION("REGEXREPLACE(REGEXEXTRACT(F49, ""а\)\s*(.*?)\s*б\)""), ""^\s*"", """")"),"Особая пластинка")</f>
        <v>Особая пластинка</v>
      </c>
      <c r="C49" s="3" t="str">
        <f ca="1">IFERROR(__xludf.DUMMYFUNCTION("REGEXREPLACE(REGEXEXTRACT(F49, ""б\)\s*(.*?)\s*в\)""), ""^\s*"", """")"),"Перья")</f>
        <v>Перья</v>
      </c>
      <c r="D49" s="3" t="str">
        <f ca="1">IFERROR(__xludf.DUMMYFUNCTION("REGEXREPLACE(REGEXEXTRACT(F49, ""в\)\s*(.*?)\s*г\)""), ""^\s*"", """")"),"Кости")</f>
        <v>Кости</v>
      </c>
      <c r="E49" s="3" t="str">
        <f ca="1">IFERROR(__xludf.DUMMYFUNCTION("REGEXREPLACE(REGEXEXTRACT(F49, ""г\)\s*(.*)""), ""^\s*"", """")"),"Порох")</f>
        <v>Порох</v>
      </c>
      <c r="F49" s="7" t="s">
        <v>53</v>
      </c>
      <c r="V49" s="3"/>
      <c r="W49" s="8"/>
    </row>
    <row r="50" spans="1:23" ht="16.5" customHeight="1">
      <c r="A50" s="3" t="str">
        <f ca="1">IFERROR(__xludf.DUMMYFUNCTION("REGEXEXTRACT(F50, ""s*(.*?)\s*а\)"")"),"Какой предмет используется для переплавки руды?")</f>
        <v>Какой предмет используется для переплавки руды?</v>
      </c>
      <c r="B50" s="3" t="str">
        <f ca="1">IFERROR(__xludf.DUMMYFUNCTION("REGEXREPLACE(REGEXEXTRACT(F50, ""а\)\s*(.*?)\s*б\)""), ""^\s*"", """")"),"Печь")</f>
        <v>Печь</v>
      </c>
      <c r="C50" s="3" t="str">
        <f ca="1">IFERROR(__xludf.DUMMYFUNCTION("REGEXREPLACE(REGEXEXTRACT(F50, ""б\)\s*(.*?)\s*в\)""), ""^\s*"", """")"),"Сундук")</f>
        <v>Сундук</v>
      </c>
      <c r="D50" s="3" t="str">
        <f ca="1">IFERROR(__xludf.DUMMYFUNCTION("REGEXREPLACE(REGEXEXTRACT(F50, ""в\)\s*(.*?)\s*г\)""), ""^\s*"", """")"),"Верстак")</f>
        <v>Верстак</v>
      </c>
      <c r="E50" s="3" t="str">
        <f ca="1">IFERROR(__xludf.DUMMYFUNCTION("REGEXREPLACE(REGEXEXTRACT(F50, ""г\)\s*(.*)""), ""^\s*"", """")"),"Наковальня")</f>
        <v>Наковальня</v>
      </c>
      <c r="F50" s="7" t="s">
        <v>54</v>
      </c>
      <c r="V50" s="3"/>
      <c r="W50" s="8"/>
    </row>
    <row r="51" spans="1:23" ht="16.5" customHeight="1">
      <c r="A51" s="3" t="str">
        <f ca="1">IFERROR(__xludf.DUMMYFUNCTION("REGEXEXTRACT(F51, ""s*(.*?)\s*а\)"")"),"Как называется основной мир, в котором игрок появляется?")</f>
        <v>Как называется основной мир, в котором игрок появляется?</v>
      </c>
      <c r="B51" s="3" t="str">
        <f ca="1">IFERROR(__xludf.DUMMYFUNCTION("REGEXREPLACE(REGEXEXTRACT(F51, ""а\)\s*(.*?)\s*б\)""), ""^\s*"", """")"),"Верхний мир")</f>
        <v>Верхний мир</v>
      </c>
      <c r="C51" s="3" t="str">
        <f ca="1">IFERROR(__xludf.DUMMYFUNCTION("REGEXREPLACE(REGEXEXTRACT(F51, ""б\)\s*(.*?)\s*в\)""), ""^\s*"", """")"),"Нижний мир")</f>
        <v>Нижний мир</v>
      </c>
      <c r="D51" s="3" t="str">
        <f ca="1">IFERROR(__xludf.DUMMYFUNCTION("REGEXREPLACE(REGEXEXTRACT(F51, ""в\)\s*(.*?)\s*г\)""), ""^\s*"", """")"),"Край")</f>
        <v>Край</v>
      </c>
      <c r="E51" s="3" t="str">
        <f ca="1">IFERROR(__xludf.DUMMYFUNCTION("REGEXREPLACE(REGEXEXTRACT(F51, ""г\)\s*(.*)""), ""^\s*"", """")"),"Небесный мир")</f>
        <v>Небесный мир</v>
      </c>
      <c r="F51" s="7" t="s">
        <v>55</v>
      </c>
      <c r="V51" s="3"/>
      <c r="W51" s="8"/>
    </row>
    <row r="52" spans="1:23" ht="16.5" customHeight="1">
      <c r="A52" s="3" t="str">
        <f ca="1">IFERROR(__xludf.DUMMYFUNCTION("REGEXEXTRACT(F52, ""s*(.*?)\s*а\)"")"),"Какой биом состоит в основном из песка и кактусов?")</f>
        <v>Какой биом состоит в основном из песка и кактусов?</v>
      </c>
      <c r="B52" s="3" t="str">
        <f ca="1">IFERROR(__xludf.DUMMYFUNCTION("REGEXREPLACE(REGEXEXTRACT(F52, ""а\)\s*(.*?)\s*б\)""), ""^\s*"", """")"),"Пустыня")</f>
        <v>Пустыня</v>
      </c>
      <c r="C52" s="3" t="str">
        <f ca="1">IFERROR(__xludf.DUMMYFUNCTION("REGEXREPLACE(REGEXEXTRACT(F52, ""б\)\s*(.*?)\s*в\)""), ""^\s*"", """")"),"Лес")</f>
        <v>Лес</v>
      </c>
      <c r="D52" s="3" t="str">
        <f ca="1">IFERROR(__xludf.DUMMYFUNCTION("REGEXREPLACE(REGEXEXTRACT(F52, ""в\)\s*(.*?)\s*г\)""), ""^\s*"", """")"),"Равнина")</f>
        <v>Равнина</v>
      </c>
      <c r="E52" s="3" t="str">
        <f ca="1">IFERROR(__xludf.DUMMYFUNCTION("REGEXREPLACE(REGEXEXTRACT(F52, ""г\)\s*(.*)""), ""^\s*"", """")"),"Джунгли")</f>
        <v>Джунгли</v>
      </c>
      <c r="F52" s="7" t="s">
        <v>56</v>
      </c>
      <c r="V52" s="3"/>
      <c r="W52" s="8"/>
    </row>
    <row r="53" spans="1:23" ht="16.5" customHeight="1">
      <c r="A53" s="3" t="str">
        <f ca="1">IFERROR(__xludf.DUMMYFUNCTION("REGEXEXTRACT(F53, ""s*(.*?)\s*а\)"")"),"Из чего делается компостер?")</f>
        <v>Из чего делается компостер?</v>
      </c>
      <c r="B53" s="3" t="str">
        <f ca="1">IFERROR(__xludf.DUMMYFUNCTION("REGEXREPLACE(REGEXEXTRACT(F53, ""а\)\s*(.*?)\s*б\)""), ""^\s*"", """")"),"Из 7 полублоков")</f>
        <v>Из 7 полублоков</v>
      </c>
      <c r="C53" s="3" t="str">
        <f ca="1">IFERROR(__xludf.DUMMYFUNCTION("REGEXREPLACE(REGEXEXTRACT(F53, ""б\)\s*(.*?)\s*в\)""), ""^\s*"", """")"),"Из 7 досок")</f>
        <v>Из 7 досок</v>
      </c>
      <c r="D53" s="3" t="str">
        <f ca="1">IFERROR(__xludf.DUMMYFUNCTION("REGEXREPLACE(REGEXEXTRACT(F53, ""в\)\s*(.*?)\s*г\)""), ""^\s*"", """")"),"Из 7 палок")</f>
        <v>Из 7 палок</v>
      </c>
      <c r="E53" s="3" t="str">
        <f ca="1">IFERROR(__xludf.DUMMYFUNCTION("REGEXREPLACE(REGEXEXTRACT(F53, ""г\)\s*(.*)""), ""^\s*"", """")"),"Из 7 бревен")</f>
        <v>Из 7 бревен</v>
      </c>
      <c r="F53" s="7" t="s">
        <v>57</v>
      </c>
      <c r="V53" s="3"/>
      <c r="W53" s="8"/>
    </row>
    <row r="54" spans="1:23" ht="16.5" customHeight="1">
      <c r="A54" s="3" t="str">
        <f ca="1">IFERROR(__xludf.DUMMYFUNCTION("REGEXEXTRACT(F54, ""s*(.*?)\s*а\)"")"),"Какие семена может выкопать нюхач?")</f>
        <v>Какие семена может выкопать нюхач?</v>
      </c>
      <c r="B54" s="3" t="str">
        <f ca="1">IFERROR(__xludf.DUMMYFUNCTION("REGEXREPLACE(REGEXEXTRACT(F54, ""а\)\s*(.*?)\s*б\)""), ""^\s*"", """")"),"Семена факельника и кувшинницы")</f>
        <v>Семена факельника и кувшинницы</v>
      </c>
      <c r="C54" s="3" t="str">
        <f ca="1">IFERROR(__xludf.DUMMYFUNCTION("REGEXREPLACE(REGEXEXTRACT(F54, ""б\)\s*(.*?)\s*в\)""), ""^\s*"", """")"),"Семена пшеницы")</f>
        <v>Семена пшеницы</v>
      </c>
      <c r="D54" s="3" t="str">
        <f ca="1">IFERROR(__xludf.DUMMYFUNCTION("REGEXREPLACE(REGEXEXTRACT(F54, ""в\)\s*(.*?)\s*г\)""), ""^\s*"", """")"),"Ничего из перечисленного")</f>
        <v>Ничего из перечисленного</v>
      </c>
      <c r="E54" s="3" t="str">
        <f ca="1">IFERROR(__xludf.DUMMYFUNCTION("REGEXREPLACE(REGEXEXTRACT(F54, ""г\)\s*(.*)""), ""^\s*"", """")"),"Он выкапывает не семена")</f>
        <v>Он выкапывает не семена</v>
      </c>
      <c r="F54" s="7" t="s">
        <v>58</v>
      </c>
      <c r="V54" s="3"/>
      <c r="W54" s="8"/>
    </row>
    <row r="55" spans="1:23" ht="16.5" customHeight="1">
      <c r="A55" s="3" t="str">
        <f ca="1">IFERROR(__xludf.DUMMYFUNCTION("REGEXEXTRACT(F55, ""s*(.*?)\s*а\)"")"),"Какой блок не висит в воздухе?")</f>
        <v>Какой блок не висит в воздухе?</v>
      </c>
      <c r="B55" s="3" t="str">
        <f ca="1">IFERROR(__xludf.DUMMYFUNCTION("REGEXREPLACE(REGEXEXTRACT(F55, ""а\)\s*(.*?)\s*б\)""), ""^\s*"", """")"),"Гравий")</f>
        <v>Гравий</v>
      </c>
      <c r="C55" s="3" t="str">
        <f ca="1">IFERROR(__xludf.DUMMYFUNCTION("REGEXREPLACE(REGEXEXTRACT(F55, ""б\)\s*(.*?)\s*в\)""), ""^\s*"", """")"),"Камень")</f>
        <v>Камень</v>
      </c>
      <c r="D55" s="3" t="str">
        <f ca="1">IFERROR(__xludf.DUMMYFUNCTION("REGEXREPLACE(REGEXEXTRACT(F55, ""в\)\s*(.*?)\s*г\)""), ""^\s*"", """")"),"Земля")</f>
        <v>Земля</v>
      </c>
      <c r="E55" s="3" t="str">
        <f ca="1">IFERROR(__xludf.DUMMYFUNCTION("REGEXREPLACE(REGEXEXTRACT(F55, ""г\)\s*(.*)""), ""^\s*"", """")"),"Дерево")</f>
        <v>Дерево</v>
      </c>
      <c r="F55" s="7" t="s">
        <v>59</v>
      </c>
      <c r="V55" s="3"/>
      <c r="W55" s="8"/>
    </row>
    <row r="56" spans="1:23" ht="16.5" customHeight="1">
      <c r="A56" s="3" t="str">
        <f ca="1">IFERROR(__xludf.DUMMYFUNCTION("REGEXEXTRACT(F56, ""s*(.*?)\s*а\)"")"),"Где можно встретить высушенного гаста?")</f>
        <v>Где можно встретить высушенного гаста?</v>
      </c>
      <c r="B56" s="3" t="str">
        <f ca="1">IFERROR(__xludf.DUMMYFUNCTION("REGEXREPLACE(REGEXEXTRACT(F56, ""а\)\s*(.*?)\s*б\)""), ""^\s*"", """")"),"Нижний мир")</f>
        <v>Нижний мир</v>
      </c>
      <c r="C56" s="3" t="str">
        <f ca="1">IFERROR(__xludf.DUMMYFUNCTION("REGEXREPLACE(REGEXEXTRACT(F56, ""б\)\s*(.*?)\s*в\)""), ""^\s*"", """")"),"Край")</f>
        <v>Край</v>
      </c>
      <c r="D56" s="3" t="str">
        <f ca="1">IFERROR(__xludf.DUMMYFUNCTION("REGEXREPLACE(REGEXEXTRACT(F56, ""в\)\s*(.*?)\s*г\)""), ""^\s*"", """")"),"Верхний мир")</f>
        <v>Верхний мир</v>
      </c>
      <c r="E56" s="3" t="str">
        <f ca="1">IFERROR(__xludf.DUMMYFUNCTION("REGEXREPLACE(REGEXEXTRACT(F56, ""г\)\s*(.*)""), ""^\s*"", """")"),"Нигде")</f>
        <v>Нигде</v>
      </c>
      <c r="F56" s="7" t="s">
        <v>60</v>
      </c>
      <c r="V56" s="3"/>
      <c r="W56" s="8"/>
    </row>
    <row r="57" spans="1:23" ht="16.5" customHeight="1">
      <c r="A57" s="3" t="str">
        <f ca="1">IFERROR(__xludf.DUMMYFUNCTION("REGEXEXTRACT(F57, ""s*(.*?)\s*а\)"")"),"Что делает булава?")</f>
        <v>Что делает булава?</v>
      </c>
      <c r="B57" s="3" t="str">
        <f ca="1">IFERROR(__xludf.DUMMYFUNCTION("REGEXREPLACE(REGEXEXTRACT(F57, ""а\)\s*(.*?)\s*б\)""), ""^\s*"", """")"),"Падая на моба наносит ему сокрушающий урон")</f>
        <v>Падая на моба наносит ему сокрушающий урон</v>
      </c>
      <c r="C57" s="3" t="str">
        <f ca="1">IFERROR(__xludf.DUMMYFUNCTION("REGEXREPLACE(REGEXEXTRACT(F57, ""б\)\s*(.*?)\s*в\)""), ""^\s*"", """")"),"Моментально ломает блоки")</f>
        <v>Моментально ломает блоки</v>
      </c>
      <c r="D57" s="3" t="str">
        <f ca="1">IFERROR(__xludf.DUMMYFUNCTION("REGEXREPLACE(REGEXEXTRACT(F57, ""в\)\s*(.*?)\s*г\)""), ""^\s*"", """")"),"Позволяет забивать болты в доски")</f>
        <v>Позволяет забивать болты в доски</v>
      </c>
      <c r="E57" s="3" t="str">
        <f ca="1">IFERROR(__xludf.DUMMYFUNCTION("REGEXREPLACE(REGEXEXTRACT(F57, ""г\)\s*(.*)""), ""^\s*"", """")"),"Ничего")</f>
        <v>Ничего</v>
      </c>
      <c r="F57" s="7" t="s">
        <v>61</v>
      </c>
      <c r="V57" s="3"/>
      <c r="W57" s="8"/>
    </row>
    <row r="58" spans="1:23" ht="16.5" customHeight="1">
      <c r="A58" s="3" t="str">
        <f ca="1">IFERROR(__xludf.DUMMYFUNCTION("REGEXEXTRACT(F58, ""s*(.*?)\s*а\)"")"),"Как называется зачарование, которое автоматически чинит предмет за счет опыта?")</f>
        <v>Как называется зачарование, которое автоматически чинит предмет за счет опыта?</v>
      </c>
      <c r="B58" s="3" t="str">
        <f ca="1">IFERROR(__xludf.DUMMYFUNCTION("REGEXREPLACE(REGEXEXTRACT(F58, ""а\)\s*(.*?)\s*б\)""), ""^\s*"", """")"),"Починка")</f>
        <v>Починка</v>
      </c>
      <c r="C58" s="3" t="str">
        <f ca="1">IFERROR(__xludf.DUMMYFUNCTION("REGEXREPLACE(REGEXEXTRACT(F58, ""б\)\s*(.*?)\s*в\)""), ""^\s*"", """")"),"Прочность")</f>
        <v>Прочность</v>
      </c>
      <c r="D58" s="3" t="str">
        <f ca="1">IFERROR(__xludf.DUMMYFUNCTION("REGEXREPLACE(REGEXEXTRACT(F58, ""в\)\s*(.*?)\s*г\)""), ""^\s*"", """")"),"Ремонт")</f>
        <v>Ремонт</v>
      </c>
      <c r="E58" s="3" t="str">
        <f ca="1">IFERROR(__xludf.DUMMYFUNCTION("REGEXREPLACE(REGEXEXTRACT(F58, ""г\)\s*(.*)""), ""^\s*"", """")"),"Восстановление")</f>
        <v>Восстановление</v>
      </c>
      <c r="F58" s="7" t="s">
        <v>62</v>
      </c>
      <c r="V58" s="3"/>
      <c r="W58" s="8"/>
    </row>
    <row r="59" spans="1:23" ht="16.5" customHeight="1">
      <c r="A59" s="3" t="str">
        <f ca="1">IFERROR(__xludf.DUMMYFUNCTION("REGEXEXTRACT(F59, ""s*(.*?)\s*а\)"")"),"Что будет, если молния ударит в медного голема?")</f>
        <v>Что будет, если молния ударит в медного голема?</v>
      </c>
      <c r="B59" s="3" t="str">
        <f ca="1">IFERROR(__xludf.DUMMYFUNCTION("REGEXREPLACE(REGEXEXTRACT(F59, ""а\)\s*(.*?)\s*б\)""), ""^\s*"", """")"),"Ничего")</f>
        <v>Ничего</v>
      </c>
      <c r="C59" s="3" t="str">
        <f ca="1">IFERROR(__xludf.DUMMYFUNCTION("REGEXREPLACE(REGEXEXTRACT(F59, ""б\)\s*(.*?)\s*в\)""), ""^\s*"", """")"),"Он превратится в статую")</f>
        <v>Он превратится в статую</v>
      </c>
      <c r="D59" s="3" t="str">
        <f ca="1">IFERROR(__xludf.DUMMYFUNCTION("REGEXREPLACE(REGEXEXTRACT(F59, ""в\)\s*(.*?)\s*г\)""), ""^\s*"", """")"),"Он перейдёт в начальную стадию окисления")</f>
        <v>Он перейдёт в начальную стадию окисления</v>
      </c>
      <c r="E59" s="3" t="str">
        <f ca="1">IFERROR(__xludf.DUMMYFUNCTION("REGEXREPLACE(REGEXEXTRACT(F59, ""г\)\s*(.*)""), ""^\s*"", """")"),"Появится электричество")</f>
        <v>Появится электричество</v>
      </c>
      <c r="F59" s="7" t="s">
        <v>63</v>
      </c>
      <c r="V59" s="3"/>
      <c r="W59" s="8"/>
    </row>
    <row r="60" spans="1:23" ht="16.5" customHeight="1">
      <c r="A60" s="3" t="str">
        <f ca="1">IFERROR(__xludf.DUMMYFUNCTION("REGEXEXTRACT(F60, ""s*(.*?)\s*а\)"")"),"Как приручить кошку?")</f>
        <v>Как приручить кошку?</v>
      </c>
      <c r="B60" s="3" t="str">
        <f ca="1">IFERROR(__xludf.DUMMYFUNCTION("REGEXREPLACE(REGEXEXTRACT(F60, ""а\)\s*(.*?)\s*б\)""), ""^\s*"", """")"),"Сырой треской или лососем")</f>
        <v>Сырой треской или лососем</v>
      </c>
      <c r="C60" s="3" t="str">
        <f ca="1">IFERROR(__xludf.DUMMYFUNCTION("REGEXREPLACE(REGEXEXTRACT(F60, ""б\)\s*(.*?)\s*в\)""), ""^\s*"", """")"),"Костью")</f>
        <v>Костью</v>
      </c>
      <c r="D60" s="3" t="str">
        <f ca="1">IFERROR(__xludf.DUMMYFUNCTION("REGEXREPLACE(REGEXEXTRACT(F60, ""в\)\s*(.*?)\s*г\)""), ""^\s*"", """")"),"Пшеницей")</f>
        <v>Пшеницей</v>
      </c>
      <c r="E60" s="3" t="str">
        <f ca="1">IFERROR(__xludf.DUMMYFUNCTION("REGEXREPLACE(REGEXEXTRACT(F60, ""г\)\s*(.*)""), ""^\s*"", """")"),"Морковью")</f>
        <v>Морковью</v>
      </c>
      <c r="F60" s="7" t="s">
        <v>64</v>
      </c>
      <c r="V60" s="3"/>
      <c r="W60" s="8"/>
    </row>
    <row r="61" spans="1:23" ht="16.5" customHeight="1">
      <c r="A61" s="3" t="str">
        <f ca="1">IFERROR(__xludf.DUMMYFUNCTION("REGEXEXTRACT(F61, ""s*(.*?)\s*а\)"")"),"Какой эффект дает тотем бессмертия?")</f>
        <v>Какой эффект дает тотем бессмертия?</v>
      </c>
      <c r="B61" s="3" t="str">
        <f ca="1">IFERROR(__xludf.DUMMYFUNCTION("REGEXREPLACE(REGEXEXTRACT(F61, ""а\)\s*(.*?)\s*б\)""), ""^\s*"", """")"),"Спасает от смерти один раз")</f>
        <v>Спасает от смерти один раз</v>
      </c>
      <c r="C61" s="3" t="str">
        <f ca="1">IFERROR(__xludf.DUMMYFUNCTION("REGEXREPLACE(REGEXEXTRACT(F61, ""б\)\s*(.*?)\s*в\)""), ""^\s*"", """")"),"Увеличивает силу")</f>
        <v>Увеличивает силу</v>
      </c>
      <c r="D61" s="3" t="str">
        <f ca="1">IFERROR(__xludf.DUMMYFUNCTION("REGEXREPLACE(REGEXEXTRACT(F61, ""в\)\s*(.*?)\s*г\)""), ""^\s*"", """")"),"Дает невидимость")</f>
        <v>Дает невидимость</v>
      </c>
      <c r="E61" s="3" t="str">
        <f ca="1">IFERROR(__xludf.DUMMYFUNCTION("REGEXREPLACE(REGEXEXTRACT(F61, ""г\)\s*(.*)""), ""^\s*"", """")"),"Позволяет летать")</f>
        <v>Позволяет летать</v>
      </c>
      <c r="F61" s="7" t="s">
        <v>65</v>
      </c>
      <c r="V61" s="3"/>
      <c r="W61" s="8"/>
    </row>
    <row r="62" spans="1:23" ht="16.5" customHeight="1">
      <c r="A62" s="3" t="str">
        <f ca="1">IFERROR(__xludf.DUMMYFUNCTION("REGEXEXTRACT(F62, ""s*(.*?)\s*а\)"")"),"Как называется стол для улучшения предметов с помощью книг?")</f>
        <v>Как называется стол для улучшения предметов с помощью книг?</v>
      </c>
      <c r="B62" s="3" t="str">
        <f ca="1">IFERROR(__xludf.DUMMYFUNCTION("REGEXREPLACE(REGEXEXTRACT(F62, ""а\)\s*(.*?)\s*б\)""), ""^\s*"", """")"),"Наковальня")</f>
        <v>Наковальня</v>
      </c>
      <c r="C62" s="3" t="str">
        <f ca="1">IFERROR(__xludf.DUMMYFUNCTION("REGEXREPLACE(REGEXEXTRACT(F62, ""б\)\s*(.*?)\s*в\)""), ""^\s*"", """")"),"Печь")</f>
        <v>Печь</v>
      </c>
      <c r="D62" s="3" t="str">
        <f ca="1">IFERROR(__xludf.DUMMYFUNCTION("REGEXREPLACE(REGEXEXTRACT(F62, ""в\)\s*(.*?)\s*г\)""), ""^\s*"", """")"),"Верстак")</f>
        <v>Верстак</v>
      </c>
      <c r="E62" s="3" t="str">
        <f ca="1">IFERROR(__xludf.DUMMYFUNCTION("REGEXREPLACE(REGEXEXTRACT(F62, ""г\)\s*(.*)""), ""^\s*"", """")"),"Стол зачарований")</f>
        <v>Стол зачарований</v>
      </c>
      <c r="F62" s="7" t="s">
        <v>66</v>
      </c>
      <c r="V62" s="3"/>
      <c r="W62" s="8"/>
    </row>
    <row r="63" spans="1:23" ht="16.5" customHeight="1">
      <c r="A63" s="3" t="str">
        <f ca="1">IFERROR(__xludf.DUMMYFUNCTION("REGEXEXTRACT(F63, ""s*(.*?)\s*а\)"")"),"Что произойдет, если переименовать поборника в ""Johnny"" с помощью бирки?")</f>
        <v>Что произойдет, если переименовать поборника в "Johnny" с помощью бирки?</v>
      </c>
      <c r="B63" s="3" t="str">
        <f ca="1">IFERROR(__xludf.DUMMYFUNCTION("REGEXREPLACE(REGEXEXTRACT(F63, ""а\)\s*(.*?)\s*б\)""), ""^\s*"", """")"),"Он станет враждебным ко всем мобам")</f>
        <v>Он станет враждебным ко всем мобам</v>
      </c>
      <c r="C63" s="3" t="str">
        <f ca="1">IFERROR(__xludf.DUMMYFUNCTION("REGEXREPLACE(REGEXEXTRACT(F63, ""б\)\s*(.*?)\s*в\)""), ""^\s*"", """")"),"Он начнет танцевать")</f>
        <v>Он начнет танцевать</v>
      </c>
      <c r="D63" s="3" t="str">
        <f ca="1">IFERROR(__xludf.DUMMYFUNCTION("REGEXREPLACE(REGEXEXTRACT(F63, ""в\)\s*(.*?)\s*г\)""), ""^\s*"", """")"),"Он первевернется вниз головой")</f>
        <v>Он первевернется вниз головой</v>
      </c>
      <c r="E63" s="3" t="str">
        <f ca="1">IFERROR(__xludf.DUMMYFUNCTION("REGEXREPLACE(REGEXEXTRACT(F63, ""г\)\s*(.*)""), ""^\s*"", """")"),"Он станет пассивным")</f>
        <v>Он станет пассивным</v>
      </c>
      <c r="F63" s="7" t="s">
        <v>67</v>
      </c>
      <c r="V63" s="3"/>
      <c r="W63" s="8"/>
    </row>
    <row r="64" spans="1:23" ht="16.5" customHeight="1">
      <c r="A64" s="3" t="str">
        <f ca="1">IFERROR(__xludf.DUMMYFUNCTION("REGEXEXTRACT(F64, ""s*(.*?)\s*а\)"")"),"Где в Нижнем мире появляются страйдеры?")</f>
        <v>Где в Нижнем мире появляются страйдеры?</v>
      </c>
      <c r="B64" s="3" t="str">
        <f ca="1">IFERROR(__xludf.DUMMYFUNCTION("REGEXREPLACE(REGEXEXTRACT(F64, ""а\)\s*(.*?)\s*б\)""), ""^\s*"", """")"),"В лавовых озерах")</f>
        <v>В лавовых озерах</v>
      </c>
      <c r="C64" s="3" t="str">
        <f ca="1">IFERROR(__xludf.DUMMYFUNCTION("REGEXREPLACE(REGEXEXTRACT(F64, ""б\)\s*(.*?)\s*в\)""), ""^\s*"", """")"),"В долине песка душ")</f>
        <v>В долине песка душ</v>
      </c>
      <c r="D64" s="3" t="str">
        <f ca="1">IFERROR(__xludf.DUMMYFUNCTION("REGEXREPLACE(REGEXEXTRACT(F64, ""в\)\s*(.*?)\s*г\)""), ""^\s*"", """")"),"В багровом лесу")</f>
        <v>В багровом лесу</v>
      </c>
      <c r="E64" s="3" t="str">
        <f ca="1">IFERROR(__xludf.DUMMYFUNCTION("REGEXREPLACE(REGEXEXTRACT(F64, ""г\)\s*(.*)""), ""^\s*"", """")"),"В искаженном лесу")</f>
        <v>В искаженном лесу</v>
      </c>
      <c r="F64" s="7" t="s">
        <v>68</v>
      </c>
      <c r="V64" s="3"/>
      <c r="W64" s="8"/>
    </row>
    <row r="65" spans="1:23" ht="16.5" customHeight="1">
      <c r="A65" s="3" t="str">
        <f ca="1">IFERROR(__xludf.DUMMYFUNCTION("REGEXEXTRACT(F65, ""s*(.*?)\s*а\)"")"),"Какое зачарование несовместимо с зачарованием ""Верность"" на трезубце?")</f>
        <v>Какое зачарование несовместимо с зачарованием "Верность" на трезубце?</v>
      </c>
      <c r="B65" s="3" t="str">
        <f ca="1">IFERROR(__xludf.DUMMYFUNCTION("REGEXREPLACE(REGEXEXTRACT(F65, ""а\)\s*(.*?)\s*б\)""), ""^\s*"", """")"),"Тягун")</f>
        <v>Тягун</v>
      </c>
      <c r="C65" s="3" t="str">
        <f ca="1">IFERROR(__xludf.DUMMYFUNCTION("REGEXREPLACE(REGEXEXTRACT(F65, ""б\)\s*(.*?)\s*в\)""), ""^\s*"", """")"),"Пронзатель")</f>
        <v>Пронзатель</v>
      </c>
      <c r="D65" s="3" t="str">
        <f ca="1">IFERROR(__xludf.DUMMYFUNCTION("REGEXREPLACE(REGEXEXTRACT(F65, ""в\)\s*(.*?)\s*г\)""), ""^\s*"", """")"),"Громовержец")</f>
        <v>Громовержец</v>
      </c>
      <c r="E65" s="3" t="str">
        <f ca="1">IFERROR(__xludf.DUMMYFUNCTION("REGEXREPLACE(REGEXEXTRACT(F65, ""г\)\s*(.*)""), ""^\s*"", """")"),"Починка")</f>
        <v>Починка</v>
      </c>
      <c r="F65" s="7" t="s">
        <v>69</v>
      </c>
      <c r="V65" s="3"/>
      <c r="W65" s="8"/>
    </row>
    <row r="66" spans="1:23" ht="16.5" customHeight="1">
      <c r="A66" s="3" t="str">
        <f ca="1">IFERROR(__xludf.DUMMYFUNCTION("REGEXEXTRACT(F66, ""s*(.*?)\s*а\)"")"),"Что используется в качестве ""топлива"" для стола кузнеца при создании незеритовых предметов?")</f>
        <v>Что используется в качестве "топлива" для стола кузнеца при создании незеритовых предметов?</v>
      </c>
      <c r="B66" s="3" t="str">
        <f ca="1">IFERROR(__xludf.DUMMYFUNCTION("REGEXREPLACE(REGEXEXTRACT(F66, ""а\)\s*(.*?)\s*б\)""), ""^\s*"", """")"),"Ничего")</f>
        <v>Ничего</v>
      </c>
      <c r="C66" s="3" t="str">
        <f ca="1">IFERROR(__xludf.DUMMYFUNCTION("REGEXREPLACE(REGEXEXTRACT(F66, ""б\)\s*(.*?)\s*в\)""), ""^\s*"", """")"),"Алмазы")</f>
        <v>Алмазы</v>
      </c>
      <c r="D66" s="3" t="str">
        <f ca="1">IFERROR(__xludf.DUMMYFUNCTION("REGEXREPLACE(REGEXEXTRACT(F66, ""в\)\s*(.*?)\s*г\)""), ""^\s*"", """")"),"Угольные блоки")</f>
        <v>Угольные блоки</v>
      </c>
      <c r="E66" s="3" t="str">
        <f ca="1">IFERROR(__xludf.DUMMYFUNCTION("REGEXREPLACE(REGEXEXTRACT(F66, ""г\)\s*(.*)""), ""^\s*"", """")"),"Огненные стержни")</f>
        <v>Огненные стержни</v>
      </c>
      <c r="F66" s="7" t="s">
        <v>70</v>
      </c>
      <c r="V66" s="3"/>
      <c r="W66" s="8"/>
    </row>
    <row r="67" spans="1:23" ht="16.5" customHeight="1">
      <c r="A67" s="3" t="str">
        <f ca="1">IFERROR(__xludf.DUMMYFUNCTION("REGEXEXTRACT(F67, ""s*(.*?)\s*а\)"")"),"В каких чанках могут спауниться слизни под землей, независимо от биома?")</f>
        <v>В каких чанках могут спауниться слизни под землей, независимо от биома?</v>
      </c>
      <c r="B67" s="3" t="str">
        <f ca="1">IFERROR(__xludf.DUMMYFUNCTION("REGEXREPLACE(REGEXEXTRACT(F67, ""а\)\s*(.*?)\s*б\)""), ""^\s*"", """")"),"В ""слайм-чанках""")</f>
        <v>В "слайм-чанках"</v>
      </c>
      <c r="C67" s="3" t="str">
        <f ca="1">IFERROR(__xludf.DUMMYFUNCTION("REGEXREPLACE(REGEXEXTRACT(F67, ""б\)\s*(.*?)\s*в\)""), ""^\s*"", """")"),"Только на болоте")</f>
        <v>Только на болоте</v>
      </c>
      <c r="D67" s="3" t="str">
        <f ca="1">IFERROR(__xludf.DUMMYFUNCTION("REGEXREPLACE(REGEXEXTRACT(F67, ""в\)\s*(.*?)\s*г\)""), ""^\s*"", """")"),"В любых пещерах")</f>
        <v>В любых пещерах</v>
      </c>
      <c r="E67" s="3" t="str">
        <f ca="1">IFERROR(__xludf.DUMMYFUNCTION("REGEXREPLACE(REGEXEXTRACT(F67, ""г\)\s*(.*)""), ""^\s*"", """")"),"В чанках с большим количеством воды")</f>
        <v>В чанках с большим количеством воды</v>
      </c>
      <c r="F67" s="7" t="s">
        <v>71</v>
      </c>
      <c r="V67" s="3"/>
      <c r="W67" s="8"/>
    </row>
    <row r="68" spans="1:23" ht="16.5" customHeight="1">
      <c r="A68" s="3" t="str">
        <f ca="1">IFERROR(__xludf.DUMMYFUNCTION("REGEXEXTRACT(F68, ""s*(.*?)\s*а\)"")"),"При каком условии железный голем, созданный жителями, может атаковать игрока?")</f>
        <v>При каком условии железный голем, созданный жителями, может атаковать игрока?</v>
      </c>
      <c r="B68" s="3" t="str">
        <f ca="1">IFERROR(__xludf.DUMMYFUNCTION("REGEXREPLACE(REGEXEXTRACT(F68, ""а\)\s*(.*?)\s*б\)""), ""^\s*"", """")"),"Игрок ударит жителя")</f>
        <v>Игрок ударит жителя</v>
      </c>
      <c r="C68" s="3" t="str">
        <f ca="1">IFERROR(__xludf.DUMMYFUNCTION("REGEXREPLACE(REGEXEXTRACT(F68, ""б\)\s*(.*?)\s*в\)""), ""^\s*"", """")"),"Игрок посмотрит ему в глаза")</f>
        <v>Игрок посмотрит ему в глаза</v>
      </c>
      <c r="D68" s="3" t="str">
        <f ca="1">IFERROR(__xludf.DUMMYFUNCTION("REGEXREPLACE(REGEXEXTRACT(F68, ""в\)\s*(.*?)\s*г\)""), ""^\s*"", """")"),"Игрок возьмет предметы из кузницы")</f>
        <v>Игрок возьмет предметы из кузницы</v>
      </c>
      <c r="E68" s="3" t="str">
        <f ca="1">IFERROR(__xludf.DUMMYFUNCTION("REGEXREPLACE(REGEXEXTRACT(F68, ""г\)\s*(.*)""), ""^\s*"", """")"),"Никогда")</f>
        <v>Никогда</v>
      </c>
      <c r="F68" s="7" t="s">
        <v>72</v>
      </c>
      <c r="V68" s="3"/>
      <c r="W68" s="8"/>
    </row>
    <row r="69" spans="1:23" ht="16.5" customHeight="1">
      <c r="A69" s="3" t="str">
        <f ca="1">IFERROR(__xludf.DUMMYFUNCTION("REGEXEXTRACT(F69, ""s*(.*?)\s*а\)"")"),"Какой из этих эффектов можно получить от подозрительного рагу, приготовленного с одуванчиком?")</f>
        <v>Какой из этих эффектов можно получить от подозрительного рагу, приготовленного с одуванчиком?</v>
      </c>
      <c r="B69" s="3" t="str">
        <f ca="1">IFERROR(__xludf.DUMMYFUNCTION("REGEXREPLACE(REGEXEXTRACT(F69, ""а\)\s*(.*?)\s*б\)""), ""^\s*"", """")"),"Насыщение")</f>
        <v>Насыщение</v>
      </c>
      <c r="C69" s="3" t="str">
        <f ca="1">IFERROR(__xludf.DUMMYFUNCTION("REGEXREPLACE(REGEXEXTRACT(F69, ""б\)\s*(.*?)\s*в\)""), ""^\s*"", """")"),"Скорость")</f>
        <v>Скорость</v>
      </c>
      <c r="D69" s="3" t="str">
        <f ca="1">IFERROR(__xludf.DUMMYFUNCTION("REGEXREPLACE(REGEXEXTRACT(F69, ""в\)\s*(.*?)\s*г\)""), ""^\s*"", """")"),"Регенерация")</f>
        <v>Регенерация</v>
      </c>
      <c r="E69" s="3" t="str">
        <f ca="1">IFERROR(__xludf.DUMMYFUNCTION("REGEXREPLACE(REGEXEXTRACT(F69, ""г\)\s*(.*)""), ""^\s*"", """")"),"Прыгучесть")</f>
        <v>Прыгучесть</v>
      </c>
      <c r="F69" s="7" t="s">
        <v>73</v>
      </c>
      <c r="V69" s="3"/>
      <c r="W69" s="8"/>
    </row>
    <row r="70" spans="1:23" ht="16.5" customHeight="1">
      <c r="A70" s="3" t="str">
        <f ca="1">IFERROR(__xludf.DUMMYFUNCTION("REGEXEXTRACT(F70, ""s*(.*?)\s*а\)"")"),"Какой блок необходим для привязки компаса к определенному месту?")</f>
        <v>Какой блок необходим для привязки компаса к определенному месту?</v>
      </c>
      <c r="B70" s="3" t="str">
        <f ca="1">IFERROR(__xludf.DUMMYFUNCTION("REGEXREPLACE(REGEXEXTRACT(F70, ""а\)\s*(.*?)\s*б\)""), ""^\s*"", """")"),"Магнетит (Lodestone)")</f>
        <v>Магнетит (Lodestone)</v>
      </c>
      <c r="C70" s="3" t="str">
        <f ca="1">IFERROR(__xludf.DUMMYFUNCTION("REGEXREPLACE(REGEXEXTRACT(F70, ""б\)\s*(.*?)\s*в\)""), ""^\s*"", """")"),"Алмазный блок")</f>
        <v>Алмазный блок</v>
      </c>
      <c r="D70" s="3" t="str">
        <f ca="1">IFERROR(__xludf.DUMMYFUNCTION("REGEXREPLACE(REGEXEXTRACT(F70, ""в\)\s*(.*?)\s*г\)""), ""^\s*"", """")"),"Редстоуновый блок")</f>
        <v>Редстоуновый блок</v>
      </c>
      <c r="E70" s="3" t="str">
        <f ca="1">IFERROR(__xludf.DUMMYFUNCTION("REGEXREPLACE(REGEXEXTRACT(F70, ""г\)\s*(.*)""), ""^\s*"", """")"),"Незеритовый блок")</f>
        <v>Незеритовый блок</v>
      </c>
      <c r="F70" s="7" t="s">
        <v>74</v>
      </c>
      <c r="V70" s="3"/>
      <c r="W70" s="8"/>
    </row>
    <row r="71" spans="1:23" ht="16.5" customHeight="1">
      <c r="A71" s="3" t="str">
        <f ca="1">IFERROR(__xludf.DUMMYFUNCTION("REGEXEXTRACT(F71, ""s*(.*?)\s*а\)"")"),"Какой ингредиент необходим для создания зелья медленного падения?")</f>
        <v>Какой ингредиент необходим для создания зелья медленного падения?</v>
      </c>
      <c r="B71" s="3" t="str">
        <f ca="1">IFERROR(__xludf.DUMMYFUNCTION("REGEXREPLACE(REGEXEXTRACT(F71, ""а\)\s*(.*?)\s*б\)""), ""^\s*"", """")"),"Фантомная мембрана")</f>
        <v>Фантомная мембрана</v>
      </c>
      <c r="C71" s="3" t="str">
        <f ca="1">IFERROR(__xludf.DUMMYFUNCTION("REGEXREPLACE(REGEXEXTRACT(F71, ""б\)\s*(.*?)\s*в\)""), ""^\s*"", """")"),"Сахар")</f>
        <v>Сахар</v>
      </c>
      <c r="D71" s="3" t="str">
        <f ca="1">IFERROR(__xludf.DUMMYFUNCTION("REGEXREPLACE(REGEXEXTRACT(F71, ""в\)\s*(.*?)\s*г\)""), ""^\s*"", """")"),"Кроличья лапка")</f>
        <v>Кроличья лапка</v>
      </c>
      <c r="E71" s="3" t="str">
        <f ca="1">IFERROR(__xludf.DUMMYFUNCTION("REGEXREPLACE(REGEXEXTRACT(F71, ""г\)\s*(.*)""), ""^\s*"", """")"),"Слеза гаста")</f>
        <v>Слеза гаста</v>
      </c>
      <c r="F71" s="9" t="s">
        <v>75</v>
      </c>
      <c r="V71" s="3"/>
    </row>
    <row r="72" spans="1:23" ht="16.5" customHeight="1">
      <c r="A72" s="3" t="str">
        <f ca="1">IFERROR(__xludf.DUMMYFUNCTION("REGEXEXTRACT(F72, ""s*(.*?)\s*а\)"")"),"С помощью какого блока можно снять зачарования с предмета, получив при этом опыт?")</f>
        <v>С помощью какого блока можно снять зачарования с предмета, получив при этом опыт?</v>
      </c>
      <c r="B72" s="3" t="str">
        <f ca="1">IFERROR(__xludf.DUMMYFUNCTION("REGEXREPLACE(REGEXEXTRACT(F72, ""а\)\s*(.*?)\s*б\)""), ""^\s*"", """")"),"Точило")</f>
        <v>Точило</v>
      </c>
      <c r="C72" s="3" t="str">
        <f ca="1">IFERROR(__xludf.DUMMYFUNCTION("REGEXREPLACE(REGEXEXTRACT(F72, ""б\)\s*(.*?)\s*в\)""), ""^\s*"", """")"),"Наковальня")</f>
        <v>Наковальня</v>
      </c>
      <c r="D72" s="3" t="str">
        <f ca="1">IFERROR(__xludf.DUMMYFUNCTION("REGEXREPLACE(REGEXEXTRACT(F72, ""в\)\s*(.*?)\s*г\)""), ""^\s*"", """")"),"Стол зачарований")</f>
        <v>Стол зачарований</v>
      </c>
      <c r="E72" s="3" t="str">
        <f ca="1">IFERROR(__xludf.DUMMYFUNCTION("REGEXREPLACE(REGEXEXTRACT(F72, ""г\)\s*(.*)""), ""^\s*"", """")"),"Верстак")</f>
        <v>Верстак</v>
      </c>
      <c r="F72" s="9" t="s">
        <v>76</v>
      </c>
      <c r="V72" s="3"/>
    </row>
    <row r="73" spans="1:23" ht="16.5" customHeight="1">
      <c r="A73" s="3" t="str">
        <f ca="1">IFERROR(__xludf.DUMMYFUNCTION("REGEXEXTRACT(F73, ""s*(.*?)\s*а\)"")"),"Какое действие заставляет козла сбросить рог?")</f>
        <v>Какое действие заставляет козла сбросить рог?</v>
      </c>
      <c r="B73" s="3" t="str">
        <f ca="1">IFERROR(__xludf.DUMMYFUNCTION("REGEXREPLACE(REGEXEXTRACT(F73, ""а\)\s*(.*?)\s*б\)""), ""^\s*"", """")"),"Когда он атакует и ударяется о твердый блок")</f>
        <v>Когда он атакует и ударяется о твердый блок</v>
      </c>
      <c r="C73" s="3" t="str">
        <f ca="1">IFERROR(__xludf.DUMMYFUNCTION("REGEXREPLACE(REGEXEXTRACT(F73, ""б\)\s*(.*?)\s*в\)""), ""^\s*"", """")"),"Когда игрок его стрижет")</f>
        <v>Когда игрок его стрижет</v>
      </c>
      <c r="D73" s="3" t="str">
        <f ca="1">IFERROR(__xludf.DUMMYFUNCTION("REGEXREPLACE(REGEXEXTRACT(F73, ""в\)\s*(.*?)\s*г\)""), ""^\s*"", """")"),"Когда в него попадает молния")</f>
        <v>Когда в него попадает молния</v>
      </c>
      <c r="E73" s="3" t="str">
        <f ca="1">IFERROR(__xludf.DUMMYFUNCTION("REGEXREPLACE(REGEXEXTRACT(F73, ""г\)\s*(.*)""), ""^\s*"", """")"),"Это случайное событие")</f>
        <v>Это случайное событие</v>
      </c>
      <c r="F73" s="9" t="s">
        <v>77</v>
      </c>
      <c r="V73" s="3"/>
    </row>
    <row r="74" spans="1:23" ht="16.5" customHeight="1">
      <c r="A74" s="3" t="str">
        <f ca="1">IFERROR(__xludf.DUMMYFUNCTION("REGEXEXTRACT(F74, ""s*(.*?)\s*а\)"")"),"Какой моб может быть призван, если на блок скалк-катализатора попадает опыт от умершего моба?")</f>
        <v>Какой моб может быть призван, если на блок скалк-катализатора попадает опыт от умершего моба?</v>
      </c>
      <c r="B74" s="3" t="str">
        <f ca="1">IFERROR(__xludf.DUMMYFUNCTION("REGEXREPLACE(REGEXEXTRACT(F74, ""а\)\s*(.*?)\s*б\)""), ""^\s*"", """")"),"Никакой")</f>
        <v>Никакой</v>
      </c>
      <c r="C74" s="3" t="str">
        <f ca="1">IFERROR(__xludf.DUMMYFUNCTION("REGEXREPLACE(REGEXEXTRACT(F74, ""б\)\s*(.*?)\s*в\)""), ""^\s*"", """")"),"Варден")</f>
        <v>Варден</v>
      </c>
      <c r="D74" s="3" t="str">
        <f ca="1">IFERROR(__xludf.DUMMYFUNCTION("REGEXREPLACE(REGEXEXTRACT(F74, ""в\)\s*(.*?)\s*г\)""), ""^\s*"", """")"),"Скалк-крикун")</f>
        <v>Скалк-крикун</v>
      </c>
      <c r="E74" s="3" t="str">
        <f ca="1">IFERROR(__xludf.DUMMYFUNCTION("REGEXREPLACE(REGEXEXTRACT(F74, ""г\)\s*(.*)""), ""^\s*"", """")"),"Скалк-сенсор")</f>
        <v>Скалк-сенсор</v>
      </c>
      <c r="F74" s="9" t="s">
        <v>78</v>
      </c>
      <c r="V74" s="3"/>
    </row>
    <row r="75" spans="1:23" ht="16.5" customHeight="1">
      <c r="A75" s="3" t="str">
        <f ca="1">IFERROR(__xludf.DUMMYFUNCTION("REGEXEXTRACT(F75, ""s*(.*?)\s*а\)"")"),"Какая еда нужна для размножения панд?")</f>
        <v>Какая еда нужна для размножения панд?</v>
      </c>
      <c r="B75" s="3" t="str">
        <f ca="1">IFERROR(__xludf.DUMMYFUNCTION("REGEXREPLACE(REGEXEXTRACT(F75, ""а\)\s*(.*?)\s*б\)""), ""^\s*"", """")"),"Бамбук")</f>
        <v>Бамбук</v>
      </c>
      <c r="C75" s="3" t="str">
        <f ca="1">IFERROR(__xludf.DUMMYFUNCTION("REGEXREPLACE(REGEXEXTRACT(F75, ""б\)\s*(.*?)\s*в\)""), ""^\s*"", """")"),"Яблоки")</f>
        <v>Яблоки</v>
      </c>
      <c r="D75" s="3" t="str">
        <f ca="1">IFERROR(__xludf.DUMMYFUNCTION("REGEXREPLACE(REGEXEXTRACT(F75, ""в\)\s*(.*?)\s*г\)""), ""^\s*"", """")"),"Торт")</f>
        <v>Торт</v>
      </c>
      <c r="E75" s="3" t="str">
        <f ca="1">IFERROR(__xludf.DUMMYFUNCTION("REGEXREPLACE(REGEXEXTRACT(F75, ""г\)\s*(.*)""), ""^\s*"", """")"),"Сахарный тростник")</f>
        <v>Сахарный тростник</v>
      </c>
      <c r="F75" s="9" t="s">
        <v>79</v>
      </c>
      <c r="V75" s="3"/>
    </row>
    <row r="76" spans="1:23" ht="16.5" customHeight="1">
      <c r="A76" s="3" t="str">
        <f ca="1">IFERROR(__xludf.DUMMYFUNCTION("REGEXEXTRACT(F76, ""s*(.*?)\s*а\)"")"),"Что будет, если во время рейда игрок ударит в колокол?")</f>
        <v>Что будет, если во время рейда игрок ударит в колокол?</v>
      </c>
      <c r="B76" s="3" t="str">
        <f ca="1">IFERROR(__xludf.DUMMYFUNCTION("REGEXREPLACE(REGEXEXTRACT(F76, ""а\)\s*(.*?)\s*б\)""), ""^\s*"", """")"),"Разбойники подсветятся")</f>
        <v>Разбойники подсветятся</v>
      </c>
      <c r="C76" s="3" t="str">
        <f ca="1">IFERROR(__xludf.DUMMYFUNCTION("REGEXREPLACE(REGEXEXTRACT(F76, ""б\)\s*(.*?)\s*в\)""), ""^\s*"", """")"),"Рейд прекратится")</f>
        <v>Рейд прекратится</v>
      </c>
      <c r="D76" s="3" t="str">
        <f ca="1">IFERROR(__xludf.DUMMYFUNCTION("REGEXREPLACE(REGEXEXTRACT(F76, ""в\)\s*(.*?)\s*г\)""), ""^\s*"", """")"),"Появится железный голем")</f>
        <v>Появится железный голем</v>
      </c>
      <c r="E76" s="3" t="str">
        <f ca="1">IFERROR(__xludf.DUMMYFUNCTION("REGEXREPLACE(REGEXEXTRACT(F76, ""г\)\s*(.*)""), ""^\s*"", """")"),"Жители прячутся еще быстрее")</f>
        <v>Жители прячутся еще быстрее</v>
      </c>
      <c r="F76" s="9" t="s">
        <v>80</v>
      </c>
      <c r="V76" s="3"/>
    </row>
    <row r="77" spans="1:23" ht="16.5" customHeight="1">
      <c r="A77" s="3" t="str">
        <f ca="1">IFERROR(__xludf.DUMMYFUNCTION("REGEXEXTRACT(F77, ""s*(.*?)\s*а\)"")"),"Что нужно сделать, чтобы получить достижение ""Не дождётесь!""?")</f>
        <v>Что нужно сделать, чтобы получить достижение "Не дождётесь!"?</v>
      </c>
      <c r="B77" s="3" t="str">
        <f ca="1">IFERROR(__xludf.DUMMYFUNCTION("REGEXREPLACE(REGEXEXTRACT(F77, ""а\)\s*(.*?)\s*б\)""), ""^\s*"", """")"),"Отразить щитом любой снаряд.")</f>
        <v>Отразить щитом любой снаряд.</v>
      </c>
      <c r="C77" s="3" t="str">
        <f ca="1">IFERROR(__xludf.DUMMYFUNCTION("REGEXREPLACE(REGEXEXTRACT(F77, ""б\)\s*(.*?)\s*в\)""), ""^\s*"", """")"),"Войти в портал Нижнего мира")</f>
        <v>Войти в портал Нижнего мира</v>
      </c>
      <c r="D77" s="3" t="str">
        <f ca="1">IFERROR(__xludf.DUMMYFUNCTION("REGEXREPLACE(REGEXEXTRACT(F77, ""в\)\s*(.*?)\s*г\)""), ""^\s*"", """")"),"Выстрелить из арбалета")</f>
        <v>Выстрелить из арбалета</v>
      </c>
      <c r="E77" s="3" t="str">
        <f ca="1">IFERROR(__xludf.DUMMYFUNCTION("REGEXREPLACE(REGEXEXTRACT(F77, ""г\)\s*(.*)""), ""^\s*"", """")"),"Не дождаться")</f>
        <v>Не дождаться</v>
      </c>
      <c r="F77" s="9" t="s">
        <v>81</v>
      </c>
      <c r="V77" s="3"/>
    </row>
    <row r="78" spans="1:23" ht="16.5" customHeight="1">
      <c r="A78" s="3" t="str">
        <f ca="1">IFERROR(__xludf.DUMMYFUNCTION("REGEXEXTRACT(F78, ""s*(.*?)\s*а\)"")"),"Какая структура является единственным местом, где можно найти осколки эха?")</f>
        <v>Какая структура является единственным местом, где можно найти осколки эха?</v>
      </c>
      <c r="B78" s="3" t="str">
        <f ca="1">IFERROR(__xludf.DUMMYFUNCTION("REGEXREPLACE(REGEXEXTRACT(F78, ""а\)\s*(.*?)\s*б\)""), ""^\s*"", """")"),"Древний город")</f>
        <v>Древний город</v>
      </c>
      <c r="C78" s="3" t="str">
        <f ca="1">IFERROR(__xludf.DUMMYFUNCTION("REGEXREPLACE(REGEXEXTRACT(F78, ""б\)\s*(.*?)\s*в\)""), ""^\s*"", """")"),"Лесной особняк")</f>
        <v>Лесной особняк</v>
      </c>
      <c r="D78" s="3" t="str">
        <f ca="1">IFERROR(__xludf.DUMMYFUNCTION("REGEXREPLACE(REGEXEXTRACT(F78, ""в\)\s*(.*?)\s*г\)""), ""^\s*"", """")"),"Адская крепость")</f>
        <v>Адская крепость</v>
      </c>
      <c r="E78" s="3" t="str">
        <f ca="1">IFERROR(__xludf.DUMMYFUNCTION("REGEXREPLACE(REGEXEXTRACT(F78, ""г\)\s*(.*)""), ""^\s*"", """")"),"Город Края")</f>
        <v>Город Края</v>
      </c>
      <c r="F78" s="9" t="s">
        <v>82</v>
      </c>
      <c r="V78" s="3"/>
    </row>
    <row r="79" spans="1:23" ht="16.5" customHeight="1">
      <c r="A79" s="3" t="str">
        <f ca="1">IFERROR(__xludf.DUMMYFUNCTION("REGEXEXTRACT(F79, ""s*(.*?)\s*а\)"")"),"Какой из этих предметов нельзя положить в шалкеровый ящик?")</f>
        <v>Какой из этих предметов нельзя положить в шалкеровый ящик?</v>
      </c>
      <c r="B79" s="3" t="str">
        <f ca="1">IFERROR(__xludf.DUMMYFUNCTION("REGEXREPLACE(REGEXEXTRACT(F79, ""а\)\s*(.*?)\s*б\)""), ""^\s*"", """")"),"Другой шалкеровый ящик")</f>
        <v>Другой шалкеровый ящик</v>
      </c>
      <c r="C79" s="3" t="str">
        <f ca="1">IFERROR(__xludf.DUMMYFUNCTION("REGEXREPLACE(REGEXEXTRACT(F79, ""б\)\s*(.*?)\s*в\)""), ""^\s*"", """")"),"Сундук края")</f>
        <v>Сундук края</v>
      </c>
      <c r="D79" s="3" t="str">
        <f ca="1">IFERROR(__xludf.DUMMYFUNCTION("REGEXREPLACE(REGEXEXTRACT(F79, ""в\)\s*(.*?)\s*г\)""), ""^\s*"", """")"),"Незеритовый слиток")</f>
        <v>Незеритовый слиток</v>
      </c>
      <c r="E79" s="3" t="str">
        <f ca="1">IFERROR(__xludf.DUMMYFUNCTION("REGEXREPLACE(REGEXEXTRACT(F79, ""г\)\s*(.*)""), ""^\s*"", """")"),"Голову дракона")</f>
        <v>Голову дракона</v>
      </c>
      <c r="F79" s="9" t="s">
        <v>83</v>
      </c>
      <c r="V79" s="3"/>
    </row>
    <row r="80" spans="1:23" ht="16.5" customHeight="1">
      <c r="A80" s="3" t="str">
        <f ca="1">IFERROR(__xludf.DUMMYFUNCTION("REGEXEXTRACT(F80, ""s*(.*?)\s*а\)"")"),"Какое растение в Нижнем мире отпугивает хоглинов?")</f>
        <v>Какое растение в Нижнем мире отпугивает хоглинов?</v>
      </c>
      <c r="B80" s="3" t="str">
        <f ca="1">IFERROR(__xludf.DUMMYFUNCTION("REGEXREPLACE(REGEXEXTRACT(F80, ""а\)\s*(.*?)\s*б\)""), ""^\s*"", """")"),"Искаженные грибы")</f>
        <v>Искаженные грибы</v>
      </c>
      <c r="C80" s="3" t="str">
        <f ca="1">IFERROR(__xludf.DUMMYFUNCTION("REGEXREPLACE(REGEXEXTRACT(F80, ""б\)\s*(.*?)\s*в\)""), ""^\s*"", """")"),"Багровые грибы")</f>
        <v>Багровые грибы</v>
      </c>
      <c r="D80" s="3" t="str">
        <f ca="1">IFERROR(__xludf.DUMMYFUNCTION("REGEXREPLACE(REGEXEXTRACT(F80, ""в\)\s*(.*?)\s*г\)""), ""^\s*"", """")"),"Адский нарост")</f>
        <v>Адский нарост</v>
      </c>
      <c r="E80" s="3" t="str">
        <f ca="1">IFERROR(__xludf.DUMMYFUNCTION("REGEXREPLACE(REGEXEXTRACT(F80, ""г\)\s*(.*)""), ""^\s*"", """")"),"Адские корни")</f>
        <v>Адские корни</v>
      </c>
      <c r="F80" s="9" t="s">
        <v>84</v>
      </c>
      <c r="V80" s="3"/>
    </row>
    <row r="81" spans="1:22" ht="16.5" customHeight="1">
      <c r="A81" s="3" t="str">
        <f ca="1">IFERROR(__xludf.DUMMYFUNCTION("REGEXEXTRACT(F81, ""s*(.*?)\s*а\)"")"),"Какой предмет является основным при торговле с пиглинами?")</f>
        <v>Какой предмет является основным при торговле с пиглинами?</v>
      </c>
      <c r="B81" s="3" t="str">
        <f ca="1">IFERROR(__xludf.DUMMYFUNCTION("REGEXREPLACE(REGEXEXTRACT(F81, ""а\)\s*(.*?)\s*б\)""), ""^\s*"", """")"),"Золотой слиток")</f>
        <v>Золотой слиток</v>
      </c>
      <c r="C81" s="3" t="str">
        <f ca="1">IFERROR(__xludf.DUMMYFUNCTION("REGEXREPLACE(REGEXEXTRACT(F81, ""б\)\s*(.*?)\s*в\)""), ""^\s*"", """")"),"Золотой самородок")</f>
        <v>Золотой самородок</v>
      </c>
      <c r="D81" s="3" t="str">
        <f ca="1">IFERROR(__xludf.DUMMYFUNCTION("REGEXREPLACE(REGEXEXTRACT(F81, ""в\)\s*(.*?)\s*г\)""), ""^\s*"", """")"),"Позолоченный чернокамень")</f>
        <v>Позолоченный чернокамень</v>
      </c>
      <c r="E81" s="3" t="str">
        <f ca="1">IFERROR(__xludf.DUMMYFUNCTION("REGEXREPLACE(REGEXEXTRACT(F81, ""г\)\s*(.*)""), ""^\s*"", """")"),"Золотой блок")</f>
        <v>Золотой блок</v>
      </c>
      <c r="F81" s="9" t="s">
        <v>85</v>
      </c>
      <c r="V81" s="3"/>
    </row>
    <row r="82" spans="1:22" ht="16.5" customHeight="1">
      <c r="A82" s="3" t="str">
        <f ca="1">IFERROR(__xludf.DUMMYFUNCTION("REGEXEXTRACT(F82, ""s*(.*?)\s*а\)"")"),"Какое зачарование для трезубца работает только во время дождя или в воде?")</f>
        <v>Какое зачарование для трезубца работает только во время дождя или в воде?</v>
      </c>
      <c r="B82" s="3" t="str">
        <f ca="1">IFERROR(__xludf.DUMMYFUNCTION("REGEXREPLACE(REGEXEXTRACT(F82, ""а\)\s*(.*?)\s*б\)""), ""^\s*"", """")"),"Тягун")</f>
        <v>Тягун</v>
      </c>
      <c r="C82" s="3" t="str">
        <f ca="1">IFERROR(__xludf.DUMMYFUNCTION("REGEXREPLACE(REGEXEXTRACT(F82, ""б\)\s*(.*?)\s*в\)""), ""^\s*"", """")"),"Громовержец")</f>
        <v>Громовержец</v>
      </c>
      <c r="D82" s="3" t="str">
        <f ca="1">IFERROR(__xludf.DUMMYFUNCTION("REGEXREPLACE(REGEXEXTRACT(F82, ""в\)\s*(.*?)\s*г\)""), ""^\s*"", """")"),"Верность")</f>
        <v>Верность</v>
      </c>
      <c r="E82" s="3" t="str">
        <f ca="1">IFERROR(__xludf.DUMMYFUNCTION("REGEXREPLACE(REGEXEXTRACT(F82, ""г\)\s*(.*)""), ""^\s*"", """")"),"Пронзатель")</f>
        <v>Пронзатель</v>
      </c>
      <c r="F82" s="9" t="s">
        <v>86</v>
      </c>
      <c r="V82" s="3"/>
    </row>
    <row r="83" spans="1:22" ht="16.5" customHeight="1">
      <c r="A83" s="3" t="str">
        <f ca="1">IFERROR(__xludf.DUMMYFUNCTION("REGEXEXTRACT(F83, ""s*(.*?)\s*а\)"")"),"Что происходит с пчелой после того, как она ужалит игрока?")</f>
        <v>Что происходит с пчелой после того, как она ужалит игрока?</v>
      </c>
      <c r="B83" s="3" t="str">
        <f ca="1">IFERROR(__xludf.DUMMYFUNCTION("REGEXREPLACE(REGEXEXTRACT(F83, ""а\)\s*(.*?)\s*б\)""), ""^\s*"", """")"),"Теряет жало и через время умирает")</f>
        <v>Теряет жало и через время умирает</v>
      </c>
      <c r="C83" s="3" t="str">
        <f ca="1">IFERROR(__xludf.DUMMYFUNCTION("REGEXREPLACE(REGEXEXTRACT(F83, ""б\)\s*(.*?)\s*в\)""), ""^\s*"", """")"),"Становится нейтральной")</f>
        <v>Становится нейтральной</v>
      </c>
      <c r="D83" s="3" t="str">
        <f ca="1">IFERROR(__xludf.DUMMYFUNCTION("REGEXREPLACE(REGEXEXTRACT(F83, ""в\)\s*(.*?)\s*г\)""), ""^\s*"", """")"),"Возвращается в улей за новым жалом")</f>
        <v>Возвращается в улей за новым жалом</v>
      </c>
      <c r="E83" s="3" t="str">
        <f ca="1">IFERROR(__xludf.DUMMYFUNCTION("REGEXREPLACE(REGEXEXTRACT(F83, ""г\)\s*(.*)""), ""^\s*"", """")"),"Ничего")</f>
        <v>Ничего</v>
      </c>
      <c r="F83" s="9" t="s">
        <v>87</v>
      </c>
      <c r="V83" s="3"/>
    </row>
    <row r="84" spans="1:22" ht="16.5" customHeight="1">
      <c r="A84" s="3" t="str">
        <f ca="1">IFERROR(__xludf.DUMMYFUNCTION("REGEXEXTRACT(F84, ""s*(.*?)\s*а\)"")"),"Какой моб является единственным источником фантомных мембран?")</f>
        <v>Какой моб является единственным источником фантомных мембран?</v>
      </c>
      <c r="B84" s="3" t="str">
        <f ca="1">IFERROR(__xludf.DUMMYFUNCTION("REGEXREPLACE(REGEXEXTRACT(F84, ""а\)\s*(.*?)\s*б\)""), ""^\s*"", """")"),"Фантом")</f>
        <v>Фантом</v>
      </c>
      <c r="C84" s="3" t="str">
        <f ca="1">IFERROR(__xludf.DUMMYFUNCTION("REGEXREPLACE(REGEXEXTRACT(F84, ""б\)\s*(.*?)\s*в\)""), ""^\s*"", """")"),"Летучая мышь")</f>
        <v>Летучая мышь</v>
      </c>
      <c r="D84" s="3" t="str">
        <f ca="1">IFERROR(__xludf.DUMMYFUNCTION("REGEXREPLACE(REGEXEXTRACT(F84, ""в\)\s*(.*?)\s*г\)""), ""^\s*"", """")"),"Гаст")</f>
        <v>Гаст</v>
      </c>
      <c r="E84" s="3" t="str">
        <f ca="1">IFERROR(__xludf.DUMMYFUNCTION("REGEXREPLACE(REGEXEXTRACT(F84, ""г\)\s*(.*)""), ""^\s*"", """")"),"Ведьма")</f>
        <v>Ведьма</v>
      </c>
      <c r="F84" s="9" t="s">
        <v>88</v>
      </c>
      <c r="V84" s="3"/>
    </row>
    <row r="85" spans="1:22" ht="16.5" customHeight="1">
      <c r="A85" s="3" t="str">
        <f ca="1">IFERROR(__xludf.DUMMYFUNCTION("REGEXEXTRACT(F85, ""s*(.*?)\s*а\)"")"),"Что делает эффект ""Плетения""?")</f>
        <v>Что делает эффект "Плетения"?</v>
      </c>
      <c r="B85" s="3" t="str">
        <f ca="1">IFERROR(__xludf.DUMMYFUNCTION("REGEXREPLACE(REGEXEXTRACT(F85, ""а\)\s*(.*?)\s*б\)""), ""^\s*"", """")"),"После смерти моба распространяет блоки паутины")</f>
        <v>После смерти моба распространяет блоки паутины</v>
      </c>
      <c r="C85" s="3" t="str">
        <f ca="1">IFERROR(__xludf.DUMMYFUNCTION("REGEXREPLACE(REGEXEXTRACT(F85, ""б\)\s*(.*?)\s*в\)""), ""^\s*"", """")"),"Восстанавливает голод")</f>
        <v>Восстанавливает голод</v>
      </c>
      <c r="D85" s="3" t="str">
        <f ca="1">IFERROR(__xludf.DUMMYFUNCTION("REGEXREPLACE(REGEXEXTRACT(F85, ""в\)\s*(.*?)\s*г\)""), ""^\s*"", """")"),"Ранит живых сущностей")</f>
        <v>Ранит живых сущностей</v>
      </c>
      <c r="E85" s="3" t="str">
        <f ca="1">IFERROR(__xludf.DUMMYFUNCTION("REGEXREPLACE(REGEXEXTRACT(F85, ""г\)\s*(.*)""), ""^\s*"", """")"),"Искажает зрение игрока")</f>
        <v>Искажает зрение игрока</v>
      </c>
      <c r="F85" s="9" t="s">
        <v>89</v>
      </c>
      <c r="V85" s="3"/>
    </row>
    <row r="86" spans="1:22" ht="16.5" customHeight="1">
      <c r="A86" s="3" t="str">
        <f ca="1">IFERROR(__xludf.DUMMYFUNCTION("REGEXEXTRACT(F86, ""s*(.*?)\s*а\)"")"),"Что делает команда ""/time""?")</f>
        <v>Что делает команда "/time"?</v>
      </c>
      <c r="B86" s="3" t="str">
        <f ca="1">IFERROR(__xludf.DUMMYFUNCTION("REGEXREPLACE(REGEXEXTRACT(F86, ""а\)\s*(.*?)\s*б\)""), ""^\s*"", """")"),"Меняет время суток")</f>
        <v>Меняет время суток</v>
      </c>
      <c r="C86" s="3" t="str">
        <f ca="1">IFERROR(__xludf.DUMMYFUNCTION("REGEXREPLACE(REGEXEXTRACT(F86, ""б\)\s*(.*?)\s*в\)""), ""^\s*"", """")"),"Призывает часы")</f>
        <v>Призывает часы</v>
      </c>
      <c r="D86" s="3" t="str">
        <f ca="1">IFERROR(__xludf.DUMMYFUNCTION("REGEXREPLACE(REGEXEXTRACT(F86, ""в\)\s*(.*?)\s*г\)""), ""^\s*"", """")"),"Показывает время суток")</f>
        <v>Показывает время суток</v>
      </c>
      <c r="E86" s="3" t="str">
        <f ca="1">IFERROR(__xludf.DUMMYFUNCTION("REGEXREPLACE(REGEXEXTRACT(F86, ""г\)\s*(.*)""), ""^\s*"", """")"),"Что это я не знаю английский")</f>
        <v>Что это я не знаю английский</v>
      </c>
      <c r="F86" s="9" t="s">
        <v>90</v>
      </c>
      <c r="V86" s="3"/>
    </row>
    <row r="87" spans="1:22" ht="16.5" customHeight="1">
      <c r="A87" s="3" t="str">
        <f ca="1">IFERROR(__xludf.DUMMYFUNCTION("REGEXEXTRACT(F87, ""s*(.*?)\s*а\)"")"),"Какие ингредиенты нужны для зелья ""черепашьей мощи""?")</f>
        <v>Какие ингредиенты нужны для зелья "черепашьей мощи"?</v>
      </c>
      <c r="B87" s="3" t="str">
        <f ca="1">IFERROR(__xludf.DUMMYFUNCTION("REGEXREPLACE(REGEXEXTRACT(F87, ""а\)\s*(.*?)\s*б\)""), ""^\s*"", """")"),"Грубое зелье + Черепаший панцирь")</f>
        <v>Грубое зелье + Черепаший панцирь</v>
      </c>
      <c r="C87" s="3" t="str">
        <f ca="1">IFERROR(__xludf.DUMMYFUNCTION("REGEXREPLACE(REGEXEXTRACT(F87, ""б\)\s*(.*?)\s*в\)""), ""^\s*"", """")"),"Грубое зелье + Иглобрюх")</f>
        <v>Грубое зелье + Иглобрюх</v>
      </c>
      <c r="D87" s="3" t="str">
        <f ca="1">IFERROR(__xludf.DUMMYFUNCTION("REGEXREPLACE(REGEXEXTRACT(F87, ""в\)\s*(.*?)\s*г\)""), ""^\s*"", """")"),"Грубое зелье + Сахар")</f>
        <v>Грубое зелье + Сахар</v>
      </c>
      <c r="E87" s="3" t="str">
        <f ca="1">IFERROR(__xludf.DUMMYFUNCTION("REGEXREPLACE(REGEXEXTRACT(F87, ""г\)\s*(.*)""), ""^\s*"", """")"),"Грубое зелье + Черепаший щиток")</f>
        <v>Грубое зелье + Черепаший щиток</v>
      </c>
      <c r="F87" s="9" t="s">
        <v>91</v>
      </c>
      <c r="V87" s="3"/>
    </row>
    <row r="88" spans="1:22" ht="16.5" customHeight="1">
      <c r="A88" s="3" t="str">
        <f ca="1">IFERROR(__xludf.DUMMYFUNCTION("REGEXEXTRACT(F88, ""s*(.*?)\s*а\)"")"),"Какой эффект дает зачарование ""Скорость души""?")</f>
        <v>Какой эффект дает зачарование "Скорость души"?</v>
      </c>
      <c r="B88" s="3" t="str">
        <f ca="1">IFERROR(__xludf.DUMMYFUNCTION("REGEXREPLACE(REGEXEXTRACT(F88, ""а\)\s*(.*?)\s*б\)""), ""^\s*"", """")"),"Ускоряет передвижение по песку душ и земле душ")</f>
        <v>Ускоряет передвижение по песку душ и земле душ</v>
      </c>
      <c r="C88" s="3" t="str">
        <f ca="1">IFERROR(__xludf.DUMMYFUNCTION("REGEXREPLACE(REGEXEXTRACT(F88, ""б\)\s*(.*?)\s*в\)""), ""^\s*"", """")"),"Позволяет бегать по воде")</f>
        <v>Позволяет бегать по воде</v>
      </c>
      <c r="D88" s="3" t="str">
        <f ca="1">IFERROR(__xludf.DUMMYFUNCTION("REGEXREPLACE(REGEXEXTRACT(F88, ""в\)\s*(.*?)\s*г\)""), ""^\s*"", """")"),"Увеличивает общую скорость бега")</f>
        <v>Увеличивает общую скорость бега</v>
      </c>
      <c r="E88" s="3" t="str">
        <f ca="1">IFERROR(__xludf.DUMMYFUNCTION("REGEXREPLACE(REGEXEXTRACT(F88, ""г\)\s*(.*)""), ""^\s*"", """")"),"Ускоряет душу")</f>
        <v>Ускоряет душу</v>
      </c>
      <c r="F88" s="9" t="s">
        <v>92</v>
      </c>
      <c r="V88" s="3"/>
    </row>
    <row r="89" spans="1:22" ht="16.5" customHeight="1">
      <c r="A89" s="3" t="str">
        <f ca="1">IFERROR(__xludf.DUMMYFUNCTION("REGEXEXTRACT(F89, ""s*(.*?)\s*а\)"")"),"Что произойдет, если заряженный крипер убьет зомби, скелета или другого крипера?")</f>
        <v>Что произойдет, если заряженный крипер убьет зомби, скелета или другого крипера?</v>
      </c>
      <c r="B89" s="3" t="str">
        <f ca="1">IFERROR(__xludf.DUMMYFUNCTION("REGEXREPLACE(REGEXEXTRACT(F89, ""а\)\s*(.*?)\s*б\)""), ""^\s*"", """")"),"С убитого моба выпадет голова")</f>
        <v>С убитого моба выпадет голова</v>
      </c>
      <c r="C89" s="3" t="str">
        <f ca="1">IFERROR(__xludf.DUMMYFUNCTION("REGEXREPLACE(REGEXEXTRACT(F89, ""б\)\s*(.*?)\s*в\)""), ""^\s*"", """")"),"Моб просто умрет")</f>
        <v>Моб просто умрет</v>
      </c>
      <c r="D89" s="3" t="str">
        <f ca="1">IFERROR(__xludf.DUMMYFUNCTION("REGEXREPLACE(REGEXEXTRACT(F89, ""в\)\s*(.*?)\s*г\)""), ""^\s*"", """")"),"Моб станет заряженным")</f>
        <v>Моб станет заряженным</v>
      </c>
      <c r="E89" s="3" t="str">
        <f ca="1">IFERROR(__xludf.DUMMYFUNCTION("REGEXREPLACE(REGEXEXTRACT(F89, ""г\)\s*(.*)""), ""^\s*"", """")"),"Произойдет взрыв")</f>
        <v>Произойдет взрыв</v>
      </c>
      <c r="F89" s="9" t="s">
        <v>93</v>
      </c>
      <c r="V89" s="3"/>
    </row>
    <row r="90" spans="1:22" ht="16.5" customHeight="1">
      <c r="A90" s="3" t="str">
        <f ca="1">IFERROR(__xludf.DUMMYFUNCTION("REGEXEXTRACT(F90, ""s*(.*?)\s*а\)"")"),"Какое зелье имеет противоположный эффект зелью силы?")</f>
        <v>Какое зелье имеет противоположный эффект зелью силы?</v>
      </c>
      <c r="B90" s="3" t="str">
        <f ca="1">IFERROR(__xludf.DUMMYFUNCTION("REGEXREPLACE(REGEXEXTRACT(F90, ""а\)\s*(.*?)\s*б\)""), ""^\s*"", """")"),"Зелье слабости")</f>
        <v>Зелье слабости</v>
      </c>
      <c r="C90" s="3" t="str">
        <f ca="1">IFERROR(__xludf.DUMMYFUNCTION("REGEXREPLACE(REGEXEXTRACT(F90, ""б\)\s*(.*?)\s*в\)""), ""^\s*"", """")"),"Зелье медлительности")</f>
        <v>Зелье медлительности</v>
      </c>
      <c r="D90" s="3" t="str">
        <f ca="1">IFERROR(__xludf.DUMMYFUNCTION("REGEXREPLACE(REGEXEXTRACT(F90, ""в\)\s*(.*?)\s*г\)""), ""^\s*"", """")"),"Зелье отравления")</f>
        <v>Зелье отравления</v>
      </c>
      <c r="E90" s="3" t="str">
        <f ca="1">IFERROR(__xludf.DUMMYFUNCTION("REGEXREPLACE(REGEXEXTRACT(F90, ""г\)\s*(.*)""), ""^\s*"", """")"),"Зелье вреда")</f>
        <v>Зелье вреда</v>
      </c>
      <c r="F90" s="9" t="s">
        <v>94</v>
      </c>
      <c r="V90" s="3"/>
    </row>
    <row r="91" spans="1:22" ht="16.5" customHeight="1">
      <c r="A91" s="3" t="str">
        <f ca="1">IFERROR(__xludf.DUMMYFUNCTION("REGEXEXTRACT(F91, ""s*(.*?)\s*а\)"")"),"Какой блок может быть использован для создания ""лифта""?")</f>
        <v>Какой блок может быть использован для создания "лифта"?</v>
      </c>
      <c r="B91" s="3" t="str">
        <f ca="1">IFERROR(__xludf.DUMMYFUNCTION("REGEXREPLACE(REGEXEXTRACT(F91, ""а\)\s*(.*?)\s*б\)""), ""^\s*"", """")"),"Вода + Песок душ/Магма")</f>
        <v>Вода + Песок душ/Магма</v>
      </c>
      <c r="C91" s="3" t="str">
        <f ca="1">IFERROR(__xludf.DUMMYFUNCTION("REGEXREPLACE(REGEXEXTRACT(F91, ""б\)\s*(.*?)\s*в\)""), ""^\s*"", """")"),"Воздух")</f>
        <v>Воздух</v>
      </c>
      <c r="D91" s="3" t="str">
        <f ca="1">IFERROR(__xludf.DUMMYFUNCTION("REGEXREPLACE(REGEXEXTRACT(F91, ""в\)\s*(.*?)\s*г\)""), ""^\s*"", """")"),"Паутина")</f>
        <v>Паутина</v>
      </c>
      <c r="E91" s="3" t="str">
        <f ca="1">IFERROR(__xludf.DUMMYFUNCTION("REGEXREPLACE(REGEXEXTRACT(F91, ""г\)\s*(.*)""), ""^\s*"", """")"),"Лед")</f>
        <v>Лед</v>
      </c>
      <c r="F91" s="9" t="s">
        <v>95</v>
      </c>
      <c r="V91" s="3"/>
    </row>
    <row r="92" spans="1:22" ht="16.5" customHeight="1">
      <c r="A92" s="3" t="str">
        <f ca="1">IFERROR(__xludf.DUMMYFUNCTION("REGEXEXTRACT(F92, ""s*(.*?)\s*а\)"")"),"Какой враждебный моб, атакует игрока зарядами ветра?")</f>
        <v>Какой враждебный моб, атакует игрока зарядами ветра?</v>
      </c>
      <c r="B92" s="3" t="str">
        <f ca="1">IFERROR(__xludf.DUMMYFUNCTION("REGEXREPLACE(REGEXEXTRACT(F92, ""а\)\s*(.*?)\s*б\)""), ""^\s*"", """")"),"Вихрь")</f>
        <v>Вихрь</v>
      </c>
      <c r="C92" s="3" t="str">
        <f ca="1">IFERROR(__xludf.DUMMYFUNCTION("REGEXREPLACE(REGEXEXTRACT(F92, ""б\)\s*(.*?)\s*в\)""), ""^\s*"", """")"),"Буря")</f>
        <v>Буря</v>
      </c>
      <c r="D92" s="3" t="str">
        <f ca="1">IFERROR(__xludf.DUMMYFUNCTION("REGEXREPLACE(REGEXEXTRACT(F92, ""в\)\s*(.*?)\s*г\)""), ""^\s*"", """")"),"Шторм")</f>
        <v>Шторм</v>
      </c>
      <c r="E92" s="3" t="str">
        <f ca="1">IFERROR(__xludf.DUMMYFUNCTION("REGEXREPLACE(REGEXEXTRACT(F92, ""г\)\s*(.*)""), ""^\s*"", """")"),"Дух ветра")</f>
        <v>Дух ветра</v>
      </c>
      <c r="F92" s="9" t="s">
        <v>96</v>
      </c>
      <c r="V92" s="3"/>
    </row>
    <row r="93" spans="1:22" ht="16.5" customHeight="1">
      <c r="A93" s="3" t="str">
        <f ca="1">IFERROR(__xludf.DUMMYFUNCTION("REGEXEXTRACT(F93, ""s*(.*?)\s*а\)"")"),"Какой блок позволяет автоматизировать процесс крафта?")</f>
        <v>Какой блок позволяет автоматизировать процесс крафта?</v>
      </c>
      <c r="B93" s="3" t="str">
        <f ca="1">IFERROR(__xludf.DUMMYFUNCTION("REGEXREPLACE(REGEXEXTRACT(F93, ""а\)\s*(.*?)\s*б\)""), ""^\s*"", """")"),"Сборщик")</f>
        <v>Сборщик</v>
      </c>
      <c r="C93" s="3" t="str">
        <f ca="1">IFERROR(__xludf.DUMMYFUNCTION("REGEXREPLACE(REGEXEXTRACT(F93, ""б\)\s*(.*?)\s*в\)""), ""^\s*"", """")"),"Раздатчик")</f>
        <v>Раздатчик</v>
      </c>
      <c r="D93" s="3" t="str">
        <f ca="1">IFERROR(__xludf.DUMMYFUNCTION("REGEXREPLACE(REGEXEXTRACT(F93, ""в\)\s*(.*?)\s*г\)""), ""^\s*"", """")"),"Выбрасыватель")</f>
        <v>Выбрасыватель</v>
      </c>
      <c r="E93" s="3" t="str">
        <f ca="1">IFERROR(__xludf.DUMMYFUNCTION("REGEXREPLACE(REGEXEXTRACT(F93, ""г\)\s*(.*)""), ""^\s*"", """")"),"Фабрикатор")</f>
        <v>Фабрикатор</v>
      </c>
      <c r="F93" s="9" t="s">
        <v>97</v>
      </c>
      <c r="V93" s="3"/>
    </row>
    <row r="94" spans="1:22" ht="16.5" customHeight="1">
      <c r="A94" s="3" t="str">
        <f ca="1">IFERROR(__xludf.DUMMYFUNCTION("REGEXEXTRACT(F94, ""s*(.*?)\s*а\)"")"),"Как называется структура, где можно найти подозрительный гравий и глиняные черепки?")</f>
        <v>Как называется структура, где можно найти подозрительный гравий и глиняные черепки?</v>
      </c>
      <c r="B94" s="3" t="str">
        <f ca="1">IFERROR(__xludf.DUMMYFUNCTION("REGEXREPLACE(REGEXEXTRACT(F94, ""а\)\s*(.*?)\s*б\)""), ""^\s*"", """")"),"Руины троп")</f>
        <v>Руины троп</v>
      </c>
      <c r="C94" s="3" t="str">
        <f ca="1">IFERROR(__xludf.DUMMYFUNCTION("REGEXREPLACE(REGEXEXTRACT(F94, ""б\)\s*(.*?)\s*в\)""), ""^\s*"", """")"),"Древний город")</f>
        <v>Древний город</v>
      </c>
      <c r="D94" s="3" t="str">
        <f ca="1">IFERROR(__xludf.DUMMYFUNCTION("REGEXREPLACE(REGEXEXTRACT(F94, ""в\)\s*(.*?)\s*г\)""), ""^\s*"", """")"),"Древний комплекс")</f>
        <v>Древний комплекс</v>
      </c>
      <c r="E94" s="3" t="str">
        <f ca="1">IFERROR(__xludf.DUMMYFUNCTION("REGEXREPLACE(REGEXEXTRACT(F94, ""г\)\s*(.*)""), ""^\s*"", """")"),"Погребенный город")</f>
        <v>Погребенный город</v>
      </c>
      <c r="F94" s="9" t="s">
        <v>98</v>
      </c>
      <c r="V94" s="3"/>
    </row>
    <row r="95" spans="1:22" ht="16.5" customHeight="1">
      <c r="A95" s="3" t="str">
        <f ca="1">IFERROR(__xludf.DUMMYFUNCTION("REGEXEXTRACT(F95, ""s*(.*?)\s*а\)"")"),"Какой инструмент нужно использовать на блоках подозрительного песка, чтобы добыть из них предметы?")</f>
        <v>Какой инструмент нужно использовать на блоках подозрительного песка, чтобы добыть из них предметы?</v>
      </c>
      <c r="B95" s="3" t="str">
        <f ca="1">IFERROR(__xludf.DUMMYFUNCTION("REGEXREPLACE(REGEXEXTRACT(F95, ""а\)\s*(.*?)\s*б\)""), ""^\s*"", """")"),"Кисточка")</f>
        <v>Кисточка</v>
      </c>
      <c r="C95" s="3" t="str">
        <f ca="1">IFERROR(__xludf.DUMMYFUNCTION("REGEXREPLACE(REGEXEXTRACT(F95, ""б\)\s*(.*?)\s*в\)""), ""^\s*"", """")"),"Лопата")</f>
        <v>Лопата</v>
      </c>
      <c r="D95" s="3" t="str">
        <f ca="1">IFERROR(__xludf.DUMMYFUNCTION("REGEXREPLACE(REGEXEXTRACT(F95, ""в\)\s*(.*?)\s*г\)""), ""^\s*"", """")"),"Мотыга")</f>
        <v>Мотыга</v>
      </c>
      <c r="E95" s="3" t="str">
        <f ca="1">IFERROR(__xludf.DUMMYFUNCTION("REGEXREPLACE(REGEXEXTRACT(F95, ""г\)\s*(.*)""), ""^\s*"", """")"),"Рука")</f>
        <v>Рука</v>
      </c>
      <c r="F95" s="9" t="s">
        <v>99</v>
      </c>
      <c r="V95" s="3"/>
    </row>
    <row r="96" spans="1:22" ht="16.5" customHeight="1">
      <c r="A96" s="3" t="str">
        <f ca="1">IFERROR(__xludf.DUMMYFUNCTION("REGEXEXTRACT(F96, ""s*(.*?)\s*а\)"")"),"Что можно найти и использовать для кастомизации своей брони, придавая ей уникальные узоры?")</f>
        <v>Что можно найти и использовать для кастомизации своей брони, придавая ей уникальные узоры?</v>
      </c>
      <c r="B96" s="3" t="str">
        <f ca="1">IFERROR(__xludf.DUMMYFUNCTION("REGEXREPLACE(REGEXEXTRACT(F96, ""а\)\s*(.*?)\s*б\)""), ""^\s*"", """")"),"Кузнечные шаблоны")</f>
        <v>Кузнечные шаблоны</v>
      </c>
      <c r="C96" s="3" t="str">
        <f ca="1">IFERROR(__xludf.DUMMYFUNCTION("REGEXREPLACE(REGEXEXTRACT(F96, ""б\)\s*(.*?)\s*в\)""), ""^\s*"", """")"),"Гравировальные станки")</f>
        <v>Гравировальные станки</v>
      </c>
      <c r="D96" s="3" t="str">
        <f ca="1">IFERROR(__xludf.DUMMYFUNCTION("REGEXREPLACE(REGEXEXTRACT(F96, ""в\)\s*(.*?)\s*г\)""), ""^\s*"", """")"),"Древние руны")</f>
        <v>Древние руны</v>
      </c>
      <c r="E96" s="3" t="str">
        <f ca="1">IFERROR(__xludf.DUMMYFUNCTION("REGEXREPLACE(REGEXEXTRACT(F96, ""г\)\s*(.*)""), ""^\s*"", """")"),"Наборы красителей")</f>
        <v>Наборы красителей</v>
      </c>
      <c r="F96" s="9" t="s">
        <v>100</v>
      </c>
      <c r="V96" s="3"/>
    </row>
    <row r="97" spans="1:22" ht="16.5" customHeight="1">
      <c r="A97" s="3" t="str">
        <f ca="1">IFERROR(__xludf.DUMMYFUNCTION("REGEXEXTRACT(F97, ""s*(.*?)\s*а\)"")"),"Какой вид скелета, стреляет отравленными стрелами?")</f>
        <v>Какой вид скелета, стреляет отравленными стрелами?</v>
      </c>
      <c r="B97" s="3" t="str">
        <f ca="1">IFERROR(__xludf.DUMMYFUNCTION("REGEXREPLACE(REGEXEXTRACT(F97, ""а\)\s*(.*?)\s*б\)""), ""^\s*"", """")"),"Болотник")</f>
        <v>Болотник</v>
      </c>
      <c r="C97" s="3" t="str">
        <f ca="1">IFERROR(__xludf.DUMMYFUNCTION("REGEXREPLACE(REGEXEXTRACT(F97, ""б\)\s*(.*?)\s*в\)""), ""^\s*"", """")"),"Топчун")</f>
        <v>Топчун</v>
      </c>
      <c r="D97" s="3" t="str">
        <f ca="1">IFERROR(__xludf.DUMMYFUNCTION("REGEXREPLACE(REGEXEXTRACT(F97, ""в\)\s*(.*?)\s*г\)""), ""^\s*"", """")"),"Гнилой скелет")</f>
        <v>Гнилой скелет</v>
      </c>
      <c r="E97" s="3" t="str">
        <f ca="1">IFERROR(__xludf.DUMMYFUNCTION("REGEXREPLACE(REGEXEXTRACT(F97, ""г\)\s*(.*)""), ""^\s*"", """")"),"Моховой лучник")</f>
        <v>Моховой лучник</v>
      </c>
      <c r="F97" s="9" t="s">
        <v>101</v>
      </c>
      <c r="V97" s="3"/>
    </row>
    <row r="98" spans="1:22" ht="16.5" customHeight="1">
      <c r="A98" s="3" t="str">
        <f ca="1">IFERROR(__xludf.DUMMYFUNCTION("REGEXEXTRACT(F98, ""s*(.*?)\s*а\)"")"),"Какой моб, может перевозить двух игроков одновременно?")</f>
        <v>Какой моб, может перевозить двух игроков одновременно?</v>
      </c>
      <c r="B98" s="3" t="str">
        <f ca="1">IFERROR(__xludf.DUMMYFUNCTION("REGEXREPLACE(REGEXEXTRACT(F98, ""а\)\s*(.*?)\s*б\)""), ""^\s*"", """")"),"Верблюд")</f>
        <v>Верблюд</v>
      </c>
      <c r="C98" s="3" t="str">
        <f ca="1">IFERROR(__xludf.DUMMYFUNCTION("REGEXREPLACE(REGEXEXTRACT(F98, ""б\)\s*(.*?)\s*в\)""), ""^\s*"", """")"),"Лошадь")</f>
        <v>Лошадь</v>
      </c>
      <c r="D98" s="3" t="str">
        <f ca="1">IFERROR(__xludf.DUMMYFUNCTION("REGEXREPLACE(REGEXEXTRACT(F98, ""в\)\s*(.*?)\s*г\)""), ""^\s*"", """")"),"Лама")</f>
        <v>Лама</v>
      </c>
      <c r="E98" s="3" t="str">
        <f ca="1">IFERROR(__xludf.DUMMYFUNCTION("REGEXREPLACE(REGEXEXTRACT(F98, ""г\)\s*(.*)""), ""^\s*"", """")"),"Страйдер")</f>
        <v>Страйдер</v>
      </c>
      <c r="F98" s="9" t="s">
        <v>102</v>
      </c>
      <c r="V98" s="3"/>
    </row>
    <row r="99" spans="1:22" ht="16.5" customHeight="1">
      <c r="A99" s="3" t="str">
        <f ca="1">IFERROR(__xludf.DUMMYFUNCTION("REGEXEXTRACT(F99, ""s*(.*?)\s*а\)"")"),"Какой предмет используется для активации ""зловещих"" событий в Камерах испытаний?")</f>
        <v>Какой предмет используется для активации "зловещих" событий в Камерах испытаний?</v>
      </c>
      <c r="B99" s="3" t="str">
        <f ca="1">IFERROR(__xludf.DUMMYFUNCTION("REGEXREPLACE(REGEXEXTRACT(F99, ""а\)\s*(.*?)\s*б\)""), ""^\s*"", """")"),"Зловещая бутылочка")</f>
        <v>Зловещая бутылочка</v>
      </c>
      <c r="C99" s="3" t="str">
        <f ca="1">IFERROR(__xludf.DUMMYFUNCTION("REGEXREPLACE(REGEXEXTRACT(F99, ""б\)\s*(.*?)\s*в\)""), ""^\s*"", """")"),"Проклятый тотем")</f>
        <v>Проклятый тотем</v>
      </c>
      <c r="D99" s="3" t="str">
        <f ca="1">IFERROR(__xludf.DUMMYFUNCTION("REGEXREPLACE(REGEXEXTRACT(F99, ""в\)\s*(.*?)\s*г\)""), ""^\s*"", """")"),"Череп иссушителя")</f>
        <v>Череп иссушителя</v>
      </c>
      <c r="E99" s="3" t="str">
        <f ca="1">IFERROR(__xludf.DUMMYFUNCTION("REGEXREPLACE(REGEXEXTRACT(F99, ""г\)\s*(.*)""), ""^\s*"", """")"),"Око Края")</f>
        <v>Око Края</v>
      </c>
      <c r="F99" s="10" t="s">
        <v>103</v>
      </c>
      <c r="V99" s="3"/>
    </row>
    <row r="100" spans="1:22" ht="16.5" customHeight="1">
      <c r="A100" s="3" t="str">
        <f ca="1">IFERROR(__xludf.DUMMYFUNCTION("REGEXEXTRACT(F100, ""s*(.*?)\s*а\)"")"),"Какое зачарование для булавы, создает порыв ветра при ударе?")</f>
        <v>Какое зачарование для булавы, создает порыв ветра при ударе?</v>
      </c>
      <c r="B100" s="3" t="str">
        <f ca="1">IFERROR(__xludf.DUMMYFUNCTION("REGEXREPLACE(REGEXEXTRACT(F100, ""а\)\s*(.*?)\s*б\)""), ""^\s*"", """")"),"Ветряной шквал")</f>
        <v>Ветряной шквал</v>
      </c>
      <c r="C100" s="3" t="str">
        <f ca="1">IFERROR(__xludf.DUMMYFUNCTION("REGEXREPLACE(REGEXEXTRACT(F100, ""б\)\s*(.*?)\s*в\)""), ""^\s*"", """")"),"Отбрасывание")</f>
        <v>Отбрасывание</v>
      </c>
      <c r="D100" s="3" t="str">
        <f ca="1">IFERROR(__xludf.DUMMYFUNCTION("REGEXREPLACE(REGEXEXTRACT(F100, ""в\)\s*(.*?)\s*г\)""), ""^\s*"", """")"),"Ударная волна")</f>
        <v>Ударная волна</v>
      </c>
      <c r="E100" s="3" t="str">
        <f ca="1">IFERROR(__xludf.DUMMYFUNCTION("REGEXREPLACE(REGEXEXTRACT(F100, ""г\)\s*(.*)""), ""^\s*"", """")"),"Порыв")</f>
        <v>Порыв</v>
      </c>
      <c r="F100" s="9" t="s">
        <v>104</v>
      </c>
      <c r="V100" s="3"/>
    </row>
    <row r="101" spans="1:22" ht="16.5" customHeight="1">
      <c r="A101" s="3" t="str">
        <f ca="1">IFERROR(__xludf.DUMMYFUNCTION("REGEXEXTRACT(F101, ""s*(.*?)\s*а\)"")"),"Какого моба не существует в игре?")</f>
        <v>Какого моба не существует в игре?</v>
      </c>
      <c r="B101" s="3" t="str">
        <f ca="1">IFERROR(__xludf.DUMMYFUNCTION("REGEXREPLACE(REGEXEXTRACT(F101, ""а\)\s*(.*?)\s*б\)""), ""^\s*"", """")"),"Светлячок")</f>
        <v>Светлячок</v>
      </c>
      <c r="C101" s="3" t="str">
        <f ca="1">IFERROR(__xludf.DUMMYFUNCTION("REGEXREPLACE(REGEXEXTRACT(F101, ""б\)\s*(.*?)\s*в\)""), ""^\s*"", """")"),"Медный голем")</f>
        <v>Медный голем</v>
      </c>
      <c r="D101" s="3" t="str">
        <f ca="1">IFERROR(__xludf.DUMMYFUNCTION("REGEXREPLACE(REGEXEXTRACT(F101, ""в\)\s*(.*?)\s*г\)""), ""^\s*"", """")"),"Скрипун")</f>
        <v>Скрипун</v>
      </c>
      <c r="E101" s="3" t="str">
        <f ca="1">IFERROR(__xludf.DUMMYFUNCTION("REGEXREPLACE(REGEXEXTRACT(F101, ""г\)\s*(.*)""), ""^\s*"", """")"),"Досаждатель")</f>
        <v>Досаждатель</v>
      </c>
      <c r="F101" s="9" t="s">
        <v>105</v>
      </c>
      <c r="V101" s="3"/>
    </row>
    <row r="102" spans="1:22" ht="16.5" customHeight="1">
      <c r="A102" s="3" t="str">
        <f ca="1">IFERROR(__xludf.DUMMYFUNCTION("REGEXEXTRACT(F102, ""s*(.*?)\s*а\)"")"),"Какой моб способен открывать деревянные двери на высокой сложности?")</f>
        <v>Какой моб способен открывать деревянные двери на высокой сложности?</v>
      </c>
      <c r="B102" s="3" t="str">
        <f ca="1">IFERROR(__xludf.DUMMYFUNCTION("REGEXREPLACE(REGEXEXTRACT(F102, ""а\)\s*(.*?)\s*б\)""), ""^\s*"", """")"),"Зомби")</f>
        <v>Зомби</v>
      </c>
      <c r="C102" s="3" t="str">
        <f ca="1">IFERROR(__xludf.DUMMYFUNCTION("REGEXREPLACE(REGEXEXTRACT(F102, ""б\)\s*(.*?)\s*в\)""), ""^\s*"", """")"),"Разбойник")</f>
        <v>Разбойник</v>
      </c>
      <c r="D102" s="3" t="str">
        <f ca="1">IFERROR(__xludf.DUMMYFUNCTION("REGEXREPLACE(REGEXEXTRACT(F102, ""в\)\s*(.*?)\s*г\)""), ""^\s*"", """")"),"Пиглин")</f>
        <v>Пиглин</v>
      </c>
      <c r="E102" s="3" t="str">
        <f ca="1">IFERROR(__xludf.DUMMYFUNCTION("REGEXREPLACE(REGEXEXTRACT(F102, ""г\)\s*(.*)""), ""^\s*"", """")"),"Утопленник")</f>
        <v>Утопленник</v>
      </c>
      <c r="F102" s="10" t="s">
        <v>106</v>
      </c>
      <c r="V102" s="3"/>
    </row>
    <row r="103" spans="1:22" ht="16.5" customHeight="1">
      <c r="A103" s="3" t="str">
        <f ca="1">IFERROR(__xludf.DUMMYFUNCTION("REGEXEXTRACT(F103, ""s*(.*?)\s*а\)"")"),"Какой блок используется для возрождения игрока в Нижнем мире?")</f>
        <v>Какой блок используется для возрождения игрока в Нижнем мире?</v>
      </c>
      <c r="B103" s="3" t="str">
        <f ca="1">IFERROR(__xludf.DUMMYFUNCTION("REGEXREPLACE(REGEXEXTRACT(F103, ""а\)\s*(.*?)\s*б\)""), ""^\s*"", """")"),"Якорь возрождения")</f>
        <v>Якорь возрождения</v>
      </c>
      <c r="C103" s="3" t="str">
        <f ca="1">IFERROR(__xludf.DUMMYFUNCTION("REGEXREPLACE(REGEXEXTRACT(F103, ""б\)\s*(.*?)\s*в\)""), ""^\s*"", """")"),"Кровать")</f>
        <v>Кровать</v>
      </c>
      <c r="D103" s="3" t="str">
        <f ca="1">IFERROR(__xludf.DUMMYFUNCTION("REGEXREPLACE(REGEXEXTRACT(F103, ""в\)\s*(.*?)\s*г\)""), ""^\s*"", """")"),"Маяк")</f>
        <v>Маяк</v>
      </c>
      <c r="E103" s="3" t="str">
        <f ca="1">IFERROR(__xludf.DUMMYFUNCTION("REGEXREPLACE(REGEXEXTRACT(F103, ""г\)\s*(.*)""), ""^\s*"", """")"),"Портал")</f>
        <v>Портал</v>
      </c>
      <c r="F103" s="10" t="s">
        <v>107</v>
      </c>
      <c r="V103" s="3"/>
    </row>
    <row r="104" spans="1:22" ht="16.5" customHeight="1">
      <c r="A104" s="3" t="str">
        <f ca="1">IFERROR(__xludf.DUMMYFUNCTION("REGEXEXTRACT(F104, ""s*(.*?)\s*а\)"")"),"Какой моб в Minecraft появился из-за ошибки при моделировании свиньи?")</f>
        <v>Какой моб в Minecraft появился из-за ошибки при моделировании свиньи?</v>
      </c>
      <c r="B104" s="3" t="str">
        <f ca="1">IFERROR(__xludf.DUMMYFUNCTION("REGEXREPLACE(REGEXEXTRACT(F104, ""а\)\s*(.*?)\s*б\)""), ""^\s*"", """")"),"Крипер")</f>
        <v>Крипер</v>
      </c>
      <c r="C104" s="3" t="str">
        <f ca="1">IFERROR(__xludf.DUMMYFUNCTION("REGEXREPLACE(REGEXEXTRACT(F104, ""б\)\s*(.*?)\s*в\)""), ""^\s*"", """")"),"Эндермен")</f>
        <v>Эндермен</v>
      </c>
      <c r="D104" s="3" t="str">
        <f ca="1">IFERROR(__xludf.DUMMYFUNCTION("REGEXREPLACE(REGEXEXTRACT(F104, ""в\)\s*(.*?)\s*г\)""), ""^\s*"", """")"),"Зомби")</f>
        <v>Зомби</v>
      </c>
      <c r="E104" s="3" t="str">
        <f ca="1">IFERROR(__xludf.DUMMYFUNCTION("REGEXREPLACE(REGEXEXTRACT(F104, ""г\)\s*(.*)""), ""^\s*"", """")"),"Скелет")</f>
        <v>Скелет</v>
      </c>
      <c r="F104" s="10" t="s">
        <v>108</v>
      </c>
      <c r="V104" s="3"/>
    </row>
    <row r="105" spans="1:22" ht="16.5" customHeight="1">
      <c r="A105" s="3" t="str">
        <f ca="1">IFERROR(__xludf.DUMMYFUNCTION("REGEXEXTRACT(F105, ""s*(.*?)\s*а\)"")"),"Какой уровень освещения необходим, чтобы спавнер мобов продолжал работать?")</f>
        <v>Какой уровень освещения необходим, чтобы спавнер мобов продолжал работать?</v>
      </c>
      <c r="B105" s="3" t="str">
        <f ca="1">IFERROR(__xludf.DUMMYFUNCTION("REGEXREPLACE(REGEXEXTRACT(F105, ""а\)\s*(.*?)\s*б\)""), ""^\s*"", """")"),"Любой")</f>
        <v>Любой</v>
      </c>
      <c r="C105" s="3" t="str">
        <f ca="1">IFERROR(__xludf.DUMMYFUNCTION("REGEXREPLACE(REGEXEXTRACT(F105, ""б\)\s*(.*?)\s*в\)""), ""^\s*"", """")"),"7 или ниже")</f>
        <v>7 или ниже</v>
      </c>
      <c r="D105" s="3" t="str">
        <f ca="1">IFERROR(__xludf.DUMMYFUNCTION("REGEXREPLACE(REGEXEXTRACT(F105, ""в\)\s*(.*?)\s*г\)""), ""^\s*"", """")"),"Только полная темнота (0)")</f>
        <v>Только полная темнота (0)</v>
      </c>
      <c r="E105" s="3" t="str">
        <f ca="1">IFERROR(__xludf.DUMMYFUNCTION("REGEXREPLACE(REGEXEXTRACT(F105, ""г\)\s*(.*)""), ""^\s*"", """")"),"11 или ниже")</f>
        <v>11 или ниже</v>
      </c>
      <c r="F105" s="10" t="s">
        <v>109</v>
      </c>
      <c r="V105" s="3"/>
    </row>
    <row r="106" spans="1:22" ht="16.5" customHeight="1">
      <c r="A106" s="3" t="str">
        <f ca="1">IFERROR(__xludf.DUMMYFUNCTION("REGEXEXTRACT(F106, ""s*(.*?)\s*а\)"")"),"Какой предмет требуется для активации портала в Край?")</f>
        <v>Какой предмет требуется для активации портала в Край?</v>
      </c>
      <c r="B106" s="3" t="str">
        <f ca="1">IFERROR(__xludf.DUMMYFUNCTION("REGEXREPLACE(REGEXEXTRACT(F106, ""а\)\s*(.*?)\s*б\)""), ""^\s*"", """")"),"Око Края")</f>
        <v>Око Края</v>
      </c>
      <c r="C106" s="3" t="str">
        <f ca="1">IFERROR(__xludf.DUMMYFUNCTION("REGEXREPLACE(REGEXEXTRACT(F106, ""б\)\s*(.*?)\s*в\)""), ""^\s*"", """")"),"Жемчуг Края")</f>
        <v>Жемчуг Края</v>
      </c>
      <c r="D106" s="3" t="str">
        <f ca="1">IFERROR(__xludf.DUMMYFUNCTION("REGEXREPLACE(REGEXEXTRACT(F106, ""в\)\s*(.*?)\s*г\)""), ""^\s*"", """")"),"Кристалл Края")</f>
        <v>Кристалл Края</v>
      </c>
      <c r="E106" s="3" t="str">
        <f ca="1">IFERROR(__xludf.DUMMYFUNCTION("REGEXREPLACE(REGEXEXTRACT(F106, ""г\)\s*(.*)""), ""^\s*"", """")"),"Слеза гаста")</f>
        <v>Слеза гаста</v>
      </c>
      <c r="F106" s="10" t="s">
        <v>110</v>
      </c>
      <c r="V106" s="3"/>
    </row>
    <row r="107" spans="1:22" ht="16.5" customHeight="1">
      <c r="A107" s="3" t="str">
        <f ca="1">IFERROR(__xludf.DUMMYFUNCTION("REGEXEXTRACT(F107, ""s*(.*?)\s*а\)"")"),"Сколько тиков в секунду использует игровая логика Minecraft Java Edition?")</f>
        <v>Сколько тиков в секунду использует игровая логика Minecraft Java Edition?</v>
      </c>
      <c r="B107" s="3" t="str">
        <f ca="1">IFERROR(__xludf.DUMMYFUNCTION("REGEXREPLACE(REGEXEXTRACT(F107, ""а\)\s*(.*?)\s*б\)""), ""^\s*"", """")"),"20")</f>
        <v>20</v>
      </c>
      <c r="C107" s="3" t="str">
        <f ca="1">IFERROR(__xludf.DUMMYFUNCTION("REGEXREPLACE(REGEXEXTRACT(F107, ""б\)\s*(.*?)\s*в\)""), ""^\s*"", """")"),"30")</f>
        <v>30</v>
      </c>
      <c r="D107" s="3" t="str">
        <f ca="1">IFERROR(__xludf.DUMMYFUNCTION("REGEXREPLACE(REGEXEXTRACT(F107, ""в\)\s*(.*?)\s*г\)""), ""^\s*"", """")"),"60")</f>
        <v>60</v>
      </c>
      <c r="E107" s="3" t="str">
        <f ca="1">IFERROR(__xludf.DUMMYFUNCTION("REGEXREPLACE(REGEXEXTRACT(F107, ""г\)\s*(.*)""), ""^\s*"", """")"),"24")</f>
        <v>24</v>
      </c>
      <c r="F107" s="10" t="s">
        <v>111</v>
      </c>
      <c r="V107" s="3"/>
    </row>
    <row r="108" spans="1:22" ht="16.5" customHeight="1">
      <c r="A108" s="3" t="str">
        <f ca="1">IFERROR(__xludf.DUMMYFUNCTION("REGEXEXTRACT(F108, ""s*(.*?)\s*а\)"")"),"Какой эффект можно выбрать у маяка только при пирамиде максимального размера?")</f>
        <v>Какой эффект можно выбрать у маяка только при пирамиде максимального размера?</v>
      </c>
      <c r="B108" s="3" t="str">
        <f ca="1">IFERROR(__xludf.DUMMYFUNCTION("REGEXREPLACE(REGEXEXTRACT(F108, ""а\)\s*(.*?)\s*б\)""), ""^\s*"", """")"),"Регенерация")</f>
        <v>Регенерация</v>
      </c>
      <c r="C108" s="3" t="str">
        <f ca="1">IFERROR(__xludf.DUMMYFUNCTION("REGEXREPLACE(REGEXEXTRACT(F108, ""б\)\s*(.*?)\s*в\)""), ""^\s*"", """")"),"Скорость")</f>
        <v>Скорость</v>
      </c>
      <c r="D108" s="3" t="str">
        <f ca="1">IFERROR(__xludf.DUMMYFUNCTION("REGEXREPLACE(REGEXEXTRACT(F108, ""в\)\s*(.*?)\s*г\)""), ""^\s*"", """")"),"Сила")</f>
        <v>Сила</v>
      </c>
      <c r="E108" s="3" t="str">
        <f ca="1">IFERROR(__xludf.DUMMYFUNCTION("REGEXREPLACE(REGEXEXTRACT(F108, ""г\)\s*(.*)""), ""^\s*"", """")"),"Прыгучесть")</f>
        <v>Прыгучесть</v>
      </c>
      <c r="F108" s="10" t="s">
        <v>112</v>
      </c>
      <c r="V108" s="3"/>
    </row>
    <row r="109" spans="1:22" ht="16.5" customHeight="1">
      <c r="A109" s="3" t="str">
        <f ca="1">IFERROR(__xludf.DUMMYFUNCTION("REGEXEXTRACT(F109, ""s*(.*?)\s*а\)"")"),"В каком биоме естественным образом появляются верблюды?")</f>
        <v>В каком биоме естественным образом появляются верблюды?</v>
      </c>
      <c r="B109" s="3" t="str">
        <f ca="1">IFERROR(__xludf.DUMMYFUNCTION("REGEXREPLACE(REGEXEXTRACT(F109, ""а\)\s*(.*?)\s*б\)""), ""^\s*"", """")"),"Пустыня")</f>
        <v>Пустыня</v>
      </c>
      <c r="C109" s="3" t="str">
        <f ca="1">IFERROR(__xludf.DUMMYFUNCTION("REGEXREPLACE(REGEXEXTRACT(F109, ""б\)\s*(.*?)\s*в\)""), ""^\s*"", """")"),"Саванна")</f>
        <v>Саванна</v>
      </c>
      <c r="D109" s="3" t="str">
        <f ca="1">IFERROR(__xludf.DUMMYFUNCTION("REGEXREPLACE(REGEXEXTRACT(F109, ""в\)\s*(.*?)\s*г\)""), ""^\s*"", """")"),"Пустынные холмы")</f>
        <v>Пустынные холмы</v>
      </c>
      <c r="E109" s="3" t="str">
        <f ca="1">IFERROR(__xludf.DUMMYFUNCTION("REGEXREPLACE(REGEXEXTRACT(F109, ""г\)\s*(.*)""), ""^\s*"", """")"),"Меса")</f>
        <v>Меса</v>
      </c>
      <c r="F109" s="10" t="s">
        <v>113</v>
      </c>
      <c r="V109" s="3"/>
    </row>
    <row r="110" spans="1:22" ht="16.5" customHeight="1">
      <c r="A110" s="3" t="str">
        <f ca="1">IFERROR(__xludf.DUMMYFUNCTION("REGEXEXTRACT(F110, ""s*(.*?)\s*а\)"")"),"Какой предмет всегда указывает на точку спавна мира (или якорь возрождения)?")</f>
        <v>Какой предмет всегда указывает на точку спавна мира (или якорь возрождения)?</v>
      </c>
      <c r="B110" s="3" t="str">
        <f ca="1">IFERROR(__xludf.DUMMYFUNCTION("REGEXREPLACE(REGEXEXTRACT(F110, ""а\)\s*(.*?)\s*б\)""), ""^\s*"", """")"),"Компас")</f>
        <v>Компас</v>
      </c>
      <c r="C110" s="3" t="str">
        <f ca="1">IFERROR(__xludf.DUMMYFUNCTION("REGEXREPLACE(REGEXEXTRACT(F110, ""б\)\s*(.*?)\s*в\)""), ""^\s*"", """")"),"Карта")</f>
        <v>Карта</v>
      </c>
      <c r="D110" s="3" t="str">
        <f ca="1">IFERROR(__xludf.DUMMYFUNCTION("REGEXREPLACE(REGEXEXTRACT(F110, ""в\)\s*(.*?)\s*г\)""), ""^\s*"", """")"),"Часы")</f>
        <v>Часы</v>
      </c>
      <c r="E110" s="3" t="str">
        <f ca="1">IFERROR(__xludf.DUMMYFUNCTION("REGEXREPLACE(REGEXEXTRACT(F110, ""г\)\s*(.*)""), ""^\s*"", """")"),"Око Края")</f>
        <v>Око Края</v>
      </c>
      <c r="F110" s="10" t="s">
        <v>114</v>
      </c>
      <c r="V110" s="3"/>
    </row>
    <row r="111" spans="1:22" ht="16.5" customHeight="1">
      <c r="A111" s="3" t="str">
        <f ca="1">IFERROR(__xludf.DUMMYFUNCTION("REGEXEXTRACT(F111, ""s*(.*?)\s*а\)"")"),"Какую максимальную высоту прыжка может иметь обычная лошадь без эффектов?")</f>
        <v>Какую максимальную высоту прыжка может иметь обычная лошадь без эффектов?</v>
      </c>
      <c r="B111" s="3" t="str">
        <f ca="1">IFERROR(__xludf.DUMMYFUNCTION("REGEXREPLACE(REGEXEXTRACT(F111, ""а\)\s*(.*?)\s*б\)""), ""^\s*"", """")"),"До 5 блоков")</f>
        <v>До 5 блоков</v>
      </c>
      <c r="C111" s="3" t="str">
        <f ca="1">IFERROR(__xludf.DUMMYFUNCTION("REGEXREPLACE(REGEXEXTRACT(F111, ""б\)\s*(.*?)\s*в\)""), ""^\s*"", """")"),"До 3 блоков")</f>
        <v>До 3 блоков</v>
      </c>
      <c r="D111" s="3" t="str">
        <f ca="1">IFERROR(__xludf.DUMMYFUNCTION("REGEXREPLACE(REGEXEXTRACT(F111, ""в\)\s*(.*?)\s*г\)""), ""^\s*"", """")"),"До 4 блоков")</f>
        <v>До 4 блоков</v>
      </c>
      <c r="E111" s="3" t="str">
        <f ca="1">IFERROR(__xludf.DUMMYFUNCTION("REGEXREPLACE(REGEXEXTRACT(F111, ""г\)\s*(.*)""), ""^\s*"", """")"),"До 2 блоков")</f>
        <v>До 2 блоков</v>
      </c>
      <c r="F111" s="10" t="s">
        <v>115</v>
      </c>
      <c r="V111" s="3"/>
    </row>
    <row r="112" spans="1:22" ht="16.5" customHeight="1">
      <c r="A112" s="3" t="str">
        <f ca="1">IFERROR(__xludf.DUMMYFUNCTION("REGEXEXTRACT(F112, ""s*(.*?)\s*а\)"")"),"Какой эффект даёт подозрительный суп из одуванчика?")</f>
        <v>Какой эффект даёт подозрительный суп из одуванчика?</v>
      </c>
      <c r="B112" s="3" t="str">
        <f ca="1">IFERROR(__xludf.DUMMYFUNCTION("REGEXREPLACE(REGEXEXTRACT(F112, ""а\)\s*(.*?)\s*б\)""), ""^\s*"", """")"),"Насыщение")</f>
        <v>Насыщение</v>
      </c>
      <c r="C112" s="3" t="str">
        <f ca="1">IFERROR(__xludf.DUMMYFUNCTION("REGEXREPLACE(REGEXEXTRACT(F112, ""б\)\s*(.*?)\s*в\)""), ""^\s*"", """")"),"Регенерация")</f>
        <v>Регенерация</v>
      </c>
      <c r="D112" s="3" t="str">
        <f ca="1">IFERROR(__xludf.DUMMYFUNCTION("REGEXREPLACE(REGEXEXTRACT(F112, ""в\)\s*(.*?)\s*г\)""), ""^\s*"", """")"),"Скорость")</f>
        <v>Скорость</v>
      </c>
      <c r="E112" s="3" t="str">
        <f ca="1">IFERROR(__xludf.DUMMYFUNCTION("REGEXREPLACE(REGEXEXTRACT(F112, ""г\)\s*(.*)""), ""^\s*"", """")"),"Слепота")</f>
        <v>Слепота</v>
      </c>
      <c r="F112" s="10" t="s">
        <v>116</v>
      </c>
      <c r="V112" s="3"/>
    </row>
    <row r="113" spans="1:22" ht="16.5" customHeight="1">
      <c r="A113" s="3" t="str">
        <f ca="1">IFERROR(__xludf.DUMMYFUNCTION("REGEXEXTRACT(F113, ""s*(.*?)\s*а\)"")"),"Какой предмет используется для разведения и приручения лис?")</f>
        <v>Какой предмет используется для разведения и приручения лис?</v>
      </c>
      <c r="B113" s="3" t="str">
        <f ca="1">IFERROR(__xludf.DUMMYFUNCTION("REGEXREPLACE(REGEXEXTRACT(F113, ""а\)\s*(.*?)\s*б\)""), ""^\s*"", """")"),"Сладкие ягоды")</f>
        <v>Сладкие ягоды</v>
      </c>
      <c r="C113" s="3" t="str">
        <f ca="1">IFERROR(__xludf.DUMMYFUNCTION("REGEXREPLACE(REGEXEXTRACT(F113, ""б\)\s*(.*?)\s*в\)""), ""^\s*"", """")"),"Яблоко")</f>
        <v>Яблоко</v>
      </c>
      <c r="D113" s="3" t="str">
        <f ca="1">IFERROR(__xludf.DUMMYFUNCTION("REGEXREPLACE(REGEXEXTRACT(F113, ""в\)\s*(.*?)\s*г\)""), ""^\s*"", """")"),"Морковь")</f>
        <v>Морковь</v>
      </c>
      <c r="E113" s="3" t="str">
        <f ca="1">IFERROR(__xludf.DUMMYFUNCTION("REGEXREPLACE(REGEXEXTRACT(F113, ""г\)\s*(.*)""), ""^\s*"", """")"),"Пшеница")</f>
        <v>Пшеница</v>
      </c>
      <c r="F113" s="10" t="s">
        <v>117</v>
      </c>
      <c r="V113" s="3"/>
    </row>
    <row r="114" spans="1:22" ht="16.5" customHeight="1">
      <c r="A114" s="3" t="str">
        <f ca="1">IFERROR(__xludf.DUMMYFUNCTION("REGEXEXTRACT(F114, ""s*(.*?)\s*а\)"")"),"Какой уникальный эффект даёт полный комплект незеритовой брони?")</f>
        <v>Какой уникальный эффект даёт полный комплект незеритовой брони?</v>
      </c>
      <c r="B114" s="3" t="str">
        <f ca="1">IFERROR(__xludf.DUMMYFUNCTION("REGEXREPLACE(REGEXEXTRACT(F114, ""а\)\s*(.*?)\s*б\)""), ""^\s*"", """")"),"Уменьшение отбрасывания")</f>
        <v>Уменьшение отбрасывания</v>
      </c>
      <c r="C114" s="3" t="str">
        <f ca="1">IFERROR(__xludf.DUMMYFUNCTION("REGEXREPLACE(REGEXEXTRACT(F114, ""б\)\s*(.*?)\s*в\)""), ""^\s*"", """")"),"Огнестойкость")</f>
        <v>Огнестойкость</v>
      </c>
      <c r="D114" s="3" t="str">
        <f ca="1">IFERROR(__xludf.DUMMYFUNCTION("REGEXREPLACE(REGEXEXTRACT(F114, ""в\)\s*(.*?)\s*г\)""), ""^\s*"", """")"),"Регенерация")</f>
        <v>Регенерация</v>
      </c>
      <c r="E114" s="3" t="str">
        <f ca="1">IFERROR(__xludf.DUMMYFUNCTION("REGEXREPLACE(REGEXEXTRACT(F114, ""г\)\s*(.*)""), ""^\s*"", """")"),"Сопротивление урону")</f>
        <v>Сопротивление урону</v>
      </c>
      <c r="F114" s="10" t="s">
        <v>118</v>
      </c>
      <c r="V114" s="3"/>
    </row>
    <row r="115" spans="1:22" ht="16.5" customHeight="1">
      <c r="A115" s="3" t="str">
        <f ca="1">IFERROR(__xludf.DUMMYFUNCTION("REGEXEXTRACT(F115, ""s*(.*?)\s*а\)"")"),"Сколько игроков максимум может ехать на одной лодке?")</f>
        <v>Сколько игроков максимум может ехать на одной лодке?</v>
      </c>
      <c r="B115" s="3" t="str">
        <f ca="1">IFERROR(__xludf.DUMMYFUNCTION("REGEXREPLACE(REGEXEXTRACT(F115, ""а\)\s*(.*?)\s*б\)""), ""^\s*"", """")"),"2")</f>
        <v>2</v>
      </c>
      <c r="C115" s="3" t="str">
        <f ca="1">IFERROR(__xludf.DUMMYFUNCTION("REGEXREPLACE(REGEXEXTRACT(F115, ""б\)\s*(.*?)\s*в\)""), ""^\s*"", """")"),"1")</f>
        <v>1</v>
      </c>
      <c r="D115" s="3" t="str">
        <f ca="1">IFERROR(__xludf.DUMMYFUNCTION("REGEXREPLACE(REGEXEXTRACT(F115, ""в\)\s*(.*?)\s*г\)""), ""^\s*"", """")"),"3")</f>
        <v>3</v>
      </c>
      <c r="E115" s="3" t="str">
        <f ca="1">IFERROR(__xludf.DUMMYFUNCTION("REGEXREPLACE(REGEXEXTRACT(F115, ""г\)\s*(.*)""), ""^\s*"", """")"),"4")</f>
        <v>4</v>
      </c>
      <c r="F115" s="10" t="s">
        <v>119</v>
      </c>
      <c r="V115" s="3"/>
    </row>
    <row r="116" spans="1:22" ht="16.5" customHeight="1">
      <c r="A116" s="3" t="str">
        <f ca="1">IFERROR(__xludf.DUMMYFUNCTION("REGEXEXTRACT(F116, ""s*(.*?)\s*а\)"")"),"Какой инструмент ломает паутину быстрее всего?")</f>
        <v>Какой инструмент ломает паутину быстрее всего?</v>
      </c>
      <c r="B116" s="3" t="str">
        <f ca="1">IFERROR(__xludf.DUMMYFUNCTION("REGEXREPLACE(REGEXEXTRACT(F116, ""а\)\s*(.*?)\s*б\)""), ""^\s*"", """")"),"Меч")</f>
        <v>Меч</v>
      </c>
      <c r="C116" s="3" t="str">
        <f ca="1">IFERROR(__xludf.DUMMYFUNCTION("REGEXREPLACE(REGEXEXTRACT(F116, ""б\)\s*(.*?)\s*в\)""), ""^\s*"", """")"),"Топор")</f>
        <v>Топор</v>
      </c>
      <c r="D116" s="3" t="str">
        <f ca="1">IFERROR(__xludf.DUMMYFUNCTION("REGEXREPLACE(REGEXEXTRACT(F116, ""в\)\s*(.*?)\s*г\)""), ""^\s*"", """")"),"Кирка")</f>
        <v>Кирка</v>
      </c>
      <c r="E116" s="3" t="str">
        <f ca="1">IFERROR(__xludf.DUMMYFUNCTION("REGEXREPLACE(REGEXEXTRACT(F116, ""г\)\s*(.*)""), ""^\s*"", """")"),"Мотыга")</f>
        <v>Мотыга</v>
      </c>
      <c r="F116" s="10" t="s">
        <v>120</v>
      </c>
      <c r="V116" s="3"/>
    </row>
    <row r="117" spans="1:22" ht="16.5" customHeight="1">
      <c r="A117" s="3" t="str">
        <f ca="1">IFERROR(__xludf.DUMMYFUNCTION("REGEXEXTRACT(F117, ""s*(.*?)\s*а\)"")"),"Какой моб НЕ появляется естественным образом в Верхнем мире?")</f>
        <v>Какой моб НЕ появляется естественным образом в Верхнем мире?</v>
      </c>
      <c r="B117" s="3" t="str">
        <f ca="1">IFERROR(__xludf.DUMMYFUNCTION("REGEXREPLACE(REGEXEXTRACT(F117, ""а\)\s*(.*?)\s*б\)""), ""^\s*"", """")"),"Мул")</f>
        <v>Мул</v>
      </c>
      <c r="C117" s="3" t="str">
        <f ca="1">IFERROR(__xludf.DUMMYFUNCTION("REGEXREPLACE(REGEXEXTRACT(F117, ""б\)\s*(.*?)\s*в\)""), ""^\s*"", """")"),"Зомби-лошадь")</f>
        <v>Зомби-лошадь</v>
      </c>
      <c r="D117" s="3" t="str">
        <f ca="1">IFERROR(__xludf.DUMMYFUNCTION("REGEXREPLACE(REGEXEXTRACT(F117, ""в\)\s*(.*?)\s*г\)""), ""^\s*"", """")"),"Слизень")</f>
        <v>Слизень</v>
      </c>
      <c r="E117" s="3" t="str">
        <f ca="1">IFERROR(__xludf.DUMMYFUNCTION("REGEXREPLACE(REGEXEXTRACT(F117, ""г\)\s*(.*)""), ""^\s*"", """")"),"Зомби-житель")</f>
        <v>Зомби-житель</v>
      </c>
      <c r="F117" s="10" t="s">
        <v>121</v>
      </c>
      <c r="V117" s="3"/>
    </row>
    <row r="118" spans="1:22" ht="16.5" customHeight="1">
      <c r="A118" s="3" t="str">
        <f ca="1">IFERROR(__xludf.DUMMYFUNCTION("REGEXEXTRACT(F118, ""s*(.*?)\s*а\)"")"),"Какой эффект даёт зелье черепашьего мастера?")</f>
        <v>Какой эффект даёт зелье черепашьего мастера?</v>
      </c>
      <c r="B118" s="3" t="str">
        <f ca="1">IFERROR(__xludf.DUMMYFUNCTION("REGEXREPLACE(REGEXEXTRACT(F118, ""а\)\s*(.*?)\s*б\)""), ""^\s*"", """")"),"Сопротивление урону и замедление")</f>
        <v>Сопротивление урону и замедление</v>
      </c>
      <c r="C118" s="3" t="str">
        <f ca="1">IFERROR(__xludf.DUMMYFUNCTION("REGEXREPLACE(REGEXEXTRACT(F118, ""б\)\s*(.*?)\s*в\)""), ""^\s*"", """")"),"Регенерация и замедление")</f>
        <v>Регенерация и замедление</v>
      </c>
      <c r="D118" s="3" t="str">
        <f ca="1">IFERROR(__xludf.DUMMYFUNCTION("REGEXREPLACE(REGEXEXTRACT(F118, ""в\)\s*(.*?)\s*г\)""), ""^\s*"", """")"),"Огнестойкость и слабость")</f>
        <v>Огнестойкость и слабость</v>
      </c>
      <c r="E118" s="3" t="str">
        <f ca="1">IFERROR(__xludf.DUMMYFUNCTION("REGEXREPLACE(REGEXEXTRACT(F118, ""г\)\s*(.*)""), ""^\s*"", """")"),"Поглощение и медлительность")</f>
        <v>Поглощение и медлительность</v>
      </c>
      <c r="F118" s="10" t="s">
        <v>122</v>
      </c>
      <c r="V118" s="3"/>
    </row>
    <row r="119" spans="1:22" ht="16.5" customHeight="1">
      <c r="A119" s="3" t="str">
        <f ca="1">IFERROR(__xludf.DUMMYFUNCTION("REGEXEXTRACT(F119, ""s*(.*?)\s*а\)"")"),"Какой моб игнорирует эффект невидимости игрока?")</f>
        <v>Какой моб игнорирует эффект невидимости игрока?</v>
      </c>
      <c r="B119" s="3" t="str">
        <f ca="1">IFERROR(__xludf.DUMMYFUNCTION("REGEXREPLACE(REGEXEXTRACT(F119, ""а\)\s*(.*?)\s*б\)""), ""^\s*"", """")"),"Дракон Края")</f>
        <v>Дракон Края</v>
      </c>
      <c r="C119" s="3" t="str">
        <f ca="1">IFERROR(__xludf.DUMMYFUNCTION("REGEXREPLACE(REGEXEXTRACT(F119, ""б\)\s*(.*?)\s*в\)""), ""^\s*"", """")"),"Эндермен")</f>
        <v>Эндермен</v>
      </c>
      <c r="D119" s="3" t="str">
        <f ca="1">IFERROR(__xludf.DUMMYFUNCTION("REGEXREPLACE(REGEXEXTRACT(F119, ""в\)\s*(.*?)\s*г\)""), ""^\s*"", """")"),"Страж")</f>
        <v>Страж</v>
      </c>
      <c r="E119" s="3" t="str">
        <f ca="1">IFERROR(__xludf.DUMMYFUNCTION("REGEXREPLACE(REGEXEXTRACT(F119, ""г\)\s*(.*)""), ""^\s*"", """")"),"Железный Голем")</f>
        <v>Железный Голем</v>
      </c>
      <c r="F119" s="10" t="s">
        <v>123</v>
      </c>
      <c r="V119" s="3"/>
    </row>
    <row r="120" spans="1:22" ht="16.5" customHeight="1">
      <c r="A120" s="3" t="str">
        <f ca="1">IFERROR(__xludf.DUMMYFUNCTION("REGEXEXTRACT(F120, ""s*(.*?)\s*а\)"")"),"Какой предмет используется для зарядки якоря возрождения?")</f>
        <v>Какой предмет используется для зарядки якоря возрождения?</v>
      </c>
      <c r="B120" s="3" t="str">
        <f ca="1">IFERROR(__xludf.DUMMYFUNCTION("REGEXREPLACE(REGEXEXTRACT(F120, ""а\)\s*(.*?)\s*б\)""), ""^\s*"", """")"),"Светокамень")</f>
        <v>Светокамень</v>
      </c>
      <c r="C120" s="3" t="str">
        <f ca="1">IFERROR(__xludf.DUMMYFUNCTION("REGEXREPLACE(REGEXEXTRACT(F120, ""б\)\s*(.*?)\s*в\)""), ""^\s*"", """")"),"Порох")</f>
        <v>Порох</v>
      </c>
      <c r="D120" s="3" t="str">
        <f ca="1">IFERROR(__xludf.DUMMYFUNCTION("REGEXREPLACE(REGEXEXTRACT(F120, ""в\)\s*(.*?)\s*г\)""), ""^\s*"", """")"),"Огненный стержень")</f>
        <v>Огненный стержень</v>
      </c>
      <c r="E120" s="3" t="str">
        <f ca="1">IFERROR(__xludf.DUMMYFUNCTION("REGEXREPLACE(REGEXEXTRACT(F120, ""г\)\s*(.*)""), ""^\s*"", """")"),"Магма-блок")</f>
        <v>Магма-блок</v>
      </c>
      <c r="F120" s="10" t="s">
        <v>124</v>
      </c>
      <c r="V120" s="3"/>
    </row>
    <row r="121" spans="1:22" ht="16.5" customHeight="1">
      <c r="A121" s="3" t="str">
        <f ca="1">IFERROR(__xludf.DUMMYFUNCTION("REGEXEXTRACT(F121, ""s*(.*?)\s*а\)"")"),"Какой блок позволяет плавить руды быстрее обычной печи?")</f>
        <v>Какой блок позволяет плавить руды быстрее обычной печи?</v>
      </c>
      <c r="B121" s="3" t="str">
        <f ca="1">IFERROR(__xludf.DUMMYFUNCTION("REGEXREPLACE(REGEXEXTRACT(F121, ""а\)\s*(.*?)\s*б\)""), ""^\s*"", """")"),"Плавильная печь")</f>
        <v>Плавильная печь</v>
      </c>
      <c r="C121" s="3" t="str">
        <f ca="1">IFERROR(__xludf.DUMMYFUNCTION("REGEXREPLACE(REGEXEXTRACT(F121, ""б\)\s*(.*?)\s*в\)""), ""^\s*"", """")"),"Коптильня")</f>
        <v>Коптильня</v>
      </c>
      <c r="D121" s="3" t="str">
        <f ca="1">IFERROR(__xludf.DUMMYFUNCTION("REGEXREPLACE(REGEXEXTRACT(F121, ""в\)\s*(.*?)\s*г\)""), ""^\s*"", """")"),"Камнерез")</f>
        <v>Камнерез</v>
      </c>
      <c r="E121" s="3" t="str">
        <f ca="1">IFERROR(__xludf.DUMMYFUNCTION("REGEXREPLACE(REGEXEXTRACT(F121, ""г\)\s*(.*)""), ""^\s*"", """")"),"Домна")</f>
        <v>Домна</v>
      </c>
      <c r="F121" s="10" t="s">
        <v>125</v>
      </c>
      <c r="V121" s="3"/>
    </row>
    <row r="122" spans="1:22" ht="16.5" customHeight="1">
      <c r="A122" s="3" t="str">
        <f ca="1">IFERROR(__xludf.DUMMYFUNCTION("REGEXEXTRACT(F122, ""s*(.*?)\s*а\)"")"),"Какой блок используется для изменения профессии жителя-библиотекаря?")</f>
        <v>Какой блок используется для изменения профессии жителя-библиотекаря?</v>
      </c>
      <c r="B122" s="3" t="str">
        <f ca="1">IFERROR(__xludf.DUMMYFUNCTION("REGEXREPLACE(REGEXEXTRACT(F122, ""а\)\s*(.*?)\s*б\)""), ""^\s*"", """")"),"Кафедра")</f>
        <v>Кафедра</v>
      </c>
      <c r="C122" s="3" t="str">
        <f ca="1">IFERROR(__xludf.DUMMYFUNCTION("REGEXREPLACE(REGEXEXTRACT(F122, ""б\)\s*(.*?)\s*в\)""), ""^\s*"", """")"),"Компостер")</f>
        <v>Компостер</v>
      </c>
      <c r="D122" s="3" t="str">
        <f ca="1">IFERROR(__xludf.DUMMYFUNCTION("REGEXREPLACE(REGEXEXTRACT(F122, ""в\)\s*(.*?)\s*г\)""), ""^\s*"", """")"),"Коптильня")</f>
        <v>Коптильня</v>
      </c>
      <c r="E122" s="3" t="str">
        <f ca="1">IFERROR(__xludf.DUMMYFUNCTION("REGEXREPLACE(REGEXEXTRACT(F122, ""г\)\s*(.*)""), ""^\s*"", """")"),"Точило")</f>
        <v>Точило</v>
      </c>
      <c r="F122" s="10" t="s">
        <v>126</v>
      </c>
      <c r="V122" s="3"/>
    </row>
    <row r="123" spans="1:22" ht="16.5" customHeight="1">
      <c r="A123" s="3" t="str">
        <f ca="1">IFERROR(__xludf.DUMMYFUNCTION("REGEXEXTRACT(F123, ""s*(.*?)\s*а\)"")"),"Какой максимальный уровень может иметь зачарование «Острота» без команд?")</f>
        <v>Какой максимальный уровень может иметь зачарование «Острота» без команд?</v>
      </c>
      <c r="B123" s="3" t="str">
        <f ca="1">IFERROR(__xludf.DUMMYFUNCTION("REGEXREPLACE(REGEXEXTRACT(F123, ""а\)\s*(.*?)\s*б\)""), ""^\s*"", """")"),"V")</f>
        <v>V</v>
      </c>
      <c r="C123" s="3" t="str">
        <f ca="1">IFERROR(__xludf.DUMMYFUNCTION("REGEXREPLACE(REGEXEXTRACT(F123, ""б\)\s*(.*?)\s*в\)""), ""^\s*"", """")"),"IV")</f>
        <v>IV</v>
      </c>
      <c r="D123" s="3" t="str">
        <f ca="1">IFERROR(__xludf.DUMMYFUNCTION("REGEXREPLACE(REGEXEXTRACT(F123, ""в\)\s*(.*?)\s*г\)""), ""^\s*"", """")"),"VI")</f>
        <v>VI</v>
      </c>
      <c r="E123" s="3" t="str">
        <f ca="1">IFERROR(__xludf.DUMMYFUNCTION("REGEXREPLACE(REGEXEXTRACT(F123, ""г\)\s*(.*)""), ""^\s*"", """")"),"III")</f>
        <v>III</v>
      </c>
      <c r="F123" s="10" t="s">
        <v>127</v>
      </c>
      <c r="V123" s="3"/>
    </row>
    <row r="124" spans="1:22" ht="16.5" customHeight="1">
      <c r="A124" s="3" t="str">
        <f ca="1">IFERROR(__xludf.DUMMYFUNCTION("REGEXEXTRACT(F124, ""s*(.*?)\s*а\)"")"),"Какой эффект накладывается на игрока при ношении черепа визер-скелета?")</f>
        <v>Какой эффект накладывается на игрока при ношении черепа визер-скелета?</v>
      </c>
      <c r="B124" s="3" t="str">
        <f ca="1">IFERROR(__xludf.DUMMYFUNCTION("REGEXREPLACE(REGEXEXTRACT(F124, ""а\)\s*(.*?)\s*б\)""), ""^\s*"", """")"),"Игрок реже привлекает внимание скелетов")</f>
        <v>Игрок реже привлекает внимание скелетов</v>
      </c>
      <c r="C124" s="3" t="str">
        <f ca="1">IFERROR(__xludf.DUMMYFUNCTION("REGEXREPLACE(REGEXEXTRACT(F124, ""б\)\s*(.*?)\s*в\)""), ""^\s*"", """")"),"Эффект отсутствует")</f>
        <v>Эффект отсутствует</v>
      </c>
      <c r="D124" s="3" t="str">
        <f ca="1">IFERROR(__xludf.DUMMYFUNCTION("REGEXREPLACE(REGEXEXTRACT(F124, ""в\)\s*(.*?)\s*г\)""), ""^\s*"", """")"),"Сопротивление урону")</f>
        <v>Сопротивление урону</v>
      </c>
      <c r="E124" s="3" t="str">
        <f ca="1">IFERROR(__xludf.DUMMYFUNCTION("REGEXREPLACE(REGEXEXTRACT(F124, ""г\)\s*(.*)""), ""^\s*"", """")"),"Иммунитет к иссушению")</f>
        <v>Иммунитет к иссушению</v>
      </c>
      <c r="F124" s="10" t="s">
        <v>128</v>
      </c>
      <c r="V124" s="3"/>
    </row>
    <row r="125" spans="1:22" ht="16.5" customHeight="1">
      <c r="A125" s="3" t="str">
        <f ca="1">IFERROR(__xludf.DUMMYFUNCTION("REGEXEXTRACT(F125, ""s*(.*?)\s*а\)"")"),"Какой блок полностью блокирует распространение звуковых вибраций скалк-сенсора?")</f>
        <v>Какой блок полностью блокирует распространение звуковых вибраций скалк-сенсора?</v>
      </c>
      <c r="B125" s="3" t="str">
        <f ca="1">IFERROR(__xludf.DUMMYFUNCTION("REGEXREPLACE(REGEXEXTRACT(F125, ""а\)\s*(.*?)\s*б\)""), ""^\s*"", """")"),"Шерсть")</f>
        <v>Шерсть</v>
      </c>
      <c r="C125" s="3" t="str">
        <f ca="1">IFERROR(__xludf.DUMMYFUNCTION("REGEXREPLACE(REGEXEXTRACT(F125, ""б\)\s*(.*?)\s*в\)""), ""^\s*"", """")"),"Стекло")</f>
        <v>Стекло</v>
      </c>
      <c r="D125" s="3" t="str">
        <f ca="1">IFERROR(__xludf.DUMMYFUNCTION("REGEXREPLACE(REGEXEXTRACT(F125, ""в\)\s*(.*?)\s*г\)""), ""^\s*"", """")"),"Лёд")</f>
        <v>Лёд</v>
      </c>
      <c r="E125" s="3" t="str">
        <f ca="1">IFERROR(__xludf.DUMMYFUNCTION("REGEXREPLACE(REGEXEXTRACT(F125, ""г\)\s*(.*)""), ""^\s*"", """")"),"Листва")</f>
        <v>Листва</v>
      </c>
      <c r="F125" s="10" t="s">
        <v>129</v>
      </c>
      <c r="V125" s="3"/>
    </row>
    <row r="126" spans="1:22" ht="16.5" customHeight="1">
      <c r="A126" s="3" t="str">
        <f ca="1">IFERROR(__xludf.DUMMYFUNCTION("REGEXEXTRACT(F126, ""s*(.*?)\s*а\)"")"),"Через сколько ночей без сна начинают появляться фантомы?")</f>
        <v>Через сколько ночей без сна начинают появляться фантомы?</v>
      </c>
      <c r="B126" s="3" t="str">
        <f ca="1">IFERROR(__xludf.DUMMYFUNCTION("REGEXREPLACE(REGEXEXTRACT(F126, ""а\)\s*(.*?)\s*б\)""), ""^\s*"", """")"),"После 3 ночей без сна")</f>
        <v>После 3 ночей без сна</v>
      </c>
      <c r="C126" s="3" t="str">
        <f ca="1">IFERROR(__xludf.DUMMYFUNCTION("REGEXREPLACE(REGEXEXTRACT(F126, ""б\)\s*(.*?)\s*в\)""), ""^\s*"", """")"),"После 1 ночи без сна")</f>
        <v>После 1 ночи без сна</v>
      </c>
      <c r="D126" s="3" t="str">
        <f ca="1">IFERROR(__xludf.DUMMYFUNCTION("REGEXREPLACE(REGEXEXTRACT(F126, ""в\)\s*(.*?)\s*г\)""), ""^\s*"", """")"),"После 7 ночей без сна")</f>
        <v>После 7 ночей без сна</v>
      </c>
      <c r="E126" s="3" t="str">
        <f ca="1">IFERROR(__xludf.DUMMYFUNCTION("REGEXREPLACE(REGEXEXTRACT(F126, ""г\)\s*(.*)""), ""^\s*"", """")"),"Появляются каждую ночь")</f>
        <v>Появляются каждую ночь</v>
      </c>
      <c r="F126" s="10" t="s">
        <v>130</v>
      </c>
      <c r="V126" s="3"/>
    </row>
    <row r="127" spans="1:22" ht="16.5" customHeight="1">
      <c r="A127" s="3" t="str">
        <f ca="1">IFERROR(__xludf.DUMMYFUNCTION("REGEXEXTRACT(F127, ""s*(.*?)\s*а\)"")"),"Каков шанс того, что при использовании жемчуга Края появится эндермит?")</f>
        <v>Каков шанс того, что при использовании жемчуга Края появится эндермит?</v>
      </c>
      <c r="B127" s="3" t="str">
        <f ca="1">IFERROR(__xludf.DUMMYFUNCTION("REGEXREPLACE(REGEXEXTRACT(F127, ""а\)\s*(.*?)\s*б\)""), ""^\s*"", """")"),"5%")</f>
        <v>5%</v>
      </c>
      <c r="C127" s="3" t="str">
        <f ca="1">IFERROR(__xludf.DUMMYFUNCTION("REGEXREPLACE(REGEXEXTRACT(F127, ""б\)\s*(.*?)\s*в\)""), ""^\s*"", """")"),"1%")</f>
        <v>1%</v>
      </c>
      <c r="D127" s="3" t="str">
        <f ca="1">IFERROR(__xludf.DUMMYFUNCTION("REGEXREPLACE(REGEXEXTRACT(F127, ""в\)\s*(.*?)\s*г\)""), ""^\s*"", """")"),"10%")</f>
        <v>10%</v>
      </c>
      <c r="E127" s="3" t="str">
        <f ca="1">IFERROR(__xludf.DUMMYFUNCTION("REGEXREPLACE(REGEXEXTRACT(F127, ""г\)\s*(.*)""), ""^\s*"", """")"),"20%")</f>
        <v>20%</v>
      </c>
      <c r="F127" s="10" t="s">
        <v>131</v>
      </c>
      <c r="V127" s="3"/>
    </row>
    <row r="128" spans="1:22" ht="16.5" customHeight="1">
      <c r="A128" s="3" t="str">
        <f ca="1">IFERROR(__xludf.DUMMYFUNCTION("REGEXEXTRACT(F128, ""s*(.*?)\s*а\)"")"),"Какой предмет используется для управления страйдером?")</f>
        <v>Какой предмет используется для управления страйдером?</v>
      </c>
      <c r="B128" s="3" t="str">
        <f ca="1">IFERROR(__xludf.DUMMYFUNCTION("REGEXREPLACE(REGEXEXTRACT(F128, ""а\)\s*(.*?)\s*б\)""), ""^\s*"", """")"),"Удочка с искажённым грибком")</f>
        <v>Удочка с искажённым грибком</v>
      </c>
      <c r="C128" s="3" t="str">
        <f ca="1">IFERROR(__xludf.DUMMYFUNCTION("REGEXREPLACE(REGEXEXTRACT(F128, ""б\)\s*(.*?)\s*в\)""), ""^\s*"", """")"),"Удочка с морковью")</f>
        <v>Удочка с морковью</v>
      </c>
      <c r="D128" s="3" t="str">
        <f ca="1">IFERROR(__xludf.DUMMYFUNCTION("REGEXREPLACE(REGEXEXTRACT(F128, ""в\)\s*(.*?)\s*г\)""), ""^\s*"", """")"),"Удочка")</f>
        <v>Удочка</v>
      </c>
      <c r="E128" s="3" t="str">
        <f ca="1">IFERROR(__xludf.DUMMYFUNCTION("REGEXREPLACE(REGEXEXTRACT(F128, ""г\)\s*(.*)""), ""^\s*"", """")"),"Поводок")</f>
        <v>Поводок</v>
      </c>
      <c r="F128" s="11" t="s">
        <v>132</v>
      </c>
      <c r="V128" s="3"/>
    </row>
    <row r="129" spans="1:22" ht="16.5" customHeight="1">
      <c r="A129" s="3" t="str">
        <f ca="1">IFERROR(__xludf.DUMMYFUNCTION("REGEXEXTRACT(F129, ""s*(.*?)\s*а\)"")"),"Какое минимальное количество обсидиана нужно для создания работающего портала в Нижний мир?")</f>
        <v>Какое минимальное количество обсидиана нужно для создания работающего портала в Нижний мир?</v>
      </c>
      <c r="B129" s="3" t="str">
        <f ca="1">IFERROR(__xludf.DUMMYFUNCTION("REGEXREPLACE(REGEXEXTRACT(F129, ""а\)\s*(.*?)\s*б\)""), ""^\s*"", """")"),"10 блоков")</f>
        <v>10 блоков</v>
      </c>
      <c r="C129" s="3" t="str">
        <f ca="1">IFERROR(__xludf.DUMMYFUNCTION("REGEXREPLACE(REGEXEXTRACT(F129, ""б\)\s*(.*?)\s*в\)""), ""^\s*"", """")"),"14 блоков")</f>
        <v>14 блоков</v>
      </c>
      <c r="D129" s="3" t="str">
        <f ca="1">IFERROR(__xludf.DUMMYFUNCTION("REGEXREPLACE(REGEXEXTRACT(F129, ""в\)\s*(.*?)\s*г\)""), ""^\s*"", """")"),"12 блоков")</f>
        <v>12 блоков</v>
      </c>
      <c r="E129" s="3" t="str">
        <f ca="1">IFERROR(__xludf.DUMMYFUNCTION("REGEXREPLACE(REGEXEXTRACT(F129, ""г\)\s*(.*)""), ""^\s*"", """")"),"8 блоков")</f>
        <v>8 блоков</v>
      </c>
      <c r="F129" s="11" t="s">
        <v>133</v>
      </c>
      <c r="V129" s="3"/>
    </row>
    <row r="130" spans="1:22" ht="16.5" customHeight="1">
      <c r="A130" s="3" t="str">
        <f ca="1">IFERROR(__xludf.DUMMYFUNCTION("REGEXEXTRACT(F130, ""s*(.*?)\s*а\)"")"),"Как можно возродить Дракона Края?")</f>
        <v>Как можно возродить Дракона Края?</v>
      </c>
      <c r="B130" s="3" t="str">
        <f ca="1">IFERROR(__xludf.DUMMYFUNCTION("REGEXREPLACE(REGEXEXTRACT(F130, ""а\)\s*(.*?)\s*б\)""), ""^\s*"", """")"),"Поставить 4 энд-кристалла на портал")</f>
        <v>Поставить 4 энд-кристалла на портал</v>
      </c>
      <c r="C130" s="3" t="str">
        <f ca="1">IFERROR(__xludf.DUMMYFUNCTION("REGEXREPLACE(REGEXEXTRACT(F130, ""б\)\s*(.*?)\s*в\)""), ""^\s*"", """")"),"Поставить 1 энд-кристалл в центр острова")</f>
        <v>Поставить 1 энд-кристалл в центр острова</v>
      </c>
      <c r="D130" s="3" t="str">
        <f ca="1">IFERROR(__xludf.DUMMYFUNCTION("REGEXREPLACE(REGEXEXTRACT(F130, ""в\)\s*(.*?)\s*г\)""), ""^\s*"", """")"),"Зажечь 4 маяка вокруг острова")</f>
        <v>Зажечь 4 маяка вокруг острова</v>
      </c>
      <c r="E130" s="3" t="str">
        <f ca="1">IFERROR(__xludf.DUMMYFUNCTION("REGEXREPLACE(REGEXEXTRACT(F130, ""г\)\s*(.*)""), ""^\s*"", """")"),"Использовать 4 глаза Эндера на кристаллах")</f>
        <v>Использовать 4 глаза Эндера на кристаллах</v>
      </c>
      <c r="F130" s="11" t="s">
        <v>134</v>
      </c>
      <c r="V130" s="3"/>
    </row>
    <row r="131" spans="1:22" ht="16.5" customHeight="1">
      <c r="A131" s="3" t="str">
        <f ca="1">IFERROR(__xludf.DUMMYFUNCTION("REGEXEXTRACT(F131, ""s*(.*?)\s*а\)"")"),"Как ношение вырезанной тыквы влияет на эндермэнов при взгляде на них?")</f>
        <v>Как ношение вырезанной тыквы влияет на эндермэнов при взгляде на них?</v>
      </c>
      <c r="B131" s="3" t="str">
        <f ca="1">IFERROR(__xludf.DUMMYFUNCTION("REGEXREPLACE(REGEXEXTRACT(F131, ""а\)\s*(.*?)\s*б\)""), ""^\s*"", """")"),"Они не становятся враждебными при взгляде")</f>
        <v>Они не становятся враждебными при взгляде</v>
      </c>
      <c r="C131" s="3" t="str">
        <f ca="1">IFERROR(__xludf.DUMMYFUNCTION("REGEXREPLACE(REGEXEXTRACT(F131, ""б\)\s*(.*?)\s*в\)""), ""^\s*"", """")"),"Она делает их более агрессивными")</f>
        <v>Она делает их более агрессивными</v>
      </c>
      <c r="D131" s="3" t="str">
        <f ca="1">IFERROR(__xludf.DUMMYFUNCTION("REGEXREPLACE(REGEXEXTRACT(F131, ""в\)\s*(.*?)\s*г\)""), ""^\s*"", """")"),"Она защищает только от одного эндермэна")</f>
        <v>Она защищает только от одного эндермэна</v>
      </c>
      <c r="E131" s="3" t="str">
        <f ca="1">IFERROR(__xludf.DUMMYFUNCTION("REGEXREPLACE(REGEXEXTRACT(F131, ""г\)\s*(.*)""), ""^\s*"", """")"),"Никак не влияет")</f>
        <v>Никак не влияет</v>
      </c>
      <c r="F131" s="11" t="s">
        <v>135</v>
      </c>
    </row>
    <row r="132" spans="1:22" ht="16.5" customHeight="1">
      <c r="A132" s="3" t="str">
        <f ca="1">IFERROR(__xludf.DUMMYFUNCTION("REGEXEXTRACT(F132, ""s*(.*?)\s*а\)"")"),"Сколько предметов одновременно может обжариваться на одном костре?")</f>
        <v>Сколько предметов одновременно может обжариваться на одном костре?</v>
      </c>
      <c r="B132" s="3" t="str">
        <f ca="1">IFERROR(__xludf.DUMMYFUNCTION("REGEXREPLACE(REGEXEXTRACT(F132, ""а\)\s*(.*?)\s*б\)""), ""^\s*"", """")"),"До 4 предметов")</f>
        <v>До 4 предметов</v>
      </c>
      <c r="C132" s="3" t="str">
        <f ca="1">IFERROR(__xludf.DUMMYFUNCTION("REGEXREPLACE(REGEXEXTRACT(F132, ""б\)\s*(.*?)\s*в\)""), ""^\s*"", """")"),"Только 1 предмет")</f>
        <v>Только 1 предмет</v>
      </c>
      <c r="D132" s="3" t="str">
        <f ca="1">IFERROR(__xludf.DUMMYFUNCTION("REGEXREPLACE(REGEXEXTRACT(F132, ""в\)\s*(.*?)\s*г\)""), ""^\s*"", """")"),"До 8 предметов")</f>
        <v>До 8 предметов</v>
      </c>
      <c r="E132" s="3" t="str">
        <f ca="1">IFERROR(__xludf.DUMMYFUNCTION("REGEXREPLACE(REGEXEXTRACT(F132, ""г\)\s*(.*)""), ""^\s*"", """")"),"До 2 предметов")</f>
        <v>До 2 предметов</v>
      </c>
      <c r="F132" s="11" t="s">
        <v>136</v>
      </c>
    </row>
    <row r="133" spans="1:22" ht="16.5" customHeight="1">
      <c r="A133" s="3" t="str">
        <f ca="1">IFERROR(__xludf.DUMMYFUNCTION("REGEXEXTRACT(F133, ""s*(.*?)\s*а\)"")"),"Что делает молоко при употреблении игроком в режиме выживания?")</f>
        <v>Что делает молоко при употреблении игроком в режиме выживания?</v>
      </c>
      <c r="B133" s="3" t="str">
        <f ca="1">IFERROR(__xludf.DUMMYFUNCTION("REGEXREPLACE(REGEXEXTRACT(F133, ""а\)\s*(.*?)\s*б\)""), ""^\s*"", """")"),"Снимает все эффекты")</f>
        <v>Снимает все эффекты</v>
      </c>
      <c r="C133" s="3" t="str">
        <f ca="1">IFERROR(__xludf.DUMMYFUNCTION("REGEXREPLACE(REGEXEXTRACT(F133, ""б\)\s*(.*?)\s*в\)""), ""^\s*"", """")"),"Восстанавливает здоровье и сытость")</f>
        <v>Восстанавливает здоровье и сытость</v>
      </c>
      <c r="D133" s="3" t="str">
        <f ca="1">IFERROR(__xludf.DUMMYFUNCTION("REGEXREPLACE(REGEXEXTRACT(F133, ""в\)\s*(.*?)\s*г\)""), ""^\s*"", """")"),"Даёт иммунитет к огню на короткое время")</f>
        <v>Даёт иммунитет к огню на короткое время</v>
      </c>
      <c r="E133" s="3" t="str">
        <f ca="1">IFERROR(__xludf.DUMMYFUNCTION("REGEXREPLACE(REGEXEXTRACT(F133, ""г\)\s*(.*)""), ""^\s*"", """")"),"Снимает только отрицательные эффекты")</f>
        <v>Снимает только отрицательные эффекты</v>
      </c>
      <c r="F133" s="11" t="s">
        <v>137</v>
      </c>
    </row>
    <row r="134" spans="1:22" ht="16.5" customHeight="1">
      <c r="A134" s="3" t="str">
        <f ca="1">IFERROR(__xludf.DUMMYFUNCTION("REGEXEXTRACT(F134, ""s*(.*?)\s*а\)"")"),"Что из перечисленного НЕ может пройти через портал?")</f>
        <v>Что из перечисленного НЕ может пройти через портал?</v>
      </c>
      <c r="B134" s="3" t="str">
        <f ca="1">IFERROR(__xludf.DUMMYFUNCTION("REGEXREPLACE(REGEXEXTRACT(F134, ""а\)\s*(.*?)\s*б\)""), ""^\s*"", """")"),"Дракон Края")</f>
        <v>Дракон Края</v>
      </c>
      <c r="C134" s="3" t="str">
        <f ca="1">IFERROR(__xludf.DUMMYFUNCTION("REGEXREPLACE(REGEXEXTRACT(F134, ""б\)\s*(.*?)\s*в\)""), ""^\s*"", """")"),"Гаст")</f>
        <v>Гаст</v>
      </c>
      <c r="D134" s="3" t="str">
        <f ca="1">IFERROR(__xludf.DUMMYFUNCTION("REGEXREPLACE(REGEXEXTRACT(F134, ""в\)\s*(.*?)\s*г\)""), ""^\s*"", """")"),"Лодка")</f>
        <v>Лодка</v>
      </c>
      <c r="E134" s="3" t="str">
        <f ca="1">IFERROR(__xludf.DUMMYFUNCTION("REGEXREPLACE(REGEXEXTRACT(F134, ""г\)\s*(.*)""), ""^\s*"", """")"),"Предметы")</f>
        <v>Предметы</v>
      </c>
      <c r="F134" s="11" t="s">
        <v>138</v>
      </c>
    </row>
    <row r="135" spans="1:22" ht="16.5" customHeight="1">
      <c r="A135" s="3" t="str">
        <f ca="1">IFERROR(__xludf.DUMMYFUNCTION("REGEXEXTRACT(F135, ""s*(.*?)\s*а\)"")"),"Если крипер был убит стрелой скелета, что он выбрасывает?")</f>
        <v>Если крипер был убит стрелой скелета, что он выбрасывает?</v>
      </c>
      <c r="B135" s="3" t="str">
        <f ca="1">IFERROR(__xludf.DUMMYFUNCTION("REGEXREPLACE(REGEXEXTRACT(F135, ""а\)\s*(.*?)\s*б\)""), ""^\s*"", """")"),"Музыкальный диск")</f>
        <v>Музыкальный диск</v>
      </c>
      <c r="C135" s="3" t="str">
        <f ca="1">IFERROR(__xludf.DUMMYFUNCTION("REGEXREPLACE(REGEXEXTRACT(F135, ""б\)\s*(.*?)\s*в\)""), ""^\s*"", """")"),"Ничего")</f>
        <v>Ничего</v>
      </c>
      <c r="D135" s="3" t="str">
        <f ca="1">IFERROR(__xludf.DUMMYFUNCTION("REGEXREPLACE(REGEXEXTRACT(F135, ""в\)\s*(.*?)\s*г\)""), ""^\s*"", """")"),"Порох")</f>
        <v>Порох</v>
      </c>
      <c r="E135" s="3" t="str">
        <f ca="1">IFERROR(__xludf.DUMMYFUNCTION("REGEXREPLACE(REGEXEXTRACT(F135, ""г\)\s*(.*)""), ""^\s*"", """")"),"Голову крипера")</f>
        <v>Голову крипера</v>
      </c>
      <c r="F135" s="11" t="s">
        <v>139</v>
      </c>
    </row>
    <row r="136" spans="1:22" ht="16.5" customHeight="1">
      <c r="A136" s="3" t="str">
        <f ca="1">IFERROR(__xludf.DUMMYFUNCTION("REGEXEXTRACT(F136, ""s*(.*?)\s*а\)"")"),"Какое условие требуется, чтобы зомби‑житель мог быть вылечен?")</f>
        <v>Какое условие требуется, чтобы зомби‑житель мог быть вылечен?</v>
      </c>
      <c r="B136" s="3" t="str">
        <f ca="1">IFERROR(__xludf.DUMMYFUNCTION("REGEXREPLACE(REGEXEXTRACT(F136, ""а\)\s*(.*?)\s*б\)""), ""^\s*"", """")"),"Зелье слабости + золотое яблоко")</f>
        <v>Зелье слабости + золотое яблоко</v>
      </c>
      <c r="C136" s="3" t="str">
        <f ca="1">IFERROR(__xludf.DUMMYFUNCTION("REGEXREPLACE(REGEXEXTRACT(F136, ""б\)\s*(.*?)\s*в\)""), ""^\s*"", """")"),"Тотем бессмертия")</f>
        <v>Тотем бессмертия</v>
      </c>
      <c r="D136" s="3" t="str">
        <f ca="1">IFERROR(__xludf.DUMMYFUNCTION("REGEXREPLACE(REGEXEXTRACT(F136, ""в\)\s*(.*?)\s*г\)""), ""^\s*"", """")"),"Факел и хлеб")</f>
        <v>Факел и хлеб</v>
      </c>
      <c r="E136" s="3" t="str">
        <f ca="1">IFERROR(__xludf.DUMMYFUNCTION("REGEXREPLACE(REGEXEXTRACT(F136, ""г\)\s*(.*)""), ""^\s*"", """")"),"Другой житель")</f>
        <v>Другой житель</v>
      </c>
      <c r="F136" s="11" t="s">
        <v>140</v>
      </c>
    </row>
    <row r="137" spans="1:22" ht="16.5" customHeight="1">
      <c r="A137" s="3" t="str">
        <f ca="1">IFERROR(__xludf.DUMMYFUNCTION("REGEXEXTRACT(F137, ""s*(.*?)\s*а\)"")"),"Что из следующего НЕ может быть дропнуто обычным зомби?")</f>
        <v>Что из следующего НЕ может быть дропнуто обычным зомби?</v>
      </c>
      <c r="B137" s="3" t="str">
        <f ca="1">IFERROR(__xludf.DUMMYFUNCTION("REGEXREPLACE(REGEXEXTRACT(F137, ""а\)\s*(.*?)\s*б\)""), ""^\s*"", """")"),"Глина")</f>
        <v>Глина</v>
      </c>
      <c r="C137" s="3" t="str">
        <f ca="1">IFERROR(__xludf.DUMMYFUNCTION("REGEXREPLACE(REGEXEXTRACT(F137, ""б\)\s*(.*?)\s*в\)""), ""^\s*"", """")"),"Гнилая плоть")</f>
        <v>Гнилая плоть</v>
      </c>
      <c r="D137" s="3" t="str">
        <f ca="1">IFERROR(__xludf.DUMMYFUNCTION("REGEXREPLACE(REGEXEXTRACT(F137, ""в\)\s*(.*?)\s*г\)""), ""^\s*"", """")"),"Железный слиток")</f>
        <v>Железный слиток</v>
      </c>
      <c r="E137" s="3" t="str">
        <f ca="1">IFERROR(__xludf.DUMMYFUNCTION("REGEXREPLACE(REGEXEXTRACT(F137, ""г\)\s*(.*)""), ""^\s*"", """")"),"Морковь")</f>
        <v>Морковь</v>
      </c>
      <c r="F137" s="11" t="s">
        <v>141</v>
      </c>
    </row>
    <row r="138" spans="1:22" ht="16.5" customHeight="1">
      <c r="A138" s="3" t="str">
        <f ca="1">IFERROR(__xludf.DUMMYFUNCTION("REGEXEXTRACT(F138, ""s*(.*?)\s*а\)"")"),"Что делает зелье исцеления с зомби?")</f>
        <v>Что делает зелье исцеления с зомби?</v>
      </c>
      <c r="B138" s="3" t="str">
        <f ca="1">IFERROR(__xludf.DUMMYFUNCTION("REGEXREPLACE(REGEXEXTRACT(F138, ""а\)\s*(.*?)\s*б\)""), ""^\s*"", """")"),"Наносит урон")</f>
        <v>Наносит урон</v>
      </c>
      <c r="C138" s="3" t="str">
        <f ca="1">IFERROR(__xludf.DUMMYFUNCTION("REGEXREPLACE(REGEXEXTRACT(F138, ""б\)\s*(.*?)\s*в\)""), ""^\s*"", """")"),"Лечит")</f>
        <v>Лечит</v>
      </c>
      <c r="D138" s="3" t="str">
        <f ca="1">IFERROR(__xludf.DUMMYFUNCTION("REGEXREPLACE(REGEXEXTRACT(F138, ""в\)\s*(.*?)\s*г\)""), ""^\s*"", """")"),"Дает эффект слабости")</f>
        <v>Дает эффект слабости</v>
      </c>
      <c r="E138" s="3" t="str">
        <f ca="1">IFERROR(__xludf.DUMMYFUNCTION("REGEXREPLACE(REGEXEXTRACT(F138, ""г\)\s*(.*)""), ""^\s*"", """")"),"Даёт эффект силы")</f>
        <v>Даёт эффект силы</v>
      </c>
      <c r="F138" s="11" t="s">
        <v>142</v>
      </c>
    </row>
    <row r="139" spans="1:22" ht="16.5" customHeight="1">
      <c r="A139" s="3"/>
      <c r="B139" s="3"/>
      <c r="C139" s="3"/>
      <c r="D139" s="3"/>
      <c r="E139" s="3"/>
      <c r="F139" s="12"/>
    </row>
    <row r="140" spans="1:22" ht="16.5" customHeight="1">
      <c r="A140" s="3"/>
      <c r="B140" s="3"/>
      <c r="C140" s="3"/>
      <c r="D140" s="3"/>
      <c r="E140" s="3"/>
      <c r="F140" s="12"/>
    </row>
    <row r="141" spans="1:22" ht="16.5" customHeight="1">
      <c r="A141" s="3"/>
      <c r="B141" s="3"/>
      <c r="C141" s="3"/>
      <c r="D141" s="3"/>
      <c r="E141" s="3"/>
      <c r="F141" s="12"/>
    </row>
    <row r="142" spans="1:22" ht="16.5" customHeight="1">
      <c r="A142" s="3"/>
      <c r="B142" s="3"/>
      <c r="C142" s="3"/>
      <c r="D142" s="3"/>
      <c r="E142" s="3"/>
      <c r="F142" s="12"/>
    </row>
    <row r="143" spans="1:22" ht="16.5" customHeight="1">
      <c r="A143" s="3"/>
      <c r="B143" s="3"/>
      <c r="C143" s="3"/>
      <c r="D143" s="3"/>
      <c r="E143" s="3"/>
      <c r="F143" s="12"/>
    </row>
    <row r="144" spans="1:22" ht="16.5" customHeight="1">
      <c r="A144" s="3"/>
      <c r="B144" s="3"/>
      <c r="C144" s="3"/>
      <c r="D144" s="3"/>
      <c r="E144" s="3"/>
      <c r="F144" s="12"/>
    </row>
    <row r="145" spans="1:6" ht="16.5" customHeight="1">
      <c r="A145" s="3"/>
      <c r="B145" s="3"/>
      <c r="C145" s="3"/>
      <c r="D145" s="3"/>
      <c r="E145" s="3"/>
      <c r="F145" s="12"/>
    </row>
    <row r="146" spans="1:6" ht="16.5" customHeight="1">
      <c r="A146" s="3"/>
      <c r="B146" s="3"/>
      <c r="C146" s="3"/>
      <c r="D146" s="3"/>
      <c r="E146" s="3"/>
      <c r="F146" s="12"/>
    </row>
    <row r="147" spans="1:6" ht="16.5" customHeight="1">
      <c r="A147" s="3"/>
      <c r="B147" s="3"/>
      <c r="C147" s="3"/>
      <c r="D147" s="3"/>
      <c r="E147" s="3"/>
      <c r="F147" s="12"/>
    </row>
    <row r="148" spans="1:6" ht="16.5" customHeight="1">
      <c r="A148" s="3"/>
      <c r="B148" s="3"/>
      <c r="C148" s="3"/>
      <c r="D148" s="3"/>
      <c r="E148" s="3"/>
      <c r="F148" s="12"/>
    </row>
    <row r="149" spans="1:6" ht="16.5" customHeight="1">
      <c r="A149" s="3"/>
      <c r="B149" s="3"/>
      <c r="C149" s="3"/>
      <c r="D149" s="3"/>
      <c r="E149" s="3"/>
      <c r="F149" s="12"/>
    </row>
    <row r="150" spans="1:6" ht="16.5" customHeight="1">
      <c r="A150" s="3"/>
      <c r="B150" s="3"/>
      <c r="C150" s="3"/>
      <c r="D150" s="3"/>
      <c r="E150" s="3"/>
      <c r="F150" s="12"/>
    </row>
    <row r="151" spans="1:6" ht="16.5" customHeight="1">
      <c r="A151" s="3"/>
      <c r="B151" s="3"/>
      <c r="C151" s="3"/>
      <c r="D151" s="3"/>
      <c r="E151" s="3"/>
      <c r="F151" s="12"/>
    </row>
    <row r="152" spans="1:6" ht="16.5" customHeight="1">
      <c r="A152" s="3"/>
      <c r="B152" s="3"/>
      <c r="C152" s="3"/>
      <c r="D152" s="3"/>
      <c r="E152" s="3"/>
      <c r="F152" s="12"/>
    </row>
    <row r="153" spans="1:6" ht="16.5" customHeight="1">
      <c r="A153" s="3"/>
      <c r="B153" s="3"/>
      <c r="C153" s="3"/>
      <c r="D153" s="3"/>
      <c r="E153" s="3"/>
      <c r="F153" s="12"/>
    </row>
    <row r="154" spans="1:6" ht="16.5" customHeight="1">
      <c r="A154" s="3"/>
      <c r="B154" s="3"/>
      <c r="C154" s="3"/>
      <c r="D154" s="3"/>
      <c r="E154" s="3"/>
      <c r="F154" s="12"/>
    </row>
    <row r="155" spans="1:6" ht="16.5" customHeight="1">
      <c r="A155" s="3"/>
      <c r="B155" s="3"/>
      <c r="C155" s="3"/>
      <c r="D155" s="3"/>
      <c r="E155" s="3"/>
      <c r="F155" s="12"/>
    </row>
    <row r="156" spans="1:6" ht="16.5" customHeight="1">
      <c r="A156" s="3"/>
      <c r="B156" s="3"/>
      <c r="C156" s="3"/>
      <c r="D156" s="3"/>
      <c r="E156" s="3"/>
      <c r="F156" s="12"/>
    </row>
    <row r="157" spans="1:6" ht="16.5" customHeight="1">
      <c r="A157" s="3"/>
      <c r="B157" s="3"/>
      <c r="C157" s="3"/>
      <c r="D157" s="3"/>
      <c r="E157" s="3"/>
      <c r="F157" s="12"/>
    </row>
    <row r="158" spans="1:6" ht="16.5" customHeight="1">
      <c r="A158" s="3"/>
      <c r="B158" s="3"/>
      <c r="C158" s="3"/>
      <c r="D158" s="3"/>
      <c r="E158" s="3"/>
      <c r="F158" s="12"/>
    </row>
    <row r="159" spans="1:6" ht="16.5" customHeight="1">
      <c r="A159" s="3"/>
      <c r="B159" s="3"/>
      <c r="C159" s="3"/>
      <c r="D159" s="3"/>
      <c r="E159" s="3"/>
      <c r="F159" s="12"/>
    </row>
    <row r="160" spans="1:6" ht="16.5" customHeight="1">
      <c r="A160" s="3"/>
      <c r="B160" s="3"/>
      <c r="C160" s="3"/>
      <c r="D160" s="3"/>
      <c r="E160" s="3"/>
      <c r="F160" s="12"/>
    </row>
    <row r="161" spans="1:6" ht="16.5" customHeight="1">
      <c r="A161" s="3"/>
      <c r="B161" s="3"/>
      <c r="C161" s="3"/>
      <c r="D161" s="3"/>
      <c r="E161" s="3"/>
      <c r="F161" s="12"/>
    </row>
    <row r="162" spans="1:6" ht="16.5" customHeight="1">
      <c r="A162" s="3"/>
      <c r="B162" s="3"/>
      <c r="C162" s="3"/>
      <c r="D162" s="3"/>
      <c r="E162" s="3"/>
      <c r="F162" s="12"/>
    </row>
    <row r="163" spans="1:6" ht="16.5" customHeight="1">
      <c r="A163" s="3"/>
      <c r="B163" s="3"/>
      <c r="C163" s="3"/>
      <c r="D163" s="3"/>
      <c r="E163" s="3"/>
      <c r="F163" s="12"/>
    </row>
    <row r="164" spans="1:6" ht="16.5" customHeight="1">
      <c r="A164" s="3"/>
      <c r="B164" s="3"/>
      <c r="C164" s="3"/>
      <c r="D164" s="3"/>
      <c r="E164" s="3"/>
      <c r="F164" s="12"/>
    </row>
    <row r="165" spans="1:6" ht="16.5" customHeight="1">
      <c r="A165" s="3"/>
      <c r="B165" s="3"/>
      <c r="C165" s="3"/>
      <c r="D165" s="3"/>
      <c r="E165" s="3"/>
      <c r="F165" s="12"/>
    </row>
    <row r="166" spans="1:6" ht="16.5" customHeight="1">
      <c r="A166" s="3"/>
      <c r="B166" s="3"/>
      <c r="C166" s="3"/>
      <c r="D166" s="3"/>
      <c r="E166" s="3"/>
      <c r="F166" s="12"/>
    </row>
    <row r="167" spans="1:6" ht="16.5" customHeight="1">
      <c r="A167" s="3"/>
      <c r="B167" s="3"/>
      <c r="C167" s="3"/>
      <c r="D167" s="3"/>
      <c r="E167" s="3"/>
      <c r="F167" s="12"/>
    </row>
    <row r="168" spans="1:6" ht="16.5" customHeight="1">
      <c r="A168" s="3"/>
      <c r="B168" s="3"/>
      <c r="C168" s="3"/>
      <c r="D168" s="3"/>
      <c r="E168" s="3"/>
      <c r="F168" s="12"/>
    </row>
    <row r="169" spans="1:6" ht="16.5" customHeight="1">
      <c r="A169" s="3"/>
      <c r="B169" s="3"/>
      <c r="C169" s="3"/>
      <c r="D169" s="3"/>
      <c r="E169" s="3"/>
      <c r="F169" s="12"/>
    </row>
    <row r="170" spans="1:6" ht="16.5" customHeight="1">
      <c r="A170" s="3"/>
      <c r="B170" s="3"/>
      <c r="C170" s="3"/>
      <c r="D170" s="3"/>
      <c r="E170" s="3"/>
      <c r="F170" s="12"/>
    </row>
    <row r="171" spans="1:6" ht="16.5" customHeight="1">
      <c r="A171" s="3"/>
      <c r="B171" s="3"/>
      <c r="C171" s="3"/>
      <c r="D171" s="3"/>
      <c r="E171" s="3"/>
      <c r="F171" s="12"/>
    </row>
    <row r="172" spans="1:6" ht="16.5" customHeight="1">
      <c r="A172" s="3"/>
      <c r="B172" s="3"/>
      <c r="C172" s="3"/>
      <c r="D172" s="3"/>
      <c r="E172" s="3"/>
      <c r="F172" s="12"/>
    </row>
    <row r="173" spans="1:6" ht="16.5" customHeight="1">
      <c r="A173" s="3"/>
      <c r="B173" s="3"/>
      <c r="C173" s="3"/>
      <c r="D173" s="3"/>
      <c r="E173" s="3"/>
      <c r="F173" s="12"/>
    </row>
    <row r="174" spans="1:6" ht="16.5" customHeight="1">
      <c r="A174" s="3"/>
      <c r="B174" s="3"/>
      <c r="C174" s="3"/>
      <c r="D174" s="3"/>
      <c r="E174" s="3"/>
      <c r="F174" s="12"/>
    </row>
    <row r="175" spans="1:6" ht="16.5" customHeight="1">
      <c r="A175" s="3"/>
      <c r="B175" s="3"/>
      <c r="C175" s="3"/>
      <c r="D175" s="3"/>
      <c r="E175" s="3"/>
      <c r="F175" s="12"/>
    </row>
    <row r="176" spans="1:6" ht="16.5" customHeight="1">
      <c r="A176" s="3"/>
      <c r="B176" s="3"/>
      <c r="C176" s="3"/>
      <c r="D176" s="3"/>
      <c r="E176" s="3"/>
      <c r="F176" s="12"/>
    </row>
    <row r="177" spans="1:6" ht="16.5" customHeight="1">
      <c r="A177" s="3"/>
      <c r="B177" s="3"/>
      <c r="C177" s="3"/>
      <c r="D177" s="3"/>
      <c r="E177" s="3"/>
      <c r="F177" s="12"/>
    </row>
    <row r="178" spans="1:6" ht="16.5" customHeight="1">
      <c r="A178" s="3"/>
      <c r="B178" s="3"/>
      <c r="C178" s="3"/>
      <c r="D178" s="3"/>
      <c r="E178" s="3"/>
      <c r="F178" s="12"/>
    </row>
    <row r="179" spans="1:6" ht="16.5" customHeight="1">
      <c r="A179" s="3"/>
      <c r="B179" s="3"/>
      <c r="C179" s="3"/>
      <c r="D179" s="3"/>
      <c r="E179" s="3"/>
      <c r="F179" s="12"/>
    </row>
    <row r="180" spans="1:6" ht="16.5" customHeight="1">
      <c r="A180" s="3"/>
      <c r="B180" s="3"/>
      <c r="C180" s="3"/>
      <c r="D180" s="3"/>
      <c r="E180" s="3"/>
      <c r="F180" s="12"/>
    </row>
    <row r="181" spans="1:6" ht="16.5" customHeight="1">
      <c r="A181" s="3"/>
      <c r="B181" s="3"/>
      <c r="C181" s="3"/>
      <c r="D181" s="3"/>
      <c r="E181" s="3"/>
      <c r="F181" s="12"/>
    </row>
    <row r="182" spans="1:6" ht="16.5" customHeight="1">
      <c r="A182" s="3"/>
      <c r="B182" s="3"/>
      <c r="C182" s="3"/>
      <c r="D182" s="3"/>
      <c r="E182" s="3"/>
      <c r="F182" s="12"/>
    </row>
    <row r="183" spans="1:6" ht="16.5" customHeight="1">
      <c r="A183" s="3"/>
      <c r="B183" s="3"/>
      <c r="C183" s="3"/>
      <c r="D183" s="3"/>
      <c r="E183" s="3"/>
      <c r="F183" s="12"/>
    </row>
    <row r="184" spans="1:6" ht="16.5" customHeight="1">
      <c r="A184" s="3"/>
      <c r="B184" s="3"/>
      <c r="C184" s="3"/>
      <c r="D184" s="3"/>
      <c r="E184" s="3"/>
      <c r="F184" s="12"/>
    </row>
    <row r="185" spans="1:6" ht="16.5" customHeight="1">
      <c r="A185" s="3"/>
      <c r="B185" s="3"/>
      <c r="C185" s="3"/>
      <c r="D185" s="3"/>
      <c r="E185" s="3"/>
      <c r="F185" s="12"/>
    </row>
    <row r="186" spans="1:6" ht="16.5" customHeight="1">
      <c r="A186" s="3"/>
      <c r="B186" s="3"/>
      <c r="C186" s="3"/>
      <c r="D186" s="3"/>
      <c r="E186" s="3"/>
      <c r="F186" s="12"/>
    </row>
    <row r="187" spans="1:6" ht="16.5" customHeight="1">
      <c r="A187" s="3"/>
      <c r="B187" s="3"/>
      <c r="C187" s="3"/>
      <c r="D187" s="3"/>
      <c r="E187" s="3"/>
      <c r="F187" s="12"/>
    </row>
    <row r="188" spans="1:6" ht="16.5" customHeight="1">
      <c r="A188" s="3"/>
      <c r="B188" s="3"/>
      <c r="C188" s="3"/>
      <c r="D188" s="3"/>
      <c r="E188" s="3"/>
      <c r="F188" s="12"/>
    </row>
    <row r="189" spans="1:6" ht="16.5" customHeight="1">
      <c r="A189" s="3"/>
      <c r="B189" s="3"/>
      <c r="C189" s="3"/>
      <c r="D189" s="3"/>
      <c r="E189" s="3"/>
      <c r="F189" s="12"/>
    </row>
    <row r="190" spans="1:6" ht="16.5" customHeight="1">
      <c r="A190" s="3"/>
      <c r="B190" s="3"/>
      <c r="C190" s="3"/>
      <c r="D190" s="3"/>
      <c r="E190" s="3"/>
      <c r="F190" s="12"/>
    </row>
    <row r="191" spans="1:6" ht="16.5" customHeight="1">
      <c r="A191" s="3"/>
      <c r="B191" s="3"/>
      <c r="C191" s="3"/>
      <c r="D191" s="3"/>
      <c r="E191" s="3"/>
      <c r="F191" s="12"/>
    </row>
    <row r="192" spans="1:6" ht="16.5" customHeight="1">
      <c r="A192" s="3"/>
      <c r="B192" s="3"/>
      <c r="C192" s="3"/>
      <c r="D192" s="3"/>
      <c r="E192" s="3"/>
      <c r="F192" s="12"/>
    </row>
    <row r="193" spans="1:6" ht="16.5" customHeight="1">
      <c r="A193" s="3"/>
      <c r="B193" s="3"/>
      <c r="C193" s="3"/>
      <c r="D193" s="3"/>
      <c r="E193" s="3"/>
      <c r="F193" s="12"/>
    </row>
    <row r="194" spans="1:6" ht="16.5" customHeight="1">
      <c r="A194" s="3"/>
      <c r="B194" s="3"/>
      <c r="C194" s="3"/>
      <c r="D194" s="3"/>
      <c r="E194" s="3"/>
      <c r="F194" s="12"/>
    </row>
    <row r="195" spans="1:6" ht="16.5" customHeight="1">
      <c r="A195" s="3"/>
      <c r="B195" s="3"/>
      <c r="C195" s="3"/>
      <c r="D195" s="3"/>
      <c r="E195" s="3"/>
      <c r="F195" s="12"/>
    </row>
    <row r="196" spans="1:6" ht="16.5" customHeight="1">
      <c r="A196" s="3"/>
      <c r="B196" s="3"/>
      <c r="C196" s="3"/>
      <c r="D196" s="3"/>
      <c r="E196" s="3"/>
      <c r="F196" s="12"/>
    </row>
    <row r="197" spans="1:6" ht="16.5" customHeight="1">
      <c r="A197" s="3"/>
      <c r="B197" s="3"/>
      <c r="C197" s="3"/>
      <c r="D197" s="3"/>
      <c r="E197" s="3"/>
      <c r="F197" s="12"/>
    </row>
    <row r="198" spans="1:6" ht="16.5" customHeight="1">
      <c r="A198" s="3"/>
      <c r="B198" s="3"/>
      <c r="C198" s="3"/>
      <c r="D198" s="3"/>
      <c r="E198" s="3"/>
      <c r="F198" s="12"/>
    </row>
    <row r="199" spans="1:6" ht="16.5" customHeight="1">
      <c r="A199" s="3"/>
      <c r="B199" s="3"/>
      <c r="C199" s="3"/>
      <c r="D199" s="3"/>
      <c r="E199" s="3"/>
      <c r="F199" s="12"/>
    </row>
    <row r="200" spans="1:6" ht="16.5" customHeight="1">
      <c r="A200" s="3"/>
      <c r="B200" s="3"/>
      <c r="C200" s="3"/>
      <c r="D200" s="3"/>
      <c r="E200" s="3"/>
      <c r="F200" s="12"/>
    </row>
    <row r="201" spans="1:6" ht="16.5" customHeight="1">
      <c r="A201" s="3"/>
      <c r="B201" s="3"/>
      <c r="C201" s="3"/>
      <c r="D201" s="3"/>
      <c r="E201" s="3"/>
      <c r="F201" s="12"/>
    </row>
    <row r="202" spans="1:6" ht="16.5" customHeight="1">
      <c r="A202" s="3"/>
      <c r="B202" s="3"/>
      <c r="C202" s="3"/>
      <c r="D202" s="3"/>
      <c r="E202" s="3"/>
      <c r="F202" s="12"/>
    </row>
    <row r="203" spans="1:6" ht="16.5" customHeight="1">
      <c r="A203" s="3"/>
      <c r="B203" s="3"/>
      <c r="C203" s="3"/>
      <c r="D203" s="3"/>
      <c r="E203" s="3"/>
      <c r="F203" s="12"/>
    </row>
    <row r="204" spans="1:6" ht="16.5" customHeight="1">
      <c r="A204" s="3"/>
      <c r="B204" s="3"/>
      <c r="C204" s="3"/>
      <c r="D204" s="3"/>
      <c r="E204" s="3"/>
      <c r="F204" s="12"/>
    </row>
    <row r="205" spans="1:6" ht="16.5" customHeight="1">
      <c r="A205" s="3"/>
      <c r="B205" s="3"/>
      <c r="C205" s="3"/>
      <c r="D205" s="3"/>
      <c r="E205" s="3"/>
      <c r="F205" s="12"/>
    </row>
    <row r="206" spans="1:6" ht="16.5" customHeight="1">
      <c r="A206" s="3"/>
      <c r="B206" s="3"/>
      <c r="C206" s="3"/>
      <c r="D206" s="3"/>
      <c r="E206" s="3"/>
      <c r="F206" s="12"/>
    </row>
    <row r="207" spans="1:6" ht="16.5" customHeight="1">
      <c r="A207" s="3"/>
      <c r="B207" s="3"/>
      <c r="C207" s="3"/>
      <c r="D207" s="3"/>
      <c r="E207" s="3"/>
      <c r="F207" s="12"/>
    </row>
    <row r="208" spans="1:6" ht="16.5" customHeight="1">
      <c r="A208" s="3"/>
      <c r="B208" s="3"/>
      <c r="C208" s="3"/>
      <c r="D208" s="3"/>
      <c r="E208" s="3"/>
      <c r="F208" s="12"/>
    </row>
    <row r="209" spans="1:6" ht="16.5" customHeight="1">
      <c r="A209" s="3"/>
      <c r="B209" s="3"/>
      <c r="C209" s="3"/>
      <c r="D209" s="3"/>
      <c r="E209" s="3"/>
      <c r="F209" s="12"/>
    </row>
    <row r="210" spans="1:6" ht="16.5" customHeight="1">
      <c r="A210" s="3"/>
      <c r="B210" s="3"/>
      <c r="C210" s="3"/>
      <c r="D210" s="3"/>
      <c r="E210" s="3"/>
      <c r="F210" s="12"/>
    </row>
    <row r="211" spans="1:6" ht="16.5" customHeight="1">
      <c r="A211" s="3"/>
      <c r="B211" s="3"/>
      <c r="C211" s="3"/>
      <c r="D211" s="3"/>
      <c r="E211" s="3"/>
      <c r="F211" s="12"/>
    </row>
    <row r="212" spans="1:6" ht="16.5" customHeight="1">
      <c r="A212" s="3"/>
      <c r="B212" s="3"/>
      <c r="C212" s="3"/>
      <c r="D212" s="3"/>
      <c r="E212" s="3"/>
      <c r="F212" s="12"/>
    </row>
    <row r="213" spans="1:6" ht="16.5" customHeight="1">
      <c r="A213" s="3"/>
      <c r="B213" s="3"/>
      <c r="C213" s="3"/>
      <c r="D213" s="3"/>
      <c r="E213" s="3"/>
      <c r="F213" s="12"/>
    </row>
    <row r="214" spans="1:6" ht="16.5" customHeight="1">
      <c r="A214" s="3"/>
      <c r="B214" s="3"/>
      <c r="C214" s="3"/>
      <c r="D214" s="3"/>
      <c r="E214" s="3"/>
      <c r="F214" s="12"/>
    </row>
    <row r="215" spans="1:6" ht="16.5" customHeight="1">
      <c r="A215" s="3"/>
      <c r="B215" s="3"/>
      <c r="C215" s="3"/>
      <c r="D215" s="3"/>
      <c r="E215" s="3"/>
      <c r="F215" s="12"/>
    </row>
    <row r="216" spans="1:6" ht="16.5" customHeight="1">
      <c r="A216" s="3"/>
      <c r="B216" s="3"/>
      <c r="C216" s="3"/>
      <c r="D216" s="3"/>
      <c r="E216" s="3"/>
      <c r="F216" s="12"/>
    </row>
    <row r="217" spans="1:6" ht="16.5" customHeight="1">
      <c r="A217" s="3"/>
      <c r="B217" s="3"/>
      <c r="C217" s="3"/>
      <c r="D217" s="3"/>
      <c r="E217" s="3"/>
      <c r="F217" s="12"/>
    </row>
    <row r="218" spans="1:6" ht="16.5" customHeight="1">
      <c r="A218" s="3"/>
      <c r="B218" s="3"/>
      <c r="C218" s="3"/>
      <c r="D218" s="3"/>
      <c r="E218" s="3"/>
      <c r="F218" s="12"/>
    </row>
    <row r="219" spans="1:6" ht="16.5" customHeight="1">
      <c r="A219" s="3"/>
      <c r="B219" s="3"/>
      <c r="C219" s="3"/>
      <c r="D219" s="3"/>
      <c r="E219" s="3"/>
      <c r="F219" s="12"/>
    </row>
    <row r="220" spans="1:6" ht="16.5" customHeight="1">
      <c r="A220" s="3"/>
      <c r="B220" s="3"/>
      <c r="C220" s="3"/>
      <c r="D220" s="3"/>
      <c r="E220" s="3"/>
      <c r="F220" s="12"/>
    </row>
    <row r="221" spans="1:6" ht="16.5" customHeight="1">
      <c r="A221" s="3"/>
      <c r="B221" s="3"/>
      <c r="C221" s="3"/>
      <c r="D221" s="3"/>
      <c r="E221" s="3"/>
      <c r="F221" s="12"/>
    </row>
    <row r="222" spans="1:6" ht="16.5" customHeight="1">
      <c r="A222" s="3"/>
      <c r="B222" s="3"/>
      <c r="C222" s="3"/>
      <c r="D222" s="3"/>
      <c r="E222" s="3"/>
      <c r="F222" s="12"/>
    </row>
    <row r="223" spans="1:6" ht="16.5" customHeight="1">
      <c r="A223" s="3"/>
      <c r="B223" s="3"/>
      <c r="C223" s="3"/>
      <c r="D223" s="3"/>
      <c r="E223" s="3"/>
      <c r="F223" s="12"/>
    </row>
    <row r="224" spans="1:6" ht="16.5" customHeight="1">
      <c r="A224" s="3"/>
      <c r="B224" s="3"/>
      <c r="C224" s="3"/>
      <c r="D224" s="3"/>
      <c r="E224" s="3"/>
      <c r="F224" s="12"/>
    </row>
    <row r="225" spans="1:6" ht="16.5" customHeight="1">
      <c r="A225" s="3"/>
      <c r="B225" s="3"/>
      <c r="C225" s="3"/>
      <c r="D225" s="3"/>
      <c r="E225" s="3"/>
      <c r="F225" s="12"/>
    </row>
    <row r="226" spans="1:6" ht="16.5" customHeight="1">
      <c r="A226" s="3"/>
      <c r="B226" s="3"/>
      <c r="C226" s="3"/>
      <c r="D226" s="3"/>
      <c r="E226" s="3"/>
      <c r="F226" s="12"/>
    </row>
    <row r="227" spans="1:6" ht="16.5" customHeight="1">
      <c r="A227" s="3"/>
      <c r="B227" s="3"/>
      <c r="C227" s="3"/>
      <c r="D227" s="3"/>
      <c r="E227" s="3"/>
      <c r="F227" s="12"/>
    </row>
    <row r="228" spans="1:6" ht="16.5" customHeight="1">
      <c r="A228" s="3"/>
      <c r="B228" s="3"/>
      <c r="C228" s="3"/>
      <c r="D228" s="3"/>
      <c r="E228" s="3"/>
      <c r="F228" s="12"/>
    </row>
    <row r="229" spans="1:6" ht="16.5" customHeight="1">
      <c r="A229" s="3"/>
      <c r="B229" s="3"/>
      <c r="C229" s="3"/>
      <c r="D229" s="3"/>
      <c r="E229" s="3"/>
      <c r="F229" s="12"/>
    </row>
    <row r="230" spans="1:6" ht="16.5" customHeight="1">
      <c r="A230" s="3"/>
      <c r="B230" s="3"/>
      <c r="C230" s="3"/>
      <c r="D230" s="3"/>
      <c r="E230" s="3"/>
      <c r="F230" s="12"/>
    </row>
    <row r="231" spans="1:6" ht="16.5" customHeight="1">
      <c r="A231" s="3"/>
      <c r="B231" s="3"/>
      <c r="C231" s="3"/>
      <c r="D231" s="3"/>
      <c r="E231" s="3"/>
      <c r="F231" s="12"/>
    </row>
    <row r="232" spans="1:6" ht="16.5" customHeight="1">
      <c r="A232" s="3"/>
      <c r="B232" s="3"/>
      <c r="C232" s="3"/>
      <c r="D232" s="3"/>
      <c r="E232" s="3"/>
      <c r="F232" s="12"/>
    </row>
    <row r="233" spans="1:6" ht="16.5" customHeight="1">
      <c r="A233" s="3"/>
      <c r="B233" s="3"/>
      <c r="C233" s="3"/>
      <c r="D233" s="3"/>
      <c r="E233" s="3"/>
      <c r="F233" s="12"/>
    </row>
    <row r="234" spans="1:6" ht="16.5" customHeight="1">
      <c r="A234" s="3"/>
      <c r="B234" s="3"/>
      <c r="C234" s="3"/>
      <c r="D234" s="3"/>
      <c r="E234" s="3"/>
      <c r="F234" s="12"/>
    </row>
    <row r="235" spans="1:6" ht="16.5" customHeight="1">
      <c r="A235" s="3"/>
      <c r="B235" s="3"/>
      <c r="C235" s="3"/>
      <c r="D235" s="3"/>
      <c r="E235" s="3"/>
      <c r="F235" s="12"/>
    </row>
    <row r="236" spans="1:6" ht="16.5" customHeight="1">
      <c r="A236" s="3"/>
      <c r="B236" s="3"/>
      <c r="C236" s="3"/>
      <c r="D236" s="3"/>
      <c r="E236" s="3"/>
      <c r="F236" s="12"/>
    </row>
    <row r="237" spans="1:6" ht="16.5" customHeight="1">
      <c r="A237" s="3"/>
      <c r="B237" s="3"/>
      <c r="C237" s="3"/>
      <c r="D237" s="3"/>
      <c r="E237" s="3"/>
      <c r="F237" s="12"/>
    </row>
    <row r="238" spans="1:6" ht="16.5" customHeight="1">
      <c r="A238" s="3"/>
      <c r="B238" s="3"/>
      <c r="C238" s="3"/>
      <c r="D238" s="3"/>
      <c r="E238" s="3"/>
      <c r="F238" s="12"/>
    </row>
    <row r="239" spans="1:6" ht="16.5" customHeight="1">
      <c r="A239" s="3"/>
      <c r="B239" s="3"/>
      <c r="C239" s="3"/>
      <c r="D239" s="3"/>
      <c r="E239" s="3"/>
      <c r="F239" s="12"/>
    </row>
    <row r="240" spans="1:6" ht="16.5" customHeight="1">
      <c r="A240" s="3"/>
      <c r="B240" s="3"/>
      <c r="C240" s="3"/>
      <c r="D240" s="3"/>
      <c r="E240" s="3"/>
      <c r="F240" s="12"/>
    </row>
    <row r="241" spans="1:6" ht="16.5" customHeight="1">
      <c r="A241" s="3"/>
      <c r="B241" s="3"/>
      <c r="C241" s="3"/>
      <c r="D241" s="3"/>
      <c r="E241" s="3"/>
      <c r="F241" s="12"/>
    </row>
    <row r="242" spans="1:6" ht="16.5" customHeight="1">
      <c r="A242" s="3"/>
      <c r="B242" s="3"/>
      <c r="C242" s="3"/>
      <c r="D242" s="3"/>
      <c r="E242" s="3"/>
      <c r="F242" s="12"/>
    </row>
    <row r="243" spans="1:6" ht="16.5" customHeight="1">
      <c r="A243" s="3"/>
      <c r="B243" s="3"/>
      <c r="C243" s="3"/>
      <c r="D243" s="3"/>
      <c r="E243" s="3"/>
      <c r="F243" s="12"/>
    </row>
    <row r="244" spans="1:6" ht="16.5" customHeight="1">
      <c r="A244" s="3"/>
      <c r="B244" s="3"/>
      <c r="C244" s="3"/>
      <c r="D244" s="3"/>
      <c r="E244" s="3"/>
      <c r="F244" s="12"/>
    </row>
    <row r="245" spans="1:6" ht="16.5" customHeight="1">
      <c r="A245" s="3"/>
      <c r="B245" s="3"/>
      <c r="C245" s="3"/>
      <c r="D245" s="3"/>
      <c r="E245" s="3"/>
      <c r="F245" s="12"/>
    </row>
    <row r="246" spans="1:6" ht="16.5" customHeight="1">
      <c r="A246" s="3"/>
      <c r="B246" s="3"/>
      <c r="C246" s="3"/>
      <c r="D246" s="3"/>
      <c r="E246" s="3"/>
      <c r="F246" s="12"/>
    </row>
    <row r="247" spans="1:6" ht="16.5" customHeight="1">
      <c r="A247" s="3"/>
      <c r="B247" s="3"/>
      <c r="C247" s="3"/>
      <c r="D247" s="3"/>
      <c r="E247" s="3"/>
      <c r="F247" s="12"/>
    </row>
    <row r="248" spans="1:6" ht="16.5" customHeight="1">
      <c r="A248" s="3"/>
      <c r="B248" s="3"/>
      <c r="C248" s="3"/>
      <c r="D248" s="3"/>
      <c r="E248" s="3"/>
      <c r="F248" s="12"/>
    </row>
    <row r="249" spans="1:6" ht="16.5" customHeight="1">
      <c r="A249" s="3"/>
      <c r="B249" s="3"/>
      <c r="C249" s="3"/>
      <c r="D249" s="3"/>
      <c r="E249" s="3"/>
      <c r="F249" s="12"/>
    </row>
    <row r="250" spans="1:6" ht="16.5" customHeight="1">
      <c r="A250" s="3"/>
      <c r="B250" s="3"/>
      <c r="C250" s="3"/>
      <c r="D250" s="3"/>
      <c r="E250" s="3"/>
      <c r="F250" s="12"/>
    </row>
    <row r="251" spans="1:6" ht="16.5" customHeight="1">
      <c r="A251" s="3"/>
      <c r="B251" s="3"/>
      <c r="C251" s="3"/>
      <c r="D251" s="3"/>
      <c r="E251" s="3"/>
      <c r="F251" s="12"/>
    </row>
    <row r="252" spans="1:6" ht="16.5" customHeight="1">
      <c r="A252" s="3"/>
      <c r="B252" s="3"/>
      <c r="C252" s="3"/>
      <c r="D252" s="3"/>
      <c r="E252" s="3"/>
      <c r="F252" s="12"/>
    </row>
    <row r="253" spans="1:6" ht="16.5" customHeight="1">
      <c r="A253" s="3"/>
      <c r="B253" s="3"/>
      <c r="C253" s="3"/>
      <c r="D253" s="3"/>
      <c r="E253" s="3"/>
      <c r="F253" s="12"/>
    </row>
    <row r="254" spans="1:6" ht="16.5" customHeight="1">
      <c r="A254" s="3"/>
      <c r="B254" s="3"/>
      <c r="C254" s="3"/>
      <c r="D254" s="3"/>
      <c r="E254" s="3"/>
      <c r="F254" s="12"/>
    </row>
    <row r="255" spans="1:6" ht="16.5" customHeight="1">
      <c r="A255" s="3"/>
      <c r="B255" s="3"/>
      <c r="C255" s="3"/>
      <c r="D255" s="3"/>
      <c r="E255" s="3"/>
      <c r="F255" s="12"/>
    </row>
    <row r="256" spans="1:6" ht="16.5" customHeight="1">
      <c r="A256" s="3"/>
      <c r="B256" s="3"/>
      <c r="C256" s="3"/>
      <c r="D256" s="3"/>
      <c r="E256" s="3"/>
      <c r="F256" s="12"/>
    </row>
    <row r="257" spans="1:6" ht="16.5" customHeight="1">
      <c r="A257" s="3"/>
      <c r="B257" s="3"/>
      <c r="C257" s="3"/>
      <c r="D257" s="3"/>
      <c r="E257" s="3"/>
      <c r="F257" s="12"/>
    </row>
    <row r="258" spans="1:6" ht="16.5" customHeight="1">
      <c r="A258" s="3"/>
      <c r="B258" s="3"/>
      <c r="C258" s="3"/>
      <c r="D258" s="3"/>
      <c r="E258" s="3"/>
      <c r="F258" s="12"/>
    </row>
    <row r="259" spans="1:6" ht="16.5" customHeight="1">
      <c r="A259" s="3"/>
      <c r="B259" s="3"/>
      <c r="C259" s="3"/>
      <c r="D259" s="3"/>
      <c r="E259" s="3"/>
      <c r="F259" s="12"/>
    </row>
    <row r="260" spans="1:6" ht="16.5" customHeight="1">
      <c r="A260" s="3"/>
      <c r="B260" s="3"/>
      <c r="C260" s="3"/>
      <c r="D260" s="3"/>
      <c r="E260" s="3"/>
      <c r="F260" s="12"/>
    </row>
    <row r="261" spans="1:6" ht="16.5" customHeight="1">
      <c r="A261" s="3"/>
      <c r="B261" s="3"/>
      <c r="C261" s="3"/>
      <c r="D261" s="3"/>
      <c r="E261" s="3"/>
      <c r="F261" s="12"/>
    </row>
    <row r="262" spans="1:6" ht="16.5" customHeight="1">
      <c r="A262" s="3"/>
      <c r="B262" s="3"/>
      <c r="C262" s="3"/>
      <c r="D262" s="3"/>
      <c r="E262" s="3"/>
      <c r="F262" s="12"/>
    </row>
    <row r="263" spans="1:6" ht="16.5" customHeight="1">
      <c r="A263" s="3"/>
      <c r="B263" s="3"/>
      <c r="C263" s="3"/>
      <c r="D263" s="3"/>
      <c r="E263" s="3"/>
      <c r="F263" s="12"/>
    </row>
    <row r="264" spans="1:6" ht="16.5" customHeight="1">
      <c r="A264" s="3"/>
      <c r="B264" s="3"/>
      <c r="C264" s="3"/>
      <c r="D264" s="3"/>
      <c r="E264" s="3"/>
      <c r="F264" s="12"/>
    </row>
    <row r="265" spans="1:6" ht="16.5" customHeight="1">
      <c r="A265" s="3"/>
      <c r="B265" s="3"/>
      <c r="C265" s="3"/>
      <c r="D265" s="3"/>
      <c r="E265" s="3"/>
      <c r="F265" s="12"/>
    </row>
    <row r="266" spans="1:6" ht="16.5" customHeight="1">
      <c r="A266" s="3"/>
      <c r="B266" s="3"/>
      <c r="C266" s="3"/>
      <c r="D266" s="3"/>
      <c r="E266" s="3"/>
      <c r="F266" s="12"/>
    </row>
    <row r="267" spans="1:6" ht="16.5" customHeight="1">
      <c r="A267" s="3"/>
      <c r="B267" s="3"/>
      <c r="C267" s="3"/>
      <c r="D267" s="3"/>
      <c r="E267" s="3"/>
      <c r="F267" s="12"/>
    </row>
    <row r="268" spans="1:6" ht="16.5" customHeight="1">
      <c r="A268" s="3"/>
      <c r="B268" s="3"/>
      <c r="C268" s="3"/>
      <c r="D268" s="3"/>
      <c r="E268" s="3"/>
      <c r="F268" s="12"/>
    </row>
    <row r="269" spans="1:6" ht="16.5" customHeight="1">
      <c r="A269" s="3"/>
      <c r="B269" s="3"/>
      <c r="C269" s="3"/>
      <c r="D269" s="3"/>
      <c r="E269" s="3"/>
      <c r="F269" s="12"/>
    </row>
    <row r="270" spans="1:6" ht="16.5" customHeight="1">
      <c r="A270" s="3"/>
      <c r="B270" s="3"/>
      <c r="C270" s="3"/>
      <c r="D270" s="3"/>
      <c r="E270" s="3"/>
      <c r="F270" s="12"/>
    </row>
    <row r="271" spans="1:6" ht="16.5" customHeight="1">
      <c r="A271" s="3"/>
      <c r="B271" s="3"/>
      <c r="C271" s="3"/>
      <c r="D271" s="3"/>
      <c r="E271" s="3"/>
      <c r="F271" s="12"/>
    </row>
    <row r="272" spans="1:6" ht="16.5" customHeight="1">
      <c r="A272" s="3"/>
      <c r="F272" s="12"/>
    </row>
    <row r="273" spans="1:6" ht="16.5" customHeight="1">
      <c r="A273" s="3"/>
      <c r="B273" s="3"/>
      <c r="C273" s="3"/>
      <c r="D273" s="3"/>
      <c r="E273" s="3"/>
      <c r="F273" s="12"/>
    </row>
    <row r="274" spans="1:6" ht="16.5" customHeight="1">
      <c r="A274" s="3"/>
      <c r="F274" s="12"/>
    </row>
    <row r="275" spans="1:6" ht="16.5" customHeight="1">
      <c r="A275" s="3"/>
      <c r="B275" s="3"/>
      <c r="C275" s="3"/>
      <c r="D275" s="3"/>
      <c r="E275" s="3"/>
      <c r="F275" s="12"/>
    </row>
    <row r="276" spans="1:6" ht="16.5" customHeight="1">
      <c r="F276" s="12"/>
    </row>
    <row r="277" spans="1:6" ht="16.5" customHeight="1">
      <c r="A277" s="3"/>
      <c r="B277" s="3"/>
      <c r="C277" s="3"/>
      <c r="D277" s="3"/>
      <c r="E277" s="3"/>
      <c r="F277" s="12"/>
    </row>
    <row r="278" spans="1:6" ht="16.5" customHeight="1">
      <c r="F278" s="12"/>
    </row>
    <row r="279" spans="1:6" ht="16.5" customHeight="1">
      <c r="A279" s="3"/>
      <c r="B279" s="3"/>
      <c r="C279" s="3"/>
      <c r="D279" s="3"/>
      <c r="E279" s="3"/>
      <c r="F279" s="12"/>
    </row>
    <row r="280" spans="1:6" ht="16.5" customHeight="1">
      <c r="F280" s="12"/>
    </row>
    <row r="281" spans="1:6" ht="16.5" customHeight="1">
      <c r="A281" s="3"/>
      <c r="B281" s="3"/>
      <c r="C281" s="3"/>
      <c r="D281" s="3"/>
      <c r="E281" s="3"/>
      <c r="F281" s="12"/>
    </row>
    <row r="282" spans="1:6" ht="16.5" customHeight="1">
      <c r="F282" s="12"/>
    </row>
    <row r="283" spans="1:6" ht="16.5" customHeight="1">
      <c r="A283" s="3"/>
      <c r="B283" s="3"/>
      <c r="C283" s="3"/>
      <c r="D283" s="3"/>
      <c r="E283" s="3"/>
      <c r="F283" s="12"/>
    </row>
    <row r="284" spans="1:6" ht="16.5" customHeight="1">
      <c r="F284" s="12"/>
    </row>
    <row r="285" spans="1:6" ht="16.5" customHeight="1">
      <c r="A285" s="3"/>
      <c r="B285" s="3"/>
      <c r="C285" s="3"/>
      <c r="D285" s="3"/>
      <c r="E285" s="3"/>
      <c r="F285" s="12"/>
    </row>
    <row r="286" spans="1:6" ht="16.5" customHeight="1">
      <c r="F286" s="12"/>
    </row>
    <row r="287" spans="1:6" ht="16.5" customHeight="1">
      <c r="A287" s="3"/>
      <c r="B287" s="3"/>
      <c r="C287" s="3"/>
      <c r="D287" s="3"/>
      <c r="E287" s="3"/>
      <c r="F287" s="12"/>
    </row>
    <row r="288" spans="1:6" ht="16.5" customHeight="1">
      <c r="F288" s="12"/>
    </row>
    <row r="289" spans="1:6" ht="16.5" customHeight="1">
      <c r="A289" s="3"/>
      <c r="B289" s="3"/>
      <c r="C289" s="3"/>
      <c r="D289" s="3"/>
      <c r="E289" s="3"/>
      <c r="F289" s="12"/>
    </row>
    <row r="290" spans="1:6" ht="16.5" customHeight="1">
      <c r="F290" s="12"/>
    </row>
    <row r="291" spans="1:6" ht="16.5" customHeight="1">
      <c r="A291" s="3"/>
      <c r="B291" s="3"/>
      <c r="C291" s="3"/>
      <c r="D291" s="3"/>
      <c r="E291" s="3"/>
      <c r="F291" s="12"/>
    </row>
    <row r="292" spans="1:6" ht="16.5" customHeight="1">
      <c r="F292" s="12"/>
    </row>
    <row r="293" spans="1:6" ht="16.5" customHeight="1">
      <c r="A293" s="3"/>
      <c r="B293" s="3"/>
      <c r="C293" s="3"/>
      <c r="D293" s="3"/>
      <c r="E293" s="3"/>
      <c r="F293" s="12"/>
    </row>
    <row r="294" spans="1:6" ht="16.5" customHeight="1">
      <c r="F294" s="12"/>
    </row>
    <row r="295" spans="1:6" ht="16.5" customHeight="1">
      <c r="A295" s="3"/>
      <c r="B295" s="3"/>
      <c r="C295" s="3"/>
      <c r="D295" s="3"/>
      <c r="E295" s="3"/>
      <c r="F295" s="12"/>
    </row>
    <row r="296" spans="1:6" ht="16.5" customHeight="1">
      <c r="F296" s="12"/>
    </row>
    <row r="297" spans="1:6" ht="16.5" customHeight="1">
      <c r="A297" s="3"/>
      <c r="B297" s="3"/>
      <c r="C297" s="3"/>
      <c r="D297" s="3"/>
      <c r="E297" s="3"/>
      <c r="F297" s="12"/>
    </row>
    <row r="298" spans="1:6" ht="16.5" customHeight="1">
      <c r="F298" s="12"/>
    </row>
    <row r="299" spans="1:6" ht="16.5" customHeight="1">
      <c r="A299" s="3"/>
      <c r="B299" s="3"/>
      <c r="C299" s="3"/>
      <c r="D299" s="3"/>
      <c r="E299" s="3"/>
      <c r="F299" s="12"/>
    </row>
    <row r="300" spans="1:6" ht="16.5" customHeight="1">
      <c r="F300" s="12"/>
    </row>
    <row r="301" spans="1:6" ht="16.5" customHeight="1">
      <c r="A301" s="3"/>
      <c r="B301" s="3"/>
      <c r="C301" s="3"/>
      <c r="D301" s="3"/>
      <c r="E301" s="3"/>
      <c r="F301" s="12"/>
    </row>
    <row r="302" spans="1:6" ht="16.5" customHeight="1"/>
    <row r="303" spans="1:6" ht="16.5" customHeight="1"/>
    <row r="304" spans="1:6"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1000"/>
  <sheetViews>
    <sheetView tabSelected="1" topLeftCell="A87" workbookViewId="0">
      <selection activeCell="F93" sqref="F93"/>
    </sheetView>
  </sheetViews>
  <sheetFormatPr defaultColWidth="12.5703125" defaultRowHeight="15.75" customHeight="1"/>
  <cols>
    <col min="1" max="1" width="85.5703125" customWidth="1"/>
    <col min="2" max="5" width="23.28515625" customWidth="1"/>
    <col min="6" max="6" width="109.7109375" customWidth="1"/>
    <col min="22" max="22" width="12.5703125" customWidth="1"/>
    <col min="23" max="23" width="16.42578125" customWidth="1"/>
  </cols>
  <sheetData>
    <row r="1" spans="1:23" ht="16.5" customHeight="1">
      <c r="A1" s="1" t="s">
        <v>0</v>
      </c>
      <c r="B1" s="1" t="s">
        <v>1</v>
      </c>
      <c r="C1" s="1" t="s">
        <v>2</v>
      </c>
      <c r="D1" s="1" t="s">
        <v>3</v>
      </c>
      <c r="E1" s="1" t="s">
        <v>4</v>
      </c>
      <c r="F1" s="2" t="s">
        <v>5</v>
      </c>
      <c r="V1" s="1"/>
      <c r="W1" s="1"/>
    </row>
    <row r="2" spans="1:23" ht="16.5" customHeight="1">
      <c r="A2" s="3" t="str">
        <f ca="1">IFERROR(__xludf.DUMMYFUNCTION("GOOGLETRANSLATE('Майнкрафт'!A2,""ru"",""en"")"),"What is the name of the dimension where the Ender Dragon lives?")</f>
        <v>What is the name of the dimension where the Ender Dragon lives?</v>
      </c>
      <c r="B2" s="3" t="str">
        <f ca="1">IFERROR(__xludf.DUMMYFUNCTION("GOOGLETRANSLATE('Майнкрафт'!B2,""ru"",""en"")"),"Edge")</f>
        <v>Edge</v>
      </c>
      <c r="C2" s="3" t="str">
        <f ca="1">IFERROR(__xludf.DUMMYFUNCTION("GOOGLETRANSLATE('Майнкрафт'!C2,""ru"",""en"")"),"Hell")</f>
        <v>Hell</v>
      </c>
      <c r="D2" s="3" t="str">
        <f ca="1">IFERROR(__xludf.DUMMYFUNCTION("GOOGLETRANSLATE('Майнкрафт'!D2,""ru"",""en"")"),"Upper World")</f>
        <v>Upper World</v>
      </c>
      <c r="E2" s="3" t="str">
        <f ca="1">IFERROR(__xludf.DUMMYFUNCTION("GOOGLETRANSLATE('Майнкрафт'!E2,""ru"",""en"")"),"Measuring rolling pin")</f>
        <v>Measuring rolling pin</v>
      </c>
      <c r="F2" s="4"/>
      <c r="V2" s="3"/>
      <c r="W2" s="3"/>
    </row>
    <row r="3" spans="1:23" ht="16.5" customHeight="1">
      <c r="A3" s="3" t="str">
        <f ca="1">IFERROR(__xludf.DUMMYFUNCTION("GOOGLETRANSLATE('Майнкрафт'!A3,""ru"",""en"")"),"Where can you find frogs in Minecraft?")</f>
        <v>Where can you find frogs in Minecraft?</v>
      </c>
      <c r="B3" s="3" t="str">
        <f ca="1">IFERROR(__xludf.DUMMYFUNCTION("GOOGLETRANSLATE('Майнкрафт'!B3,""ru"",""en"")"),"Swamp")</f>
        <v>Swamp</v>
      </c>
      <c r="C3" s="3" t="str">
        <f ca="1">IFERROR(__xludf.DUMMYFUNCTION("GOOGLETRANSLATE('Майнкрафт'!C3,""ru"",""en"")"),"Jungle")</f>
        <v>Jungle</v>
      </c>
      <c r="D3" s="3" t="str">
        <f ca="1">IFERROR(__xludf.DUMMYFUNCTION("GOOGLETRANSLATE('Майнкрафт'!D3,""ru"",""en"")"),"Lush caves")</f>
        <v>Lush caves</v>
      </c>
      <c r="E3" s="3" t="str">
        <f ca="1">IFERROR(__xludf.DUMMYFUNCTION("GOOGLETRANSLATE('Майнкрафт'!E3,""ru"",""en"")"),"Desert")</f>
        <v>Desert</v>
      </c>
      <c r="F3" s="4"/>
      <c r="V3" s="3"/>
      <c r="W3" s="3"/>
    </row>
    <row r="4" spans="1:23" ht="16.5" customHeight="1">
      <c r="A4" s="3" t="str">
        <f ca="1">IFERROR(__xludf.DUMMYFUNCTION("GOOGLETRANSLATE('Майнкрафт'!A4,""ru"",""en"")"),"What is the name of the mode where you can fly and have unlimited resources?")</f>
        <v>What is the name of the mode where you can fly and have unlimited resources?</v>
      </c>
      <c r="B4" s="3" t="str">
        <f ca="1">IFERROR(__xludf.DUMMYFUNCTION("GOOGLETRANSLATE('Майнкрафт'!B4,""ru"",""en"")"),"Creative mode")</f>
        <v>Creative mode</v>
      </c>
      <c r="C4" s="3" t="str">
        <f ca="1">IFERROR(__xludf.DUMMYFUNCTION("GOOGLETRANSLATE('Майнкрафт'!C4,""ru"",""en"")"),"Survival mode")</f>
        <v>Survival mode</v>
      </c>
      <c r="D4" s="3" t="str">
        <f ca="1">IFERROR(__xludf.DUMMYFUNCTION("GOOGLETRANSLATE('Майнкрафт'!D4,""ru"",""en"")"),"Adventure mode")</f>
        <v>Adventure mode</v>
      </c>
      <c r="E4" s="3" t="str">
        <f ca="1">IFERROR(__xludf.DUMMYFUNCTION("GOOGLETRANSLATE('Майнкрафт'!E4,""ru"",""en"")"),"Observer mode")</f>
        <v>Observer mode</v>
      </c>
      <c r="F4" s="4"/>
      <c r="V4" s="3"/>
      <c r="W4" s="3"/>
    </row>
    <row r="5" spans="1:23" ht="16.5" customHeight="1">
      <c r="A5" s="3" t="str">
        <f ca="1">IFERROR(__xludf.DUMMYFUNCTION("GOOGLETRANSLATE('Майнкрафт'!A5,""ru"",""en"")"),"Which mob drops copper?")</f>
        <v>Which mob drops copper?</v>
      </c>
      <c r="B5" s="3" t="str">
        <f ca="1">IFERROR(__xludf.DUMMYFUNCTION("GOOGLETRANSLATE('Майнкрафт'!B5,""ru"",""en"")"),"Drowned")</f>
        <v>Drowned</v>
      </c>
      <c r="C5" s="3" t="str">
        <f ca="1">IFERROR(__xludf.DUMMYFUNCTION("GOOGLETRANSLATE('Майнкрафт'!C5,""ru"",""en"")"),"Zombie")</f>
        <v>Zombie</v>
      </c>
      <c r="D5" s="3" t="str">
        <f ca="1">IFERROR(__xludf.DUMMYFUNCTION("GOOGLETRANSLATE('Майнкрафт'!D5,""ru"",""en"")"),"Piglin")</f>
        <v>Piglin</v>
      </c>
      <c r="E5" s="3" t="str">
        <f ca="1">IFERROR(__xludf.DUMMYFUNCTION("GOOGLETRANSLATE('Майнкрафт'!E5,""ru"",""en"")"),"Robber")</f>
        <v>Robber</v>
      </c>
      <c r="F5" s="4"/>
      <c r="V5" s="3"/>
      <c r="W5" s="5"/>
    </row>
    <row r="6" spans="1:23" ht="16.5" customHeight="1">
      <c r="A6" s="3" t="str">
        <f ca="1">IFERROR(__xludf.DUMMYFUNCTION("GOOGLETRANSLATE('Майнкрафт'!A6,""ru"",""en"")"),"What ore glows in the dark when you walk on it or hit it?")</f>
        <v>What ore glows in the dark when you walk on it or hit it?</v>
      </c>
      <c r="B6" s="3" t="str">
        <f ca="1">IFERROR(__xludf.DUMMYFUNCTION("GOOGLETRANSLATE('Майнкрафт'!B6,""ru"",""en"")"),"Redstone ore")</f>
        <v>Redstone ore</v>
      </c>
      <c r="C6" s="3" t="str">
        <f ca="1">IFERROR(__xludf.DUMMYFUNCTION("GOOGLETRANSLATE('Майнкрафт'!C6,""ru"",""en"")"),"Iron ore")</f>
        <v>Iron ore</v>
      </c>
      <c r="D6" s="3" t="str">
        <f ca="1">IFERROR(__xludf.DUMMYFUNCTION("GOOGLETRANSLATE('Майнкрафт'!D6,""ru"",""en"")"),"gold ore")</f>
        <v>gold ore</v>
      </c>
      <c r="E6" s="3" t="str">
        <f ca="1">IFERROR(__xludf.DUMMYFUNCTION("GOOGLETRANSLATE('Майнкрафт'!E6,""ru"",""en"")"),"Diamond ore")</f>
        <v>Diamond ore</v>
      </c>
      <c r="F6" s="4"/>
      <c r="V6" s="3"/>
      <c r="W6" s="5"/>
    </row>
    <row r="7" spans="1:23" ht="16.5" customHeight="1">
      <c r="A7" s="3" t="str">
        <f ca="1">IFERROR(__xludf.DUMMYFUNCTION("GOOGLETRANSLATE('Майнкрафт'!A7,""ru"",""en"")"),"How can I repair Elytra?")</f>
        <v>How can I repair Elytra?</v>
      </c>
      <c r="B7" s="3" t="str">
        <f ca="1">IFERROR(__xludf.DUMMYFUNCTION("GOOGLETRANSLATE('Майнкрафт'!B7,""ru"",""en"")"),"Phantom membrane")</f>
        <v>Phantom membrane</v>
      </c>
      <c r="C7" s="3" t="str">
        <f ca="1">IFERROR(__xludf.DUMMYFUNCTION("GOOGLETRANSLATE('Майнкрафт'!C7,""ru"",""en"")"),"Diamonds")</f>
        <v>Diamonds</v>
      </c>
      <c r="D7" s="3" t="str">
        <f ca="1">IFERROR(__xludf.DUMMYFUNCTION("GOOGLETRANSLATE('Майнкрафт'!D7,""ru"",""en"")"),"Iron")</f>
        <v>Iron</v>
      </c>
      <c r="E7" s="3" t="str">
        <f ca="1">IFERROR(__xludf.DUMMYFUNCTION("GOOGLETRANSLATE('Майнкрафт'!E7,""ru"",""en"")"),"Skin")</f>
        <v>Skin</v>
      </c>
      <c r="F7" s="6"/>
      <c r="V7" s="3"/>
      <c r="W7" s="5"/>
    </row>
    <row r="8" spans="1:23" ht="16.5" customHeight="1">
      <c r="A8" s="3" t="str">
        <f ca="1">IFERROR(__xludf.DUMMYFUNCTION("GOOGLETRANSLATE('Майнкрафт'!A8,""ru"",""en"")"),"What mob attacks octopuses?")</f>
        <v>What mob attacks octopuses?</v>
      </c>
      <c r="B8" s="3" t="str">
        <f ca="1">IFERROR(__xludf.DUMMYFUNCTION("GOOGLETRANSLATE('Майнкрафт'!B8,""ru"",""en"")"),"Guardian")</f>
        <v>Guardian</v>
      </c>
      <c r="C8" s="3" t="str">
        <f ca="1">IFERROR(__xludf.DUMMYFUNCTION("GOOGLETRANSLATE('Майнкрафт'!C8,""ru"",""en"")"),"Drowned")</f>
        <v>Drowned</v>
      </c>
      <c r="D8" s="3" t="str">
        <f ca="1">IFERROR(__xludf.DUMMYFUNCTION("GOOGLETRANSLATE('Майнкрафт'!D8,""ru"",""en"")"),"Dolphin")</f>
        <v>Dolphin</v>
      </c>
      <c r="E8" s="3" t="str">
        <f ca="1">IFERROR(__xludf.DUMMYFUNCTION("GOOGLETRANSLATE('Майнкрафт'!E8,""ru"",""en"")"),"Salmon")</f>
        <v>Salmon</v>
      </c>
      <c r="F8" s="4"/>
      <c r="V8" s="3"/>
      <c r="W8" s="5"/>
    </row>
    <row r="9" spans="1:23" ht="16.5" customHeight="1">
      <c r="A9" s="3" t="str">
        <f ca="1">IFERROR(__xludf.DUMMYFUNCTION("GOOGLETRANSLATE('Майнкрафт'!A9,""ru"",""en"")"),"What is used to create a portal to the Nether?")</f>
        <v>What is used to create a portal to the Nether?</v>
      </c>
      <c r="B9" s="3" t="str">
        <f ca="1">IFERROR(__xludf.DUMMYFUNCTION("GOOGLETRANSLATE('Майнкрафт'!B9,""ru"",""en"")"),"Obsidian")</f>
        <v>Obsidian</v>
      </c>
      <c r="C9" s="3" t="str">
        <f ca="1">IFERROR(__xludf.DUMMYFUNCTION("GOOGLETRANSLATE('Майнкрафт'!C9,""ru"",""en"")"),"End Stone")</f>
        <v>End Stone</v>
      </c>
      <c r="D9" s="3" t="str">
        <f ca="1">IFERROR(__xludf.DUMMYFUNCTION("GOOGLETRANSLATE('Майнкрафт'!D9,""ru"",""en"")"),"Bedrock")</f>
        <v>Bedrock</v>
      </c>
      <c r="E9" s="3" t="str">
        <f ca="1">IFERROR(__xludf.DUMMYFUNCTION("GOOGLETRANSLATE('Майнкрафт'!E9,""ru"",""en"")"),"Diamond blocks")</f>
        <v>Diamond blocks</v>
      </c>
      <c r="F9" s="4"/>
      <c r="V9" s="3"/>
      <c r="W9" s="5"/>
    </row>
    <row r="10" spans="1:23" ht="16.5" customHeight="1">
      <c r="A10" s="3" t="str">
        <f ca="1">IFERROR(__xludf.DUMMYFUNCTION("GOOGLETRANSLATE('Майнкрафт'!A10,""ru"",""en"")"),"Select a structure that only generates in the Nether:")</f>
        <v>Select a structure that only generates in the Nether:</v>
      </c>
      <c r="B10" s="3" t="str">
        <f ca="1">IFERROR(__xludf.DUMMYFUNCTION("GOOGLETRANSLATE('Майнкрафт'!B10,""ru"",""en"")"),"Hell's Fortress")</f>
        <v>Hell's Fortress</v>
      </c>
      <c r="C10" s="3" t="str">
        <f ca="1">IFERROR(__xludf.DUMMYFUNCTION("GOOGLETRANSLATE('Майнкрафт'!C10,""ru"",""en"")"),"Forest Mansion")</f>
        <v>Forest Mansion</v>
      </c>
      <c r="D10" s="3" t="str">
        <f ca="1">IFERROR(__xludf.DUMMYFUNCTION("GOOGLETRANSLATE('Майнкрафт'!D10,""ru"",""en"")"),"Village")</f>
        <v>Village</v>
      </c>
      <c r="E10" s="3" t="str">
        <f ca="1">IFERROR(__xludf.DUMMYFUNCTION("GOOGLETRANSLATE('Майнкрафт'!E10,""ru"",""en"")"),"Pyramid")</f>
        <v>Pyramid</v>
      </c>
      <c r="F10" s="4"/>
      <c r="V10" s="3"/>
      <c r="W10" s="5"/>
    </row>
    <row r="11" spans="1:23" ht="16.5" customHeight="1">
      <c r="A11" s="3" t="str">
        <f ca="1">IFERROR(__xludf.DUMMYFUNCTION("GOOGLETRANSLATE('Майнкрафт'!A11,""ru"",""en"")"),"What is the name of the enchantment that causes the trident to return to the player?")</f>
        <v>What is the name of the enchantment that causes the trident to return to the player?</v>
      </c>
      <c r="B11" s="3" t="str">
        <f ca="1">IFERROR(__xludf.DUMMYFUNCTION("GOOGLETRANSLATE('Майнкрафт'!B11,""ru"",""en"")"),"Loyalty")</f>
        <v>Loyalty</v>
      </c>
      <c r="C11" s="3" t="str">
        <f ca="1">IFERROR(__xludf.DUMMYFUNCTION("GOOGLETRANSLATE('Майнкрафт'!C11,""ru"",""en"")"),"Tyagun")</f>
        <v>Tyagun</v>
      </c>
      <c r="D11" s="3" t="str">
        <f ca="1">IFERROR(__xludf.DUMMYFUNCTION("GOOGLETRANSLATE('Майнкрафт'!D11,""ru"",""en"")"),"The Piercer")</f>
        <v>The Piercer</v>
      </c>
      <c r="E11" s="3" t="str">
        <f ca="1">IFERROR(__xludf.DUMMYFUNCTION("GOOGLETRANSLATE('Майнкрафт'!E11,""ru"",""en"")"),"Thunderer")</f>
        <v>Thunderer</v>
      </c>
      <c r="F11" s="4"/>
      <c r="V11" s="3"/>
      <c r="W11" s="5"/>
    </row>
    <row r="12" spans="1:23" ht="16.5" customHeight="1">
      <c r="A12" s="3" t="str">
        <f ca="1">IFERROR(__xludf.DUMMYFUNCTION("GOOGLETRANSLATE('Майнкрафт'!A12,""ru"",""en"")"),"What is the name of the enchantment that increases the amount of items dropped by mobs?")</f>
        <v>What is the name of the enchantment that increases the amount of items dropped by mobs?</v>
      </c>
      <c r="B12" s="3" t="str">
        <f ca="1">IFERROR(__xludf.DUMMYFUNCTION("GOOGLETRANSLATE('Майнкрафт'!B12,""ru"",""en"")"),"Extraction")</f>
        <v>Extraction</v>
      </c>
      <c r="C12" s="3" t="str">
        <f ca="1">IFERROR(__xludf.DUMMYFUNCTION("GOOGLETRANSLATE('Майнкрафт'!C12,""ru"",""en"")"),"Luck")</f>
        <v>Luck</v>
      </c>
      <c r="D12" s="3" t="str">
        <f ca="1">IFERROR(__xludf.DUMMYFUNCTION("GOOGLETRANSLATE('Майнкрафт'!D12,""ru"",""en"")"),"Efficiency")</f>
        <v>Efficiency</v>
      </c>
      <c r="E12" s="3" t="str">
        <f ca="1">IFERROR(__xludf.DUMMYFUNCTION("GOOGLETRANSLATE('Майнкрафт'!E12,""ru"",""en"")"),"Strength")</f>
        <v>Strength</v>
      </c>
      <c r="F12" s="4"/>
      <c r="V12" s="3"/>
      <c r="W12" s="5"/>
    </row>
    <row r="13" spans="1:23" ht="16.5" customHeight="1">
      <c r="A13" s="3" t="str">
        <f ca="1">IFERROR(__xludf.DUMMYFUNCTION("GOOGLETRANSLATE('Майнкрафт'!A13,""ru"",""en"")"),"Which mob is attacking villagers?")</f>
        <v>Which mob is attacking villagers?</v>
      </c>
      <c r="B13" s="3" t="str">
        <f ca="1">IFERROR(__xludf.DUMMYFUNCTION("GOOGLETRANSLATE('Майнкрафт'!B13,""ru"",""en"")"),"Zombie")</f>
        <v>Zombie</v>
      </c>
      <c r="C13" s="3" t="str">
        <f ca="1">IFERROR(__xludf.DUMMYFUNCTION("GOOGLETRANSLATE('Майнкрафт'!C13,""ru"",""en"")"),"Piglin")</f>
        <v>Piglin</v>
      </c>
      <c r="D13" s="3" t="str">
        <f ca="1">IFERROR(__xludf.DUMMYFUNCTION("GOOGLETRANSLATE('Майнкрафт'!D13,""ru"",""en"")"),"Skeleton")</f>
        <v>Skeleton</v>
      </c>
      <c r="E13" s="3" t="str">
        <f ca="1">IFERROR(__xludf.DUMMYFUNCTION("GOOGLETRANSLATE('Майнкрафт'!E13,""ru"",""en"")"),"Creeper")</f>
        <v>Creeper</v>
      </c>
      <c r="F13" s="4"/>
      <c r="V13" s="3"/>
      <c r="W13" s="5"/>
    </row>
    <row r="14" spans="1:23" ht="16.5" customHeight="1">
      <c r="A14" s="3" t="str">
        <f ca="1">IFERROR(__xludf.DUMMYFUNCTION("GOOGLETRANSLATE('Майнкрафт'!A14,""ru"",""en"")"),"What do you get by killing a cow with fire?")</f>
        <v>What do you get by killing a cow with fire?</v>
      </c>
      <c r="B14" s="3" t="str">
        <f ca="1">IFERROR(__xludf.DUMMYFUNCTION("GOOGLETRANSLATE('Майнкрафт'!B14,""ru"",""en"")"),"Fried beef")</f>
        <v>Fried beef</v>
      </c>
      <c r="C14" s="3" t="str">
        <f ca="1">IFERROR(__xludf.DUMMYFUNCTION("GOOGLETRANSLATE('Майнкрафт'!C14,""ru"",""en"")"),"Raw beef")</f>
        <v>Raw beef</v>
      </c>
      <c r="D14" s="3" t="str">
        <f ca="1">IFERROR(__xludf.DUMMYFUNCTION("GOOGLETRANSLATE('Майнкрафт'!D14,""ru"",""en"")"),"Skin")</f>
        <v>Skin</v>
      </c>
      <c r="E14" s="3" t="str">
        <f ca="1">IFERROR(__xludf.DUMMYFUNCTION("GOOGLETRANSLATE('Майнкрафт'!E14,""ru"",""en"")"),"Nothing")</f>
        <v>Nothing</v>
      </c>
      <c r="F14" s="4"/>
      <c r="V14" s="3"/>
      <c r="W14" s="5"/>
    </row>
    <row r="15" spans="1:23" ht="16.5" customHeight="1">
      <c r="A15" s="3" t="str">
        <f ca="1">IFERROR(__xludf.DUMMYFUNCTION("GOOGLETRANSLATE('Майнкрафт'!A15,""ru"",""en"")"),"What item indicates the player's spawn location?")</f>
        <v>What item indicates the player's spawn location?</v>
      </c>
      <c r="B15" s="3" t="str">
        <f ca="1">IFERROR(__xludf.DUMMYFUNCTION("GOOGLETRANSLATE('Майнкрафт'!B15,""ru"",""en"")"),"Compass (in the overworld)")</f>
        <v>Compass (in the overworld)</v>
      </c>
      <c r="C15" s="3" t="str">
        <f ca="1">IFERROR(__xludf.DUMMYFUNCTION("GOOGLETRANSLATE('Майнкрафт'!C15,""ru"",""en"")"),"Map")</f>
        <v>Map</v>
      </c>
      <c r="D15" s="3" t="str">
        <f ca="1">IFERROR(__xludf.DUMMYFUNCTION("GOOGLETRANSLATE('Майнкрафт'!D15,""ru"",""en"")"),"Watch")</f>
        <v>Watch</v>
      </c>
      <c r="E15" s="3" t="str">
        <f ca="1">IFERROR(__xludf.DUMMYFUNCTION("GOOGLETRANSLATE('Майнкрафт'!E15,""ru"",""en"")"),"Magnetite")</f>
        <v>Magnetite</v>
      </c>
      <c r="F15" s="4"/>
      <c r="V15" s="3"/>
      <c r="W15" s="5"/>
    </row>
    <row r="16" spans="1:23" ht="16.5" customHeight="1">
      <c r="A16" s="3" t="str">
        <f ca="1">IFERROR(__xludf.DUMMYFUNCTION("GOOGLETRANSLATE('Майнкрафт'!A16,""ru"",""en"")"),"What drops from a ghast?")</f>
        <v>What drops from a ghast?</v>
      </c>
      <c r="B16" s="3" t="str">
        <f ca="1">IFERROR(__xludf.DUMMYFUNCTION("GOOGLETRANSLATE('Майнкрафт'!B16,""ru"",""en"")"),"Gunpowder and the Tear of Gast")</f>
        <v>Gunpowder and the Tear of Gast</v>
      </c>
      <c r="C16" s="3" t="str">
        <f ca="1">IFERROR(__xludf.DUMMYFUNCTION("GOOGLETRANSLATE('Майнкрафт'!C16,""ru"",""en"")"),"Only gunpowder")</f>
        <v>Only gunpowder</v>
      </c>
      <c r="D16" s="3" t="str">
        <f ca="1">IFERROR(__xludf.DUMMYFUNCTION("GOOGLETRANSLATE('Майнкрафт'!D16,""ru"",""en"")"),"Only a tear of gast")</f>
        <v>Only a tear of gast</v>
      </c>
      <c r="E16" s="3" t="str">
        <f ca="1">IFERROR(__xludf.DUMMYFUNCTION("GOOGLETRANSLATE('Майнкрафт'!E16,""ru"",""en"")"),"Fire Rod")</f>
        <v>Fire Rod</v>
      </c>
      <c r="F16" s="4"/>
      <c r="V16" s="3"/>
      <c r="W16" s="5"/>
    </row>
    <row r="17" spans="1:23" ht="16.5" customHeight="1">
      <c r="A17" s="3" t="str">
        <f ca="1">IFERROR(__xludf.DUMMYFUNCTION("GOOGLETRANSLATE('Майнкрафт'!A17,""ru"",""en"")"),"In which biome can acacia trees be found?")</f>
        <v>In which biome can acacia trees be found?</v>
      </c>
      <c r="B17" s="3" t="str">
        <f ca="1">IFERROR(__xludf.DUMMYFUNCTION("GOOGLETRANSLATE('Майнкрафт'!B17,""ru"",""en"")"),"In the savannah")</f>
        <v>In the savannah</v>
      </c>
      <c r="C17" s="3" t="str">
        <f ca="1">IFERROR(__xludf.DUMMYFUNCTION("GOOGLETRANSLATE('Майнкрафт'!C17,""ru"",""en"")"),"In the jungle")</f>
        <v>In the jungle</v>
      </c>
      <c r="D17" s="3" t="str">
        <f ca="1">IFERROR(__xludf.DUMMYFUNCTION("GOOGLETRANSLATE('Майнкрафт'!D17,""ru"",""en"")"),"In the taiga")</f>
        <v>In the taiga</v>
      </c>
      <c r="E17" s="3" t="str">
        <f ca="1">IFERROR(__xludf.DUMMYFUNCTION("GOOGLETRANSLATE('Майнкрафт'!E17,""ru"",""en"")"),"In the dark forest")</f>
        <v>In the dark forest</v>
      </c>
      <c r="F17" s="4"/>
      <c r="V17" s="3"/>
      <c r="W17" s="5"/>
    </row>
    <row r="18" spans="1:23" ht="16.5" customHeight="1">
      <c r="A18" s="3" t="str">
        <f ca="1">IFERROR(__xludf.DUMMYFUNCTION("GOOGLETRANSLATE('Майнкрафт'!A18,""ru"",""en"")"),"What happens if you pour water on a lava source?")</f>
        <v>What happens if you pour water on a lava source?</v>
      </c>
      <c r="B18" s="3" t="str">
        <f ca="1">IFERROR(__xludf.DUMMYFUNCTION("GOOGLETRANSLATE('Майнкрафт'!B18,""ru"",""en"")"),"Obsidian is formed")</f>
        <v>Obsidian is formed</v>
      </c>
      <c r="C18" s="3" t="str">
        <f ca="1">IFERROR(__xludf.DUMMYFUNCTION("GOOGLETRANSLATE('Майнкрафт'!C18,""ru"",""en"")"),"A stone is formed")</f>
        <v>A stone is formed</v>
      </c>
      <c r="D18" s="3" t="str">
        <f ca="1">IFERROR(__xludf.DUMMYFUNCTION("GOOGLETRANSLATE('Майнкрафт'!D18,""ru"",""en"")"),"Nothing will happen")</f>
        <v>Nothing will happen</v>
      </c>
      <c r="E18" s="3" t="str">
        <f ca="1">IFERROR(__xludf.DUMMYFUNCTION("GOOGLETRANSLATE('Майнкрафт'!E18,""ru"",""en"")"),"The water will evaporate")</f>
        <v>The water will evaporate</v>
      </c>
      <c r="F18" s="4"/>
      <c r="V18" s="3"/>
      <c r="W18" s="5"/>
    </row>
    <row r="19" spans="1:23" ht="16.5" customHeight="1">
      <c r="A19" s="3" t="str">
        <f ca="1">IFERROR(__xludf.DUMMYFUNCTION("GOOGLETRANSLATE('Майнкрафт'!A19,""ru"",""en"")"),"What falls out of a goat?")</f>
        <v>What falls out of a goat?</v>
      </c>
      <c r="B19" s="3" t="str">
        <f ca="1">IFERROR(__xludf.DUMMYFUNCTION("GOOGLETRANSLATE('Майнкрафт'!B19,""ru"",""en"")"),"Goat's Horn (if it hits a solid block)")</f>
        <v>Goat's Horn (if it hits a solid block)</v>
      </c>
      <c r="C19" s="3" t="str">
        <f ca="1">IFERROR(__xludf.DUMMYFUNCTION("GOOGLETRANSLATE('Майнкрафт'!C19,""ru"",""en"")"),"Meat")</f>
        <v>Meat</v>
      </c>
      <c r="D19" s="3" t="str">
        <f ca="1">IFERROR(__xludf.DUMMYFUNCTION("GOOGLETRANSLATE('Майнкрафт'!D19,""ru"",""en"")"),"Wool")</f>
        <v>Wool</v>
      </c>
      <c r="E19" s="3" t="str">
        <f ca="1">IFERROR(__xludf.DUMMYFUNCTION("GOOGLETRANSLATE('Майнкрафт'!E19,""ru"",""en"")"),"Nothing")</f>
        <v>Nothing</v>
      </c>
      <c r="F19" s="4"/>
      <c r="V19" s="3"/>
      <c r="W19" s="5"/>
    </row>
    <row r="20" spans="1:23" ht="16.5" customHeight="1">
      <c r="A20" s="3" t="str">
        <f ca="1">IFERROR(__xludf.DUMMYFUNCTION("GOOGLETRANSLATE('Майнкрафт'!A20,""ru"",""en"")"),"What block does a player mine first in a new world?")</f>
        <v>What block does a player mine first in a new world?</v>
      </c>
      <c r="B20" s="3" t="str">
        <f ca="1">IFERROR(__xludf.DUMMYFUNCTION("GOOGLETRANSLATE('Майнкрафт'!B20,""ru"",""en"")"),"Tree")</f>
        <v>Tree</v>
      </c>
      <c r="C20" s="3" t="str">
        <f ca="1">IFERROR(__xludf.DUMMYFUNCTION("GOOGLETRANSLATE('Майнкрафт'!C20,""ru"",""en"")"),"Iron")</f>
        <v>Iron</v>
      </c>
      <c r="D20" s="3" t="str">
        <f ca="1">IFERROR(__xludf.DUMMYFUNCTION("GOOGLETRANSLATE('Майнкрафт'!D20,""ru"",""en"")"),"Diamond")</f>
        <v>Diamond</v>
      </c>
      <c r="E20" s="3" t="str">
        <f ca="1">IFERROR(__xludf.DUMMYFUNCTION("GOOGLETRANSLATE('Майнкрафт'!E20,""ru"",""en"")"),"Stone")</f>
        <v>Stone</v>
      </c>
      <c r="F20" s="4"/>
      <c r="V20" s="3"/>
      <c r="W20" s="5"/>
    </row>
    <row r="21" spans="1:23" ht="16.5" customHeight="1">
      <c r="A21" s="3" t="str">
        <f ca="1">IFERROR(__xludf.DUMMYFUNCTION("GOOGLETRANSLATE('Майнкрафт'!A21,""ru"",""en"")"),"What is a workbench made of?")</f>
        <v>What is a workbench made of?</v>
      </c>
      <c r="B21" s="3" t="str">
        <f ca="1">IFERROR(__xludf.DUMMYFUNCTION("GOOGLETRANSLATE('Майнкрафт'!B21,""ru"",""en"")"),"From four boards")</f>
        <v>From four boards</v>
      </c>
      <c r="C21" s="3" t="str">
        <f ca="1">IFERROR(__xludf.DUMMYFUNCTION("GOOGLETRANSLATE('Майнкрафт'!C21,""ru"",""en"")"),"From four blocks of stone")</f>
        <v>From four blocks of stone</v>
      </c>
      <c r="D21" s="3" t="str">
        <f ca="1">IFERROR(__xludf.DUMMYFUNCTION("GOOGLETRANSLATE('Майнкрафт'!D21,""ru"",""en"")"),"From two sticks and two boards")</f>
        <v>From two sticks and two boards</v>
      </c>
      <c r="E21" s="3" t="str">
        <f ca="1">IFERROR(__xludf.DUMMYFUNCTION("GOOGLETRANSLATE('Майнкрафт'!E21,""ru"",""en"")"),"From four iron ingots")</f>
        <v>From four iron ingots</v>
      </c>
      <c r="F21" s="4"/>
      <c r="V21" s="3"/>
      <c r="W21" s="5"/>
    </row>
    <row r="22" spans="1:23" ht="16.5" customHeight="1">
      <c r="A22" s="3" t="str">
        <f ca="1">IFERROR(__xludf.DUMMYFUNCTION("GOOGLETRANSLATE('Майнкрафт'!A22,""ru"",""en"")"),"Which block can copy banners?")</f>
        <v>Which block can copy banners?</v>
      </c>
      <c r="B22" s="3" t="str">
        <f ca="1">IFERROR(__xludf.DUMMYFUNCTION("GOOGLETRANSLATE('Майнкрафт'!B22,""ru"",""en"")"),"Workbench")</f>
        <v>Workbench</v>
      </c>
      <c r="C22" s="3" t="str">
        <f ca="1">IFERROR(__xludf.DUMMYFUNCTION("GOOGLETRANSLATE('Майнкрафт'!C22,""ru"",""en"")"),"Loom")</f>
        <v>Loom</v>
      </c>
      <c r="D22" s="3" t="str">
        <f ca="1">IFERROR(__xludf.DUMMYFUNCTION("GOOGLETRANSLATE('Майнкрафт'!D22,""ru"",""en"")"),"Anvil")</f>
        <v>Anvil</v>
      </c>
      <c r="E22" s="3" t="str">
        <f ca="1">IFERROR(__xludf.DUMMYFUNCTION("GOOGLETRANSLATE('Майнкрафт'!E22,""ru"",""en"")"),"Map table")</f>
        <v>Map table</v>
      </c>
      <c r="F22" s="4"/>
      <c r="V22" s="3"/>
      <c r="W22" s="5"/>
    </row>
    <row r="23" spans="1:23" ht="16.5" customHeight="1">
      <c r="A23" s="3" t="str">
        <f ca="1">IFERROR(__xludf.DUMMYFUNCTION("GOOGLETRANSLATE('Майнкрафт'!A23,""ru"",""en"")"),"What do you need to build a smokehouse?")</f>
        <v>What do you need to build a smokehouse?</v>
      </c>
      <c r="B23" s="3" t="str">
        <f ca="1">IFERROR(__xludf.DUMMYFUNCTION("GOOGLETRANSLATE('Майнкрафт'!B23,""ru"",""en"")"),"Stove and 4 logs")</f>
        <v>Stove and 4 logs</v>
      </c>
      <c r="C23" s="3" t="str">
        <f ca="1">IFERROR(__xludf.DUMMYFUNCTION("GOOGLETRANSLATE('Майнкрафт'!C23,""ru"",""en"")"),"Oven and 4 boards")</f>
        <v>Oven and 4 boards</v>
      </c>
      <c r="D23" s="3" t="str">
        <f ca="1">IFERROR(__xludf.DUMMYFUNCTION("GOOGLETRANSLATE('Майнкрафт'!D23,""ru"",""en"")"),"Workbench and 4 logs")</f>
        <v>Workbench and 4 logs</v>
      </c>
      <c r="E23" s="3" t="str">
        <f ca="1">IFERROR(__xludf.DUMMYFUNCTION("GOOGLETRANSLATE('Майнкрафт'!E23,""ru"",""en"")"),"Oven and 4 stones")</f>
        <v>Oven and 4 stones</v>
      </c>
      <c r="F23" s="4"/>
      <c r="V23" s="3"/>
      <c r="W23" s="5"/>
    </row>
    <row r="24" spans="1:23" ht="16.5" customHeight="1">
      <c r="A24" s="3" t="str">
        <f ca="1">IFERROR(__xludf.DUMMYFUNCTION("GOOGLETRANSLATE('Майнкрафт'!A24,""ru"",""en"")"),"What does an observer do?")</f>
        <v>What does an observer do?</v>
      </c>
      <c r="B24" s="3" t="str">
        <f ca="1">IFERROR(__xludf.DUMMYFUNCTION("GOOGLETRANSLATE('Майнкрафт'!B24,""ru"",""en"")"),"Emits a redstone signal when the block in front of it is updated.")</f>
        <v>Emits a redstone signal when the block in front of it is updated.</v>
      </c>
      <c r="C24" s="3" t="str">
        <f ca="1">IFERROR(__xludf.DUMMYFUNCTION("GOOGLETRANSLATE('Майнкрафт'!C24,""ru"",""en"")"),"Plays a sound when a mob approaches.")</f>
        <v>Plays a sound when a mob approaches.</v>
      </c>
      <c r="D24" s="3" t="str">
        <f ca="1">IFERROR(__xludf.DUMMYFUNCTION("GOOGLETRANSLATE('Майнкрафт'!D24,""ru"",""en"")"),"Shows the time of day")</f>
        <v>Shows the time of day</v>
      </c>
      <c r="E24" s="3" t="str">
        <f ca="1">IFERROR(__xludf.DUMMYFUNCTION("GOOGLETRANSLATE('Майнкрафт'!E24,""ru"",""en"")"),"Stores items")</f>
        <v>Stores items</v>
      </c>
      <c r="F24" s="4"/>
      <c r="V24" s="3"/>
      <c r="W24" s="5"/>
    </row>
    <row r="25" spans="1:23" ht="16.5" customHeight="1">
      <c r="A25" s="3" t="str">
        <f ca="1">IFERROR(__xludf.DUMMYFUNCTION("GOOGLETRANSLATE('Майнкрафт'!A25,""ru"",""en"")"),"What does the Ancient Guardian drop?")</f>
        <v>What does the Ancient Guardian drop?</v>
      </c>
      <c r="B25" s="3" t="str">
        <f ca="1">IFERROR(__xludf.DUMMYFUNCTION("GOOGLETRANSLATE('Майнкрафт'!B25,""ru"",""en"")"),"All of the above")</f>
        <v>All of the above</v>
      </c>
      <c r="C25" s="3" t="str">
        <f ca="1">IFERROR(__xludf.DUMMYFUNCTION("GOOGLETRANSLATE('Майнкрафт'!C25,""ru"",""en"")"),"Prismarine")</f>
        <v>Prismarine</v>
      </c>
      <c r="D25" s="3" t="str">
        <f ca="1">IFERROR(__xludf.DUMMYFUNCTION("GOOGLETRANSLATE('Майнкрафт'!D25,""ru"",""en"")"),"Fish")</f>
        <v>Fish</v>
      </c>
      <c r="E25" s="3" t="str">
        <f ca="1">IFERROR(__xludf.DUMMYFUNCTION("GOOGLETRANSLATE('Майнкрафт'!E25,""ru"",""en"")"),"Sponge")</f>
        <v>Sponge</v>
      </c>
      <c r="F25" s="4"/>
      <c r="V25" s="3"/>
      <c r="W25" s="5"/>
    </row>
    <row r="26" spans="1:23" ht="16.5" customHeight="1">
      <c r="A26" s="3" t="str">
        <f ca="1">IFERROR(__xludf.DUMMYFUNCTION("GOOGLETRANSLATE('Майнкрафт'!A26,""ru"",""en"")"),"What can you get from shearing a mushroom cow?")</f>
        <v>What can you get from shearing a mushroom cow?</v>
      </c>
      <c r="B26" s="3" t="str">
        <f ca="1">IFERROR(__xludf.DUMMYFUNCTION("GOOGLETRANSLATE('Майнкрафт'!B26,""ru"",""en"")"),"Red mushrooms")</f>
        <v>Red mushrooms</v>
      </c>
      <c r="C26" s="3" t="str">
        <f ca="1">IFERROR(__xludf.DUMMYFUNCTION("GOOGLETRANSLATE('Майнкрафт'!C26,""ru"",""en"")"),"Wool")</f>
        <v>Wool</v>
      </c>
      <c r="D26" s="3" t="str">
        <f ca="1">IFERROR(__xludf.DUMMYFUNCTION("GOOGLETRANSLATE('Майнкрафт'!D26,""ru"",""en"")"),"Skin")</f>
        <v>Skin</v>
      </c>
      <c r="E26" s="3" t="str">
        <f ca="1">IFERROR(__xludf.DUMMYFUNCTION("GOOGLETRANSLATE('Майнкрафт'!E26,""ru"",""en"")"),"Nothing")</f>
        <v>Nothing</v>
      </c>
      <c r="F26" s="4"/>
      <c r="V26" s="3"/>
      <c r="W26" s="5"/>
    </row>
    <row r="27" spans="1:23" ht="16.5" customHeight="1">
      <c r="A27" s="3" t="str">
        <f ca="1">IFERROR(__xludf.DUMMYFUNCTION("GOOGLETRANSLATE('Майнкрафт'!A27,""ru"",""en"")"),"What is used to make a fishing rod?")</f>
        <v>What is used to make a fishing rod?</v>
      </c>
      <c r="B27" s="3" t="str">
        <f ca="1">IFERROR(__xludf.DUMMYFUNCTION("GOOGLETRANSLATE('Майнкрафт'!B27,""ru"",""en"")"),"3 sticks and 2 threads")</f>
        <v>3 sticks and 2 threads</v>
      </c>
      <c r="C27" s="3" t="str">
        <f ca="1">IFERROR(__xludf.DUMMYFUNCTION("GOOGLETRANSLATE('Майнкрафт'!C27,""ru"",""en"")"),"2 sticks and 3 threads")</f>
        <v>2 sticks and 3 threads</v>
      </c>
      <c r="D27" s="3" t="str">
        <f ca="1">IFERROR(__xludf.DUMMYFUNCTION("GOOGLETRANSLATE('Майнкрафт'!D27,""ru"",""en"")"),"3 sticks and 3 strings")</f>
        <v>3 sticks and 3 strings</v>
      </c>
      <c r="E27" s="3" t="str">
        <f ca="1">IFERROR(__xludf.DUMMYFUNCTION("GOOGLETRANSLATE('Майнкрафт'!E27,""ru"",""en"")"),"2 sticks and 2 threads")</f>
        <v>2 sticks and 2 threads</v>
      </c>
      <c r="F27" s="4"/>
      <c r="V27" s="3"/>
      <c r="W27" s="5"/>
    </row>
    <row r="28" spans="1:23" ht="16.5" customHeight="1">
      <c r="A28" s="3" t="str">
        <f ca="1">IFERROR(__xludf.DUMMYFUNCTION("GOOGLETRANSLATE('Майнкрафт'!A28,""ru"",""en"")"),"What is the smallest mob in the game?")</f>
        <v>What is the smallest mob in the game?</v>
      </c>
      <c r="B28" s="3" t="str">
        <f ca="1">IFERROR(__xludf.DUMMYFUNCTION("GOOGLETRANSLATE('Майнкрафт'!B28,""ru"",""en"")"),"Baby turtle")</f>
        <v>Baby turtle</v>
      </c>
      <c r="C28" s="3" t="str">
        <f ca="1">IFERROR(__xludf.DUMMYFUNCTION("GOOGLETRANSLATE('Майнкрафт'!C28,""ru"",""en"")"),"Little slug")</f>
        <v>Little slug</v>
      </c>
      <c r="D28" s="3" t="str">
        <f ca="1">IFERROR(__xludf.DUMMYFUNCTION("GOOGLETRANSLATE('Майнкрафт'!D28,""ru"",""en"")"),"Chick")</f>
        <v>Chick</v>
      </c>
      <c r="E28" s="3" t="str">
        <f ca="1">IFERROR(__xludf.DUMMYFUNCTION("GOOGLETRANSLATE('Майнкрафт'!E28,""ru"",""en"")"),"Silverfish of the Edge")</f>
        <v>Silverfish of the Edge</v>
      </c>
      <c r="F28" s="4"/>
      <c r="V28" s="3"/>
      <c r="W28" s="5"/>
    </row>
    <row r="29" spans="1:23" ht="16.5" customHeight="1">
      <c r="A29" s="3" t="str">
        <f ca="1">IFERROR(__xludf.DUMMYFUNCTION("GOOGLETRANSLATE('Майнкрафт'!A29,""ru"",""en"")"),"What do you need for an endless source of water?")</f>
        <v>What do you need for an endless source of water?</v>
      </c>
      <c r="B29" s="3" t="str">
        <f ca="1">IFERROR(__xludf.DUMMYFUNCTION("GOOGLETRANSLATE('Майнкрафт'!B29,""ru"",""en"")"),"A 2x2 square filled with water")</f>
        <v>A 2x2 square filled with water</v>
      </c>
      <c r="C29" s="3" t="str">
        <f ca="1">IFERROR(__xludf.DUMMYFUNCTION("GOOGLETRANSLATE('Майнкрафт'!C29,""ru"",""en"")"),"One block of water")</f>
        <v>One block of water</v>
      </c>
      <c r="D29" s="3" t="str">
        <f ca="1">IFERROR(__xludf.DUMMYFUNCTION("GOOGLETRANSLATE('Майнкрафт'!D29,""ru"",""en"")"),"A boiler with water")</f>
        <v>A boiler with water</v>
      </c>
      <c r="E29" s="3" t="str">
        <f ca="1">IFERROR(__xludf.DUMMYFUNCTION("GOOGLETRANSLATE('Майнкрафт'!E29,""ru"",""en"")"),"This is impossible")</f>
        <v>This is impossible</v>
      </c>
      <c r="F29" s="4"/>
      <c r="V29" s="3"/>
      <c r="W29" s="5"/>
    </row>
    <row r="30" spans="1:23" ht="16.5" customHeight="1">
      <c r="A30" s="3" t="str">
        <f ca="1">IFERROR(__xludf.DUMMYFUNCTION("GOOGLETRANSLATE('Майнкрафт'!A30,""ru"",""en"")"),"Which mob doesn't take fall damage?")</f>
        <v>Which mob doesn't take fall damage?</v>
      </c>
      <c r="B30" s="3" t="str">
        <f ca="1">IFERROR(__xludf.DUMMYFUNCTION("GOOGLETRANSLATE('Майнкрафт'!B30,""ru"",""en"")"),"Chicken")</f>
        <v>Chicken</v>
      </c>
      <c r="C30" s="3" t="str">
        <f ca="1">IFERROR(__xludf.DUMMYFUNCTION("GOOGLETRANSLATE('Майнкрафт'!C30,""ru"",""en"")"),"Skeleton")</f>
        <v>Skeleton</v>
      </c>
      <c r="D30" s="3" t="str">
        <f ca="1">IFERROR(__xludf.DUMMYFUNCTION("GOOGLETRANSLATE('Майнкрафт'!D30,""ru"",""en"")"),"Zombie")</f>
        <v>Zombie</v>
      </c>
      <c r="E30" s="3" t="str">
        <f ca="1">IFERROR(__xludf.DUMMYFUNCTION("GOOGLETRANSLATE('Майнкрафт'!E30,""ru"",""en"")"),"Pig")</f>
        <v>Pig</v>
      </c>
      <c r="F30" s="4"/>
      <c r="V30" s="3"/>
      <c r="W30" s="5"/>
    </row>
    <row r="31" spans="1:23" ht="16.5" customHeight="1">
      <c r="A31" s="3" t="str">
        <f ca="1">IFERROR(__xludf.DUMMYFUNCTION("GOOGLETRANSLATE('Майнкрафт'!A31,""ru"",""en"")"),"What do you get when you cross a horse and a donkey?")</f>
        <v>What do you get when you cross a horse and a donkey?</v>
      </c>
      <c r="B31" s="3" t="str">
        <f ca="1">IFERROR(__xludf.DUMMYFUNCTION("GOOGLETRANSLATE('Майнкрафт'!B31,""ru"",""en"")"),"Mula")</f>
        <v>Mula</v>
      </c>
      <c r="C31" s="3" t="str">
        <f ca="1">IFERROR(__xludf.DUMMYFUNCTION("GOOGLETRANSLATE('Майнкрафт'!C31,""ru"",""en"")"),"Foal")</f>
        <v>Foal</v>
      </c>
      <c r="D31" s="3" t="str">
        <f ca="1">IFERROR(__xludf.DUMMYFUNCTION("GOOGLETRANSLATE('Майнкрафт'!D31,""ru"",""en"")"),"Another horse")</f>
        <v>Another horse</v>
      </c>
      <c r="E31" s="3" t="str">
        <f ca="1">IFERROR(__xludf.DUMMYFUNCTION("GOOGLETRANSLATE('Майнкрафт'!E31,""ru"",""en"")"),"Another donkey")</f>
        <v>Another donkey</v>
      </c>
      <c r="F31" s="4"/>
      <c r="V31" s="3"/>
      <c r="W31" s="5"/>
    </row>
    <row r="32" spans="1:23" ht="16.5" customHeight="1">
      <c r="A32" s="3" t="str">
        <f ca="1">IFERROR(__xludf.DUMMYFUNCTION("GOOGLETRANSLATE('Майнкрафт'!A32,""ru"",""en"")"),"What do I need to do to summon a bandit raid?")</f>
        <v>What do I need to do to summon a bandit raid?</v>
      </c>
      <c r="B32" s="3" t="str">
        <f ca="1">IFERROR(__xludf.DUMMYFUNCTION("GOOGLETRANSLATE('Майнкрафт'!B32,""ru"",""en"")"),"Drink a sinister bottle in the village")</f>
        <v>Drink a sinister bottle in the village</v>
      </c>
      <c r="C32" s="3" t="str">
        <f ca="1">IFERROR(__xludf.DUMMYFUNCTION("GOOGLETRANSLATE('Майнкрафт'!C32,""ru"",""en"")"),"Flag of the robbers")</f>
        <v>Flag of the robbers</v>
      </c>
      <c r="D32" s="3" t="str">
        <f ca="1">IFERROR(__xludf.DUMMYFUNCTION("GOOGLETRANSLATE('Майнкрафт'!D32,""ru"",""en"")"),"Horn")</f>
        <v>Horn</v>
      </c>
      <c r="E32" s="3" t="str">
        <f ca="1">IFERROR(__xludf.DUMMYFUNCTION("GOOGLETRANSLATE('Майнкрафт'!E32,""ru"",""en"")"),"Kill the robber captain")</f>
        <v>Kill the robber captain</v>
      </c>
      <c r="F32" s="4"/>
      <c r="V32" s="3"/>
      <c r="W32" s="5"/>
    </row>
    <row r="33" spans="1:23" ht="16.5" customHeight="1">
      <c r="A33" s="3" t="str">
        <f ca="1">IFERROR(__xludf.DUMMYFUNCTION("GOOGLETRANSLATE('Майнкрафт'!A33,""ru"",""en"")"),"What block is used to dry wet sponges?")</f>
        <v>What block is used to dry wet sponges?</v>
      </c>
      <c r="B33" s="3" t="str">
        <f ca="1">IFERROR(__xludf.DUMMYFUNCTION("GOOGLETRANSLATE('Майнкрафт'!B33,""ru"",""en"")"),"Bake")</f>
        <v>Bake</v>
      </c>
      <c r="C33" s="3" t="str">
        <f ca="1">IFERROR(__xludf.DUMMYFUNCTION("GOOGLETRANSLATE('Майнкрафт'!C33,""ru"",""en"")"),"Anvil")</f>
        <v>Anvil</v>
      </c>
      <c r="D33" s="3" t="str">
        <f ca="1">IFERROR(__xludf.DUMMYFUNCTION("GOOGLETRANSLATE('Майнкрафт'!D33,""ru"",""en"")"),"Workbench")</f>
        <v>Workbench</v>
      </c>
      <c r="E33" s="3" t="str">
        <f ca="1">IFERROR(__xludf.DUMMYFUNCTION("GOOGLETRANSLATE('Майнкрафт'!E33,""ru"",""en"")"),"Cauldron in the Nether")</f>
        <v>Cauldron in the Nether</v>
      </c>
      <c r="F33" s="4"/>
      <c r="V33" s="3"/>
      <c r="W33" s="5"/>
    </row>
    <row r="34" spans="1:23" ht="16.5" customHeight="1">
      <c r="A34" s="3" t="str">
        <f ca="1">IFERROR(__xludf.DUMMYFUNCTION("GOOGLETRANSLATE('Майнкрафт'!A34,""ru"",""en"")"),"What is the name of the enchantment that allows you to shoot multiple arrows from a crossbow?")</f>
        <v>What is the name of the enchantment that allows you to shoot multiple arrows from a crossbow?</v>
      </c>
      <c r="B34" s="3" t="str">
        <f ca="1">IFERROR(__xludf.DUMMYFUNCTION("GOOGLETRANSLATE('Майнкрафт'!B34,""ru"",""en"")"),"Triple Shot")</f>
        <v>Triple Shot</v>
      </c>
      <c r="C34" s="3" t="str">
        <f ca="1">IFERROR(__xludf.DUMMYFUNCTION("GOOGLETRANSLATE('Майнкрафт'!C34,""ru"",""en"")"),"Strength")</f>
        <v>Strength</v>
      </c>
      <c r="D34" s="3" t="str">
        <f ca="1">IFERROR(__xludf.DUMMYFUNCTION("GOOGLETRANSLATE('Майнкрафт'!D34,""ru"",""en"")"),"Piercing Arrow")</f>
        <v>Piercing Arrow</v>
      </c>
      <c r="E34" s="3" t="str">
        <f ca="1">IFERROR(__xludf.DUMMYFUNCTION("GOOGLETRANSLATE('Майнкрафт'!E34,""ru"",""en"")"),"Fast reload")</f>
        <v>Fast reload</v>
      </c>
      <c r="F34" s="4"/>
      <c r="V34" s="3"/>
      <c r="W34" s="5"/>
    </row>
    <row r="35" spans="1:23" ht="16.5" customHeight="1">
      <c r="A35" s="3" t="str">
        <f ca="1">IFERROR(__xludf.DUMMYFUNCTION("GOOGLETRANSLATE('Майнкрафт'!A35,""ru"",""en"")"),"Which mob is afraid of dogs and wolves?")</f>
        <v>Which mob is afraid of dogs and wolves?</v>
      </c>
      <c r="B35" s="3" t="str">
        <f ca="1">IFERROR(__xludf.DUMMYFUNCTION("GOOGLETRANSLATE('Майнкрафт'!B35,""ru"",""en"")"),"Skeleton")</f>
        <v>Skeleton</v>
      </c>
      <c r="C35" s="3" t="str">
        <f ca="1">IFERROR(__xludf.DUMMYFUNCTION("GOOGLETRANSLATE('Майнкрафт'!C35,""ru"",""en"")"),"Zombie")</f>
        <v>Zombie</v>
      </c>
      <c r="D35" s="3" t="str">
        <f ca="1">IFERROR(__xludf.DUMMYFUNCTION("GOOGLETRANSLATE('Майнкрафт'!D35,""ru"",""en"")"),"Creeper")</f>
        <v>Creeper</v>
      </c>
      <c r="E35" s="3" t="str">
        <f ca="1">IFERROR(__xludf.DUMMYFUNCTION("GOOGLETRANSLATE('Майнкрафт'!E35,""ru"",""en"")"),"Spider")</f>
        <v>Spider</v>
      </c>
      <c r="F35" s="7"/>
      <c r="V35" s="3"/>
      <c r="W35" s="8"/>
    </row>
    <row r="36" spans="1:23" ht="16.5" customHeight="1">
      <c r="A36" s="3" t="str">
        <f ca="1">IFERROR(__xludf.DUMMYFUNCTION("GOOGLETRANSLATE('Майнкрафт'!A36,""ru"",""en"")"),"What is used to create a fire charge?")</f>
        <v>What is used to create a fire charge?</v>
      </c>
      <c r="B36" s="3" t="str">
        <f ca="1">IFERROR(__xludf.DUMMYFUNCTION("GOOGLETRANSLATE('Майнкрафт'!B36,""ru"",""en"")"),"Gunpowder, fire powder, coal")</f>
        <v>Gunpowder, fire powder, coal</v>
      </c>
      <c r="C36" s="3" t="str">
        <f ca="1">IFERROR(__xludf.DUMMYFUNCTION("GOOGLETRANSLATE('Майнкрафт'!C36,""ru"",""en"")"),"Gunpowder, lava cream")</f>
        <v>Gunpowder, lava cream</v>
      </c>
      <c r="D36" s="3" t="str">
        <f ca="1">IFERROR(__xludf.DUMMYFUNCTION("GOOGLETRANSLATE('Майнкрафт'!D36,""ru"",""en"")"),"Ghast's Tear, Fire Powder")</f>
        <v>Ghast's Tear, Fire Powder</v>
      </c>
      <c r="E36" s="3" t="str">
        <f ca="1">IFERROR(__xludf.DUMMYFUNCTION("GOOGLETRANSLATE('Майнкрафт'!E36,""ru"",""en"")"),"Gunpowder, fire powder, flints")</f>
        <v>Gunpowder, fire powder, flints</v>
      </c>
      <c r="F36" s="7"/>
      <c r="V36" s="3"/>
      <c r="W36" s="8"/>
    </row>
    <row r="37" spans="1:23" ht="16.5" customHeight="1">
      <c r="A37" s="3" t="str">
        <f ca="1">IFERROR(__xludf.DUMMYFUNCTION("GOOGLETRANSLATE('Майнкрафт'!A37,""ru"",""en"")"),"What block can be used to play mob sounds?")</f>
        <v>What block can be used to play mob sounds?</v>
      </c>
      <c r="B37" s="3" t="str">
        <f ca="1">IFERROR(__xludf.DUMMYFUNCTION("GOOGLETRANSLATE('Майнкрафт'!B37,""ru"",""en"")"),"A note block with a mob head")</f>
        <v>A note block with a mob head</v>
      </c>
      <c r="C37" s="3" t="str">
        <f ca="1">IFERROR(__xludf.DUMMYFUNCTION("GOOGLETRANSLATE('Майнкрафт'!C37,""ru"",""en"")"),"Player")</f>
        <v>Player</v>
      </c>
      <c r="D37" s="3" t="str">
        <f ca="1">IFERROR(__xludf.DUMMYFUNCTION("GOOGLETRANSLATE('Майнкрафт'!D37,""ru"",""en"")"),"Music block")</f>
        <v>Music block</v>
      </c>
      <c r="E37" s="3" t="str">
        <f ca="1">IFERROR(__xludf.DUMMYFUNCTION("GOOGLETRANSLATE('Майнкрафт'!E37,""ru"",""en"")"),"Mob head by itself")</f>
        <v>Mob head by itself</v>
      </c>
      <c r="F37" s="7"/>
      <c r="V37" s="3"/>
      <c r="W37" s="8"/>
    </row>
    <row r="38" spans="1:23" ht="16.5" customHeight="1">
      <c r="A38" s="3" t="str">
        <f ca="1">IFERROR(__xludf.DUMMYFUNCTION("GOOGLETRANSLATE('Майнкрафт'!A38,""ru"",""en"")"),"Where do giant mushrooms grow?")</f>
        <v>Where do giant mushrooms grow?</v>
      </c>
      <c r="B38" s="3" t="str">
        <f ca="1">IFERROR(__xludf.DUMMYFUNCTION("GOOGLETRANSLATE('Майнкрафт'!B38,""ru"",""en"")"),"Mushroom field and dark forest")</f>
        <v>Mushroom field and dark forest</v>
      </c>
      <c r="C38" s="3" t="str">
        <f ca="1">IFERROR(__xludf.DUMMYFUNCTION("GOOGLETRANSLATE('Майнкрафт'!C38,""ru"",""en"")"),"Dark Forest")</f>
        <v>Dark Forest</v>
      </c>
      <c r="D38" s="3" t="str">
        <f ca="1">IFERROR(__xludf.DUMMYFUNCTION("GOOGLETRANSLATE('Майнкрафт'!D38,""ru"",""en"")"),"Mushroom field")</f>
        <v>Mushroom field</v>
      </c>
      <c r="E38" s="3" t="str">
        <f ca="1">IFERROR(__xludf.DUMMYFUNCTION("GOOGLETRANSLATE('Майнкрафт'!E38,""ru"",""en"")"),"Caves")</f>
        <v>Caves</v>
      </c>
      <c r="F38" s="7"/>
      <c r="V38" s="3"/>
      <c r="W38" s="8"/>
    </row>
    <row r="39" spans="1:23" ht="16.5" customHeight="1">
      <c r="A39" s="3" t="str">
        <f ca="1">IFERROR(__xludf.DUMMYFUNCTION("GOOGLETRANSLATE('Майнкрафт'!A39,""ru"",""en"")"),"What do you need to mine obsidian?")</f>
        <v>What do you need to mine obsidian?</v>
      </c>
      <c r="B39" s="3" t="str">
        <f ca="1">IFERROR(__xludf.DUMMYFUNCTION("GOOGLETRANSLATE('Майнкрафт'!B39,""ru"",""en"")"),"Diamond pickaxe")</f>
        <v>Diamond pickaxe</v>
      </c>
      <c r="C39" s="3" t="str">
        <f ca="1">IFERROR(__xludf.DUMMYFUNCTION("GOOGLETRANSLATE('Майнкрафт'!C39,""ru"",""en"")"),"Iron pickaxe")</f>
        <v>Iron pickaxe</v>
      </c>
      <c r="D39" s="3" t="str">
        <f ca="1">IFERROR(__xludf.DUMMYFUNCTION("GOOGLETRANSLATE('Майнкрафт'!D39,""ru"",""en"")"),"Golden Pickaxe")</f>
        <v>Golden Pickaxe</v>
      </c>
      <c r="E39" s="3" t="str">
        <f ca="1">IFERROR(__xludf.DUMMYFUNCTION("GOOGLETRANSLATE('Майнкрафт'!E39,""ru"",""en"")"),"Stone pickaxe")</f>
        <v>Stone pickaxe</v>
      </c>
      <c r="F39" s="7"/>
      <c r="V39" s="3"/>
      <c r="W39" s="8"/>
    </row>
    <row r="40" spans="1:23" ht="16.5" customHeight="1">
      <c r="A40" s="3" t="str">
        <f ca="1">IFERROR(__xludf.DUMMYFUNCTION("GOOGLETRANSLATE('Майнкрафт'!A40,""ru"",""en"")"),"Where are emeralds most commonly found?")</f>
        <v>Where are emeralds most commonly found?</v>
      </c>
      <c r="B40" s="3" t="str">
        <f ca="1">IFERROR(__xludf.DUMMYFUNCTION("GOOGLETRANSLATE('Майнкрафт'!B40,""ru"",""en"")"),"In the mountains")</f>
        <v>In the mountains</v>
      </c>
      <c r="C40" s="3" t="str">
        <f ca="1">IFERROR(__xludf.DUMMYFUNCTION("GOOGLETRANSLATE('Майнкрафт'!C40,""ru"",""en"")"),"In the oceans")</f>
        <v>In the oceans</v>
      </c>
      <c r="D40" s="3" t="str">
        <f ca="1">IFERROR(__xludf.DUMMYFUNCTION("GOOGLETRANSLATE('Майнкрафт'!D40,""ru"",""en"")"),"In the woods")</f>
        <v>In the woods</v>
      </c>
      <c r="E40" s="3" t="str">
        <f ca="1">IFERROR(__xludf.DUMMYFUNCTION("GOOGLETRANSLATE('Майнкрафт'!E40,""ru"",""en"")"),"Everywhere")</f>
        <v>Everywhere</v>
      </c>
      <c r="F40" s="7"/>
      <c r="V40" s="3"/>
      <c r="W40" s="8"/>
    </row>
    <row r="41" spans="1:23" ht="16.5" customHeight="1">
      <c r="A41" s="3" t="str">
        <f ca="1">IFERROR(__xludf.DUMMYFUNCTION("GOOGLETRANSLATE('Майнкрафт'!A41,""ru"",""en"")"),"What is the strongest mineral in the game for crafting tools and armor?")</f>
        <v>What is the strongest mineral in the game for crafting tools and armor?</v>
      </c>
      <c r="B41" s="3" t="str">
        <f ca="1">IFERROR(__xludf.DUMMYFUNCTION("GOOGLETRANSLATE('Майнкрафт'!B41,""ru"",""en"")"),"Netherite")</f>
        <v>Netherite</v>
      </c>
      <c r="C41" s="3" t="str">
        <f ca="1">IFERROR(__xludf.DUMMYFUNCTION("GOOGLETRANSLATE('Майнкрафт'!C41,""ru"",""en"")"),"Gold")</f>
        <v>Gold</v>
      </c>
      <c r="D41" s="3" t="str">
        <f ca="1">IFERROR(__xludf.DUMMYFUNCTION("GOOGLETRANSLATE('Майнкрафт'!D41,""ru"",""en"")"),"Iron")</f>
        <v>Iron</v>
      </c>
      <c r="E41" s="3" t="str">
        <f ca="1">IFERROR(__xludf.DUMMYFUNCTION("GOOGLETRANSLATE('Майнкрафт'!E41,""ru"",""en"")"),"Diamond")</f>
        <v>Diamond</v>
      </c>
      <c r="F41" s="7"/>
      <c r="V41" s="3"/>
      <c r="W41" s="8"/>
    </row>
    <row r="42" spans="1:23" ht="16.5" customHeight="1">
      <c r="A42" s="3" t="str">
        <f ca="1">IFERROR(__xludf.DUMMYFUNCTION("GOOGLETRANSLATE('Майнкрафт'!A42,""ru"",""en"")"),"Which mob can carry up to 4 players?")</f>
        <v>Which mob can carry up to 4 players?</v>
      </c>
      <c r="B42" s="3" t="str">
        <f ca="1">IFERROR(__xludf.DUMMYFUNCTION("GOOGLETRANSLATE('Майнкрафт'!B42,""ru"",""en"")"),"Happy guest")</f>
        <v>Happy guest</v>
      </c>
      <c r="C42" s="3" t="str">
        <f ca="1">IFERROR(__xludf.DUMMYFUNCTION("GOOGLETRANSLATE('Майнкрафт'!C42,""ru"",""en"")"),"Blaze")</f>
        <v>Blaze</v>
      </c>
      <c r="D42" s="3" t="str">
        <f ca="1">IFERROR(__xludf.DUMMYFUNCTION("GOOGLETRANSLATE('Майнкрафт'!D42,""ru"",""en"")"),"An ordinary gast")</f>
        <v>An ordinary gast</v>
      </c>
      <c r="E42" s="3" t="str">
        <f ca="1">IFERROR(__xludf.DUMMYFUNCTION("GOOGLETRANSLATE('Майнкрафт'!E42,""ru"",""en"")"),"There is no such mob")</f>
        <v>There is no such mob</v>
      </c>
      <c r="F42" s="7"/>
      <c r="V42" s="3"/>
      <c r="W42" s="8"/>
    </row>
    <row r="43" spans="1:23" ht="16.5" customHeight="1">
      <c r="A43" s="3" t="str">
        <f ca="1">IFERROR(__xludf.DUMMYFUNCTION("GOOGLETRANSLATE('Майнкрафт'!A43,""ru"",""en"")"),"Which mob is afraid of cats?")</f>
        <v>Which mob is afraid of cats?</v>
      </c>
      <c r="B43" s="3" t="str">
        <f ca="1">IFERROR(__xludf.DUMMYFUNCTION("GOOGLETRANSLATE('Майнкрафт'!B43,""ru"",""en"")"),"Creeper")</f>
        <v>Creeper</v>
      </c>
      <c r="C43" s="3" t="str">
        <f ca="1">IFERROR(__xludf.DUMMYFUNCTION("GOOGLETRANSLATE('Майнкрафт'!C43,""ru"",""en"")"),"Pig")</f>
        <v>Pig</v>
      </c>
      <c r="D43" s="3" t="str">
        <f ca="1">IFERROR(__xludf.DUMMYFUNCTION("GOOGLETRANSLATE('Майнкрафт'!D43,""ru"",""en"")"),"Zombie")</f>
        <v>Zombie</v>
      </c>
      <c r="E43" s="3" t="str">
        <f ca="1">IFERROR(__xludf.DUMMYFUNCTION("GOOGLETRANSLATE('Майнкрафт'!E43,""ru"",""en"")"),"Cow")</f>
        <v>Cow</v>
      </c>
      <c r="F43" s="7"/>
      <c r="V43" s="3"/>
      <c r="W43" s="8"/>
    </row>
    <row r="44" spans="1:23" ht="16.5" customHeight="1">
      <c r="A44" s="3" t="str">
        <f ca="1">IFERROR(__xludf.DUMMYFUNCTION("GOOGLETRANSLATE('Майнкрафт'!A44,""ru"",""en"")"),"What does Enderman do when you look into his eyes?")</f>
        <v>What does Enderman do when you look into his eyes?</v>
      </c>
      <c r="B44" s="3" t="str">
        <f ca="1">IFERROR(__xludf.DUMMYFUNCTION("GOOGLETRANSLATE('Майнкрафт'!B44,""ru"",""en"")"),"Becomes aggressive and attacks")</f>
        <v>Becomes aggressive and attacks</v>
      </c>
      <c r="C44" s="3" t="str">
        <f ca="1">IFERROR(__xludf.DUMMYFUNCTION("GOOGLETRANSLATE('Майнкрафт'!C44,""ru"",""en"")"),"Nothing")</f>
        <v>Nothing</v>
      </c>
      <c r="D44" s="3" t="str">
        <f ca="1">IFERROR(__xludf.DUMMYFUNCTION("GOOGLETRANSLATE('Майнкрафт'!D44,""ru"",""en"")"),"Teleports")</f>
        <v>Teleports</v>
      </c>
      <c r="E44" s="3" t="str">
        <f ca="1">IFERROR(__xludf.DUMMYFUNCTION("GOOGLETRANSLATE('Майнкрафт'!E44,""ru"",""en"")"),"Makes a loud sound")</f>
        <v>Makes a loud sound</v>
      </c>
      <c r="F44" s="7"/>
      <c r="V44" s="3"/>
      <c r="W44" s="8"/>
    </row>
    <row r="45" spans="1:23" ht="16.5" customHeight="1">
      <c r="A45" s="3" t="str">
        <f ca="1">IFERROR(__xludf.DUMMYFUNCTION("GOOGLETRANSLATE('Майнкрафт'!A45,""ru"",""en"")"),"What is the name of the hostile mob that flies in the sky and attacks players who are awake?")</f>
        <v>What is the name of the hostile mob that flies in the sky and attacks players who are awake?</v>
      </c>
      <c r="B45" s="3" t="str">
        <f ca="1">IFERROR(__xludf.DUMMYFUNCTION("GOOGLETRANSLATE('Майнкрафт'!B45,""ru"",""en"")"),"Phantom")</f>
        <v>Phantom</v>
      </c>
      <c r="C45" s="3" t="str">
        <f ca="1">IFERROR(__xludf.DUMMYFUNCTION("GOOGLETRANSLATE('Майнкрафт'!C45,""ru"",""en"")"),"Bat")</f>
        <v>Bat</v>
      </c>
      <c r="D45" s="3" t="str">
        <f ca="1">IFERROR(__xludf.DUMMYFUNCTION("GOOGLETRANSLATE('Майнкрафт'!D45,""ru"",""en"")"),"Gast")</f>
        <v>Gast</v>
      </c>
      <c r="E45" s="3" t="str">
        <f ca="1">IFERROR(__xludf.DUMMYFUNCTION("GOOGLETRANSLATE('Майнкрафт'!E45,""ru"",""en"")"),"Ifrit")</f>
        <v>Ifrit</v>
      </c>
      <c r="F45" s="7"/>
      <c r="V45" s="3"/>
      <c r="W45" s="8"/>
    </row>
    <row r="46" spans="1:23" ht="16.5" customHeight="1">
      <c r="A46" s="3" t="str">
        <f ca="1">IFERROR(__xludf.DUMMYFUNCTION("GOOGLETRANSLATE('Майнкрафт'!A46,""ru"",""en"")"),"Which mob is passive and gives milk?")</f>
        <v>Which mob is passive and gives milk?</v>
      </c>
      <c r="B46" s="3" t="str">
        <f ca="1">IFERROR(__xludf.DUMMYFUNCTION("GOOGLETRANSLATE('Майнкрафт'!B46,""ru"",""en"")"),"Cow")</f>
        <v>Cow</v>
      </c>
      <c r="C46" s="3" t="str">
        <f ca="1">IFERROR(__xludf.DUMMYFUNCTION("GOOGLETRANSLATE('Майнкрафт'!C46,""ru"",""en"")"),"Pig")</f>
        <v>Pig</v>
      </c>
      <c r="D46" s="3" t="str">
        <f ca="1">IFERROR(__xludf.DUMMYFUNCTION("GOOGLETRANSLATE('Майнкрафт'!D46,""ru"",""en"")"),"Chicken")</f>
        <v>Chicken</v>
      </c>
      <c r="E46" s="3" t="str">
        <f ca="1">IFERROR(__xludf.DUMMYFUNCTION("GOOGLETRANSLATE('Майнкрафт'!E46,""ru"",""en"")"),"Sheep")</f>
        <v>Sheep</v>
      </c>
      <c r="F46" s="7"/>
      <c r="V46" s="3"/>
      <c r="W46" s="8"/>
    </row>
    <row r="47" spans="1:23" ht="16.5" customHeight="1">
      <c r="A47" s="3" t="str">
        <f ca="1">IFERROR(__xludf.DUMMYFUNCTION("GOOGLETRANSLATE('Майнкрафт'!A47,""ru"",""en"")"),"Which mob attacks from behind when no one is looking at it?")</f>
        <v>Which mob attacks from behind when no one is looking at it?</v>
      </c>
      <c r="B47" s="3" t="str">
        <f ca="1">IFERROR(__xludf.DUMMYFUNCTION("GOOGLETRANSLATE('Майнкрафт'!B47,""ru"",""en"")"),"Skripun")</f>
        <v>Skripun</v>
      </c>
      <c r="C47" s="3" t="str">
        <f ca="1">IFERROR(__xludf.DUMMYFUNCTION("GOOGLETRANSLATE('Майнкрафт'!C47,""ru"",""en"")"),"Ancient Guardian")</f>
        <v>Ancient Guardian</v>
      </c>
      <c r="D47" s="3" t="str">
        <f ca="1">IFERROR(__xludf.DUMMYFUNCTION("GOOGLETRANSLATE('Майнкрафт'!D47,""ru"",""en"")"),"Guardian")</f>
        <v>Guardian</v>
      </c>
      <c r="E47" s="3" t="str">
        <f ca="1">IFERROR(__xludf.DUMMYFUNCTION("GOOGLETRANSLATE('Майнкрафт'!E47,""ru"",""en"")"),"Gast")</f>
        <v>Gast</v>
      </c>
      <c r="F47" s="7"/>
      <c r="V47" s="3"/>
      <c r="W47" s="8"/>
    </row>
    <row r="48" spans="1:23" ht="16.5" customHeight="1">
      <c r="A48" s="3" t="str">
        <f ca="1">IFERROR(__xludf.DUMMYFUNCTION("GOOGLETRANSLATE('Майнкрафт'!A48,""ru"",""en"")"),"What does a copper golem do?")</f>
        <v>What does a copper golem do?</v>
      </c>
      <c r="B48" s="3" t="str">
        <f ca="1">IFERROR(__xludf.DUMMYFUNCTION("GOOGLETRANSLATE('Майнкрафт'!B48,""ru"",""en"")"),"Sorts items into chests")</f>
        <v>Sorts items into chests</v>
      </c>
      <c r="C48" s="3" t="str">
        <f ca="1">IFERROR(__xludf.DUMMYFUNCTION("GOOGLETRANSLATE('Майнкрафт'!C48,""ru"",""en"")"),"Accidentally presses buttons")</f>
        <v>Accidentally presses buttons</v>
      </c>
      <c r="D48" s="3" t="str">
        <f ca="1">IFERROR(__xludf.DUMMYFUNCTION("GOOGLETRANSLATE('Майнкрафт'!D48,""ru"",""en"")"),"Holds objects in hands")</f>
        <v>Holds objects in hands</v>
      </c>
      <c r="E48" s="3" t="str">
        <f ca="1">IFERROR(__xludf.DUMMYFUNCTION("GOOGLETRANSLATE('Майнкрафт'!E48,""ru"",""en"")"),"Nothing")</f>
        <v>Nothing</v>
      </c>
      <c r="F48" s="7"/>
      <c r="V48" s="3"/>
      <c r="W48" s="8"/>
    </row>
    <row r="49" spans="1:23" ht="16.5" customHeight="1">
      <c r="A49" s="3" t="str">
        <f ca="1">IFERROR(__xludf.DUMMYFUNCTION("GOOGLETRANSLATE('Майнкрафт'!A49,""ru"",""en"")"),"What does the Zombie Rider drop?")</f>
        <v>What does the Zombie Rider drop?</v>
      </c>
      <c r="B49" s="3" t="str">
        <f ca="1">IFERROR(__xludf.DUMMYFUNCTION("GOOGLETRANSLATE('Майнкрафт'!B49,""ru"",""en"")"),"Special record")</f>
        <v>Special record</v>
      </c>
      <c r="C49" s="3" t="str">
        <f ca="1">IFERROR(__xludf.DUMMYFUNCTION("GOOGLETRANSLATE('Майнкрафт'!C49,""ru"",""en"")"),"Feathers")</f>
        <v>Feathers</v>
      </c>
      <c r="D49" s="3" t="str">
        <f ca="1">IFERROR(__xludf.DUMMYFUNCTION("GOOGLETRANSLATE('Майнкрафт'!D49,""ru"",""en"")"),"Bones")</f>
        <v>Bones</v>
      </c>
      <c r="E49" s="3" t="str">
        <f ca="1">IFERROR(__xludf.DUMMYFUNCTION("GOOGLETRANSLATE('Майнкрафт'!E49,""ru"",""en"")"),"Powder")</f>
        <v>Powder</v>
      </c>
      <c r="F49" s="7"/>
      <c r="V49" s="3"/>
      <c r="W49" s="8"/>
    </row>
    <row r="50" spans="1:23" ht="16.5" customHeight="1">
      <c r="A50" s="3" t="str">
        <f ca="1">IFERROR(__xludf.DUMMYFUNCTION("GOOGLETRANSLATE('Майнкрафт'!A50,""ru"",""en"")"),"What item is used to smelt ore?")</f>
        <v>What item is used to smelt ore?</v>
      </c>
      <c r="B50" s="3" t="str">
        <f ca="1">IFERROR(__xludf.DUMMYFUNCTION("GOOGLETRANSLATE('Майнкрафт'!B50,""ru"",""en"")"),"Bake")</f>
        <v>Bake</v>
      </c>
      <c r="C50" s="3" t="str">
        <f ca="1">IFERROR(__xludf.DUMMYFUNCTION("GOOGLETRANSLATE('Майнкрафт'!C50,""ru"",""en"")"),"Box")</f>
        <v>Box</v>
      </c>
      <c r="D50" s="3" t="str">
        <f ca="1">IFERROR(__xludf.DUMMYFUNCTION("GOOGLETRANSLATE('Майнкрафт'!D50,""ru"",""en"")"),"Workbench")</f>
        <v>Workbench</v>
      </c>
      <c r="E50" s="3" t="str">
        <f ca="1">IFERROR(__xludf.DUMMYFUNCTION("GOOGLETRANSLATE('Майнкрафт'!E50,""ru"",""en"")"),"Anvil")</f>
        <v>Anvil</v>
      </c>
      <c r="F50" s="7"/>
      <c r="V50" s="3"/>
      <c r="W50" s="8"/>
    </row>
    <row r="51" spans="1:23" ht="16.5" customHeight="1">
      <c r="A51" s="3" t="str">
        <f ca="1">IFERROR(__xludf.DUMMYFUNCTION("GOOGLETRANSLATE('Майнкрафт'!A51,""ru"",""en"")"),"What is the name of the main world the player spawns in?")</f>
        <v>What is the name of the main world the player spawns in?</v>
      </c>
      <c r="B51" s="3" t="str">
        <f ca="1">IFERROR(__xludf.DUMMYFUNCTION("GOOGLETRANSLATE('Майнкрафт'!B51,""ru"",""en"")"),"Upper World")</f>
        <v>Upper World</v>
      </c>
      <c r="C51" s="3" t="str">
        <f ca="1">IFERROR(__xludf.DUMMYFUNCTION("GOOGLETRANSLATE('Майнкрафт'!C51,""ru"",""en"")"),"The Underworld")</f>
        <v>The Underworld</v>
      </c>
      <c r="D51" s="3" t="str">
        <f ca="1">IFERROR(__xludf.DUMMYFUNCTION("GOOGLETRANSLATE('Майнкрафт'!D51,""ru"",""en"")"),"Edge")</f>
        <v>Edge</v>
      </c>
      <c r="E51" s="3" t="str">
        <f ca="1">IFERROR(__xludf.DUMMYFUNCTION("GOOGLETRANSLATE('Майнкрафт'!E51,""ru"",""en"")"),"Heavenly world")</f>
        <v>Heavenly world</v>
      </c>
      <c r="F51" s="7"/>
      <c r="V51" s="3"/>
      <c r="W51" s="8"/>
    </row>
    <row r="52" spans="1:23" ht="16.5" customHeight="1">
      <c r="A52" s="3" t="str">
        <f ca="1">IFERROR(__xludf.DUMMYFUNCTION("GOOGLETRANSLATE('Майнкрафт'!A52,""ru"",""en"")"),"Which biome consists mostly of sand and cacti?")</f>
        <v>Which biome consists mostly of sand and cacti?</v>
      </c>
      <c r="B52" s="3" t="str">
        <f ca="1">IFERROR(__xludf.DUMMYFUNCTION("GOOGLETRANSLATE('Майнкрафт'!B52,""ru"",""en"")"),"Desert")</f>
        <v>Desert</v>
      </c>
      <c r="C52" s="3" t="str">
        <f ca="1">IFERROR(__xludf.DUMMYFUNCTION("GOOGLETRANSLATE('Майнкрафт'!C52,""ru"",""en"")"),"Forest")</f>
        <v>Forest</v>
      </c>
      <c r="D52" s="3" t="str">
        <f ca="1">IFERROR(__xludf.DUMMYFUNCTION("GOOGLETRANSLATE('Майнкрафт'!D52,""ru"",""en"")"),"Plain")</f>
        <v>Plain</v>
      </c>
      <c r="E52" s="3" t="str">
        <f ca="1">IFERROR(__xludf.DUMMYFUNCTION("GOOGLETRANSLATE('Майнкрафт'!E52,""ru"",""en"")"),"Jungle")</f>
        <v>Jungle</v>
      </c>
      <c r="F52" s="7"/>
      <c r="V52" s="3"/>
      <c r="W52" s="8"/>
    </row>
    <row r="53" spans="1:23" ht="16.5" customHeight="1">
      <c r="A53" s="3" t="str">
        <f ca="1">IFERROR(__xludf.DUMMYFUNCTION("GOOGLETRANSLATE('Майнкрафт'!A53,""ru"",""en"")"),"What is a composter made of?")</f>
        <v>What is a composter made of?</v>
      </c>
      <c r="B53" s="3" t="str">
        <f ca="1">IFERROR(__xludf.DUMMYFUNCTION("GOOGLETRANSLATE('Майнкрафт'!B53,""ru"",""en"")"),"From 7 half blocks")</f>
        <v>From 7 half blocks</v>
      </c>
      <c r="C53" s="3" t="str">
        <f ca="1">IFERROR(__xludf.DUMMYFUNCTION("GOOGLETRANSLATE('Майнкрафт'!C53,""ru"",""en"")"),"From 7 boards")</f>
        <v>From 7 boards</v>
      </c>
      <c r="D53" s="3" t="str">
        <f ca="1">IFERROR(__xludf.DUMMYFUNCTION("GOOGLETRANSLATE('Майнкрафт'!D53,""ru"",""en"")"),"From 7 sticks")</f>
        <v>From 7 sticks</v>
      </c>
      <c r="E53" s="3" t="str">
        <f ca="1">IFERROR(__xludf.DUMMYFUNCTION("GOOGLETRANSLATE('Майнкрафт'!E53,""ru"",""en"")"),"From 7 logs")</f>
        <v>From 7 logs</v>
      </c>
      <c r="F53" s="7"/>
      <c r="V53" s="3"/>
      <c r="W53" s="8"/>
    </row>
    <row r="54" spans="1:23" ht="16.5" customHeight="1">
      <c r="A54" s="3" t="str">
        <f ca="1">IFERROR(__xludf.DUMMYFUNCTION("GOOGLETRANSLATE('Майнкрафт'!A54,""ru"",""en"")"),"What seeds can a sniffer dig up?")</f>
        <v>What seeds can a sniffer dig up?</v>
      </c>
      <c r="B54" s="3" t="str">
        <f ca="1">IFERROR(__xludf.DUMMYFUNCTION("GOOGLETRANSLATE('Майнкрафт'!B54,""ru"",""en"")"),"Torch-flower and pitcher-flower seeds")</f>
        <v>Torch-flower and pitcher-flower seeds</v>
      </c>
      <c r="C54" s="3" t="str">
        <f ca="1">IFERROR(__xludf.DUMMYFUNCTION("GOOGLETRANSLATE('Майнкрафт'!C54,""ru"",""en"")"),"Wheat seeds")</f>
        <v>Wheat seeds</v>
      </c>
      <c r="D54" s="3" t="str">
        <f ca="1">IFERROR(__xludf.DUMMYFUNCTION("GOOGLETRANSLATE('Майнкрафт'!D54,""ru"",""en"")"),"None of the above")</f>
        <v>None of the above</v>
      </c>
      <c r="E54" s="3" t="str">
        <f ca="1">IFERROR(__xludf.DUMMYFUNCTION("GOOGLETRANSLATE('Майнкрафт'!E54,""ru"",""en"")"),"He's not digging up seeds.")</f>
        <v>He's not digging up seeds.</v>
      </c>
      <c r="F54" s="7"/>
      <c r="V54" s="3"/>
      <c r="W54" s="8"/>
    </row>
    <row r="55" spans="1:23" ht="16.5" customHeight="1">
      <c r="A55" s="3" t="str">
        <f ca="1">IFERROR(__xludf.DUMMYFUNCTION("GOOGLETRANSLATE('Майнкрафт'!A55,""ru"",""en"")"),"Which block does not hang in the air?")</f>
        <v>Which block does not hang in the air?</v>
      </c>
      <c r="B55" s="3" t="str">
        <f ca="1">IFERROR(__xludf.DUMMYFUNCTION("GOOGLETRANSLATE('Майнкрафт'!B55,""ru"",""en"")"),"Gravel")</f>
        <v>Gravel</v>
      </c>
      <c r="C55" s="3" t="str">
        <f ca="1">IFERROR(__xludf.DUMMYFUNCTION("GOOGLETRANSLATE('Майнкрафт'!C55,""ru"",""en"")"),"Stone")</f>
        <v>Stone</v>
      </c>
      <c r="D55" s="3" t="str">
        <f ca="1">IFERROR(__xludf.DUMMYFUNCTION("GOOGLETRANSLATE('Майнкрафт'!D55,""ru"",""en"")"),"Earth")</f>
        <v>Earth</v>
      </c>
      <c r="E55" s="3" t="str">
        <f ca="1">IFERROR(__xludf.DUMMYFUNCTION("GOOGLETRANSLATE('Майнкрафт'!E55,""ru"",""en"")"),"Tree")</f>
        <v>Tree</v>
      </c>
      <c r="F55" s="7"/>
      <c r="V55" s="3"/>
      <c r="W55" s="8"/>
    </row>
    <row r="56" spans="1:23" ht="16.5" customHeight="1">
      <c r="A56" s="3" t="str">
        <f ca="1">IFERROR(__xludf.DUMMYFUNCTION("GOOGLETRANSLATE('Майнкрафт'!A56,""ru"",""en"")"),"Where can you find dried ghast?")</f>
        <v>Where can you find dried ghast?</v>
      </c>
      <c r="B56" s="3" t="str">
        <f ca="1">IFERROR(__xludf.DUMMYFUNCTION("GOOGLETRANSLATE('Майнкрафт'!B56,""ru"",""en"")"),"The Underworld")</f>
        <v>The Underworld</v>
      </c>
      <c r="C56" s="3" t="str">
        <f ca="1">IFERROR(__xludf.DUMMYFUNCTION("GOOGLETRANSLATE('Майнкрафт'!C56,""ru"",""en"")"),"Edge")</f>
        <v>Edge</v>
      </c>
      <c r="D56" s="3" t="str">
        <f ca="1">IFERROR(__xludf.DUMMYFUNCTION("GOOGLETRANSLATE('Майнкрафт'!D56,""ru"",""en"")"),"Upper World")</f>
        <v>Upper World</v>
      </c>
      <c r="E56" s="3" t="str">
        <f ca="1">IFERROR(__xludf.DUMMYFUNCTION("GOOGLETRANSLATE('Майнкрафт'!E56,""ru"",""en"")"),"Nowhere")</f>
        <v>Nowhere</v>
      </c>
      <c r="F56" s="7"/>
      <c r="V56" s="3"/>
      <c r="W56" s="8"/>
    </row>
    <row r="57" spans="1:23" ht="16.5" customHeight="1">
      <c r="A57" s="3" t="str">
        <f ca="1">IFERROR(__xludf.DUMMYFUNCTION("GOOGLETRANSLATE('Майнкрафт'!A57,""ru"",""en"")"),"What does a mace do?")</f>
        <v>What does a mace do?</v>
      </c>
      <c r="B57" s="3" t="str">
        <f ca="1">IFERROR(__xludf.DUMMYFUNCTION("GOOGLETRANSLATE('Майнкрафт'!B57,""ru"",""en"")"),"Falling on a mob deals crushing damage to it.")</f>
        <v>Falling on a mob deals crushing damage to it.</v>
      </c>
      <c r="C57" s="3" t="str">
        <f ca="1">IFERROR(__xludf.DUMMYFUNCTION("GOOGLETRANSLATE('Майнкрафт'!C57,""ru"",""en"")"),"Instantly breaks blocks")</f>
        <v>Instantly breaks blocks</v>
      </c>
      <c r="D57" s="3" t="str">
        <f ca="1">IFERROR(__xludf.DUMMYFUNCTION("GOOGLETRANSLATE('Майнкрафт'!D57,""ru"",""en"")"),"Allows you to drive bolts into boards")</f>
        <v>Allows you to drive bolts into boards</v>
      </c>
      <c r="E57" s="3" t="str">
        <f ca="1">IFERROR(__xludf.DUMMYFUNCTION("GOOGLETRANSLATE('Майнкрафт'!E57,""ru"",""en"")"),"Nothing")</f>
        <v>Nothing</v>
      </c>
      <c r="F57" s="7"/>
      <c r="V57" s="3"/>
      <c r="W57" s="8"/>
    </row>
    <row r="58" spans="1:23" ht="16.5" customHeight="1">
      <c r="A58" s="3" t="str">
        <f ca="1">IFERROR(__xludf.DUMMYFUNCTION("GOOGLETRANSLATE('Майнкрафт'!A58,""ru"",""en"")"),"What is the name of the enchantment that automatically repairs an item using experience?")</f>
        <v>What is the name of the enchantment that automatically repairs an item using experience?</v>
      </c>
      <c r="B58" s="3" t="str">
        <f ca="1">IFERROR(__xludf.DUMMYFUNCTION("GOOGLETRANSLATE('Майнкрафт'!B58,""ru"",""en"")"),"Repair")</f>
        <v>Repair</v>
      </c>
      <c r="C58" s="3" t="str">
        <f ca="1">IFERROR(__xludf.DUMMYFUNCTION("GOOGLETRANSLATE('Майнкрафт'!C58,""ru"",""en"")"),"Strength")</f>
        <v>Strength</v>
      </c>
      <c r="D58" s="3" t="str">
        <f ca="1">IFERROR(__xludf.DUMMYFUNCTION("GOOGLETRANSLATE('Майнкрафт'!D58,""ru"",""en"")"),"Repair")</f>
        <v>Repair</v>
      </c>
      <c r="E58" s="3" t="str">
        <f ca="1">IFERROR(__xludf.DUMMYFUNCTION("GOOGLETRANSLATE('Майнкрафт'!E58,""ru"",""en"")"),"Recovery")</f>
        <v>Recovery</v>
      </c>
      <c r="F58" s="7"/>
      <c r="V58" s="3"/>
      <c r="W58" s="8"/>
    </row>
    <row r="59" spans="1:23" ht="16.5" customHeight="1">
      <c r="A59" s="3" t="str">
        <f ca="1">IFERROR(__xludf.DUMMYFUNCTION("GOOGLETRANSLATE('Майнкрафт'!A59,""ru"",""en"")"),"What happens if lightning strikes a copper golem?")</f>
        <v>What happens if lightning strikes a copper golem?</v>
      </c>
      <c r="B59" s="3" t="str">
        <f ca="1">IFERROR(__xludf.DUMMYFUNCTION("GOOGLETRANSLATE('Майнкрафт'!B59,""ru"",""en"")"),"Nothing")</f>
        <v>Nothing</v>
      </c>
      <c r="C59" s="3" t="str">
        <f ca="1">IFERROR(__xludf.DUMMYFUNCTION("GOOGLETRANSLATE('Майнкрафт'!C59,""ru"",""en"")"),"He will turn into a statue")</f>
        <v>He will turn into a statue</v>
      </c>
      <c r="D59" s="3" t="str">
        <f ca="1">IFERROR(__xludf.DUMMYFUNCTION("GOOGLETRANSLATE('Майнкрафт'!D59,""ru"",""en"")"),"It will go into the initial stage of oxidation.")</f>
        <v>It will go into the initial stage of oxidation.</v>
      </c>
      <c r="E59" s="3" t="str">
        <f ca="1">IFERROR(__xludf.DUMMYFUNCTION("GOOGLETRANSLATE('Майнкрафт'!E59,""ru"",""en"")"),"Electricity will appear")</f>
        <v>Electricity will appear</v>
      </c>
      <c r="F59" s="7"/>
      <c r="V59" s="3"/>
      <c r="W59" s="8"/>
    </row>
    <row r="60" spans="1:23" ht="16.5" customHeight="1">
      <c r="A60" s="3" t="str">
        <f ca="1">IFERROR(__xludf.DUMMYFUNCTION("GOOGLETRANSLATE('Майнкрафт'!A60,""ru"",""en"")"),"How to tame a cat?")</f>
        <v>How to tame a cat?</v>
      </c>
      <c r="B60" s="3" t="str">
        <f ca="1">IFERROR(__xludf.DUMMYFUNCTION("GOOGLETRANSLATE('Майнкрафт'!B60,""ru"",""en"")"),"Raw cod or salmon")</f>
        <v>Raw cod or salmon</v>
      </c>
      <c r="C60" s="3" t="str">
        <f ca="1">IFERROR(__xludf.DUMMYFUNCTION("GOOGLETRANSLATE('Майнкрафт'!C60,""ru"",""en"")"),"Bone")</f>
        <v>Bone</v>
      </c>
      <c r="D60" s="3" t="str">
        <f ca="1">IFERROR(__xludf.DUMMYFUNCTION("GOOGLETRANSLATE('Майнкрафт'!D60,""ru"",""en"")"),"Wheat")</f>
        <v>Wheat</v>
      </c>
      <c r="E60" s="3" t="str">
        <f ca="1">IFERROR(__xludf.DUMMYFUNCTION("GOOGLETRANSLATE('Майнкрафт'!E60,""ru"",""en"")"),"Carrots")</f>
        <v>Carrots</v>
      </c>
      <c r="F60" s="7"/>
      <c r="V60" s="3"/>
      <c r="W60" s="8"/>
    </row>
    <row r="61" spans="1:23" ht="16.5" customHeight="1">
      <c r="A61" s="3" t="str">
        <f ca="1">IFERROR(__xludf.DUMMYFUNCTION("GOOGLETRANSLATE('Майнкрафт'!A61,""ru"",""en"")"),"What effect does the totem of immortality provide?")</f>
        <v>What effect does the totem of immortality provide?</v>
      </c>
      <c r="B61" s="3" t="str">
        <f ca="1">IFERROR(__xludf.DUMMYFUNCTION("GOOGLETRANSLATE('Майнкрафт'!B61,""ru"",""en"")"),"Saves from death once")</f>
        <v>Saves from death once</v>
      </c>
      <c r="C61" s="3" t="str">
        <f ca="1">IFERROR(__xludf.DUMMYFUNCTION("GOOGLETRANSLATE('Майнкрафт'!C61,""ru"",""en"")"),"Increases strength")</f>
        <v>Increases strength</v>
      </c>
      <c r="D61" s="3" t="str">
        <f ca="1">IFERROR(__xludf.DUMMYFUNCTION("GOOGLETRANSLATE('Майнкрафт'!D61,""ru"",""en"")"),"Grants invisibility")</f>
        <v>Grants invisibility</v>
      </c>
      <c r="E61" s="3" t="str">
        <f ca="1">IFERROR(__xludf.DUMMYFUNCTION("GOOGLETRANSLATE('Майнкрафт'!E61,""ru"",""en"")"),"Allows you to fly")</f>
        <v>Allows you to fly</v>
      </c>
      <c r="F61" s="7"/>
      <c r="V61" s="3"/>
      <c r="W61" s="8"/>
    </row>
    <row r="62" spans="1:23" ht="16.5" customHeight="1">
      <c r="A62" s="3" t="str">
        <f ca="1">IFERROR(__xludf.DUMMYFUNCTION("GOOGLETRANSLATE('Майнкрафт'!A62,""ru"",""en"")"),"What is the name of the table for upgrading items using books?")</f>
        <v>What is the name of the table for upgrading items using books?</v>
      </c>
      <c r="B62" s="3" t="str">
        <f ca="1">IFERROR(__xludf.DUMMYFUNCTION("GOOGLETRANSLATE('Майнкрафт'!B62,""ru"",""en"")"),"Anvil")</f>
        <v>Anvil</v>
      </c>
      <c r="C62" s="3" t="str">
        <f ca="1">IFERROR(__xludf.DUMMYFUNCTION("GOOGLETRANSLATE('Майнкрафт'!C62,""ru"",""en"")"),"Bake")</f>
        <v>Bake</v>
      </c>
      <c r="D62" s="3" t="str">
        <f ca="1">IFERROR(__xludf.DUMMYFUNCTION("GOOGLETRANSLATE('Майнкрафт'!D62,""ru"",""en"")"),"Workbench")</f>
        <v>Workbench</v>
      </c>
      <c r="E62" s="3" t="str">
        <f ca="1">IFERROR(__xludf.DUMMYFUNCTION("GOOGLETRANSLATE('Майнкрафт'!E62,""ru"",""en"")"),"Enchantment table")</f>
        <v>Enchantment table</v>
      </c>
      <c r="F62" s="7"/>
      <c r="V62" s="3"/>
      <c r="W62" s="8"/>
    </row>
    <row r="63" spans="1:23" ht="16.5" customHeight="1">
      <c r="A63" s="3" t="str">
        <f ca="1">IFERROR(__xludf.DUMMYFUNCTION("GOOGLETRANSLATE('Майнкрафт'!A63,""ru"",""en"")"),"What happens if you rename a champion ""Johnny"" using a tag?")</f>
        <v>What happens if you rename a champion "Johnny" using a tag?</v>
      </c>
      <c r="B63" s="3" t="str">
        <f ca="1">IFERROR(__xludf.DUMMYFUNCTION("GOOGLETRANSLATE('Майнкрафт'!B63,""ru"",""en"")"),"He will become hostile to all mobs.")</f>
        <v>He will become hostile to all mobs.</v>
      </c>
      <c r="C63" s="3" t="str">
        <f ca="1">IFERROR(__xludf.DUMMYFUNCTION("GOOGLETRANSLATE('Майнкрафт'!C63,""ru"",""en"")"),"He will start dancing")</f>
        <v>He will start dancing</v>
      </c>
      <c r="D63" s="3" t="str">
        <f ca="1">IFERROR(__xludf.DUMMYFUNCTION("GOOGLETRANSLATE('Майнкрафт'!D63,""ru"",""en"")"),"He will turn upside down")</f>
        <v>He will turn upside down</v>
      </c>
      <c r="E63" s="3" t="str">
        <f ca="1">IFERROR(__xludf.DUMMYFUNCTION("GOOGLETRANSLATE('Майнкрафт'!E63,""ru"",""en"")"),"He will become passive")</f>
        <v>He will become passive</v>
      </c>
      <c r="F63" s="7"/>
      <c r="V63" s="3"/>
      <c r="W63" s="8"/>
    </row>
    <row r="64" spans="1:23" ht="16.5" customHeight="1">
      <c r="A64" s="3" t="str">
        <f ca="1">IFERROR(__xludf.DUMMYFUNCTION("GOOGLETRANSLATE('Майнкрафт'!A64,""ru"",""en"")"),"Where do Striders spawn in the Nether?")</f>
        <v>Where do Striders spawn in the Nether?</v>
      </c>
      <c r="B64" s="3" t="str">
        <f ca="1">IFERROR(__xludf.DUMMYFUNCTION("GOOGLETRANSLATE('Майнкрафт'!B64,""ru"",""en"")"),"In lava lakes")</f>
        <v>In lava lakes</v>
      </c>
      <c r="C64" s="3" t="str">
        <f ca="1">IFERROR(__xludf.DUMMYFUNCTION("GOOGLETRANSLATE('Майнкрафт'!C64,""ru"",""en"")"),"In the Valley of Soul Sand")</f>
        <v>In the Valley of Soul Sand</v>
      </c>
      <c r="D64" s="3" t="str">
        <f ca="1">IFERROR(__xludf.DUMMYFUNCTION("GOOGLETRANSLATE('Майнкрафт'!D64,""ru"",""en"")"),"In the crimson forest")</f>
        <v>In the crimson forest</v>
      </c>
      <c r="E64" s="3" t="str">
        <f ca="1">IFERROR(__xludf.DUMMYFUNCTION("GOOGLETRANSLATE('Майнкрафт'!E64,""ru"",""en"")"),"In the distorted forest")</f>
        <v>In the distorted forest</v>
      </c>
      <c r="F64" s="7"/>
      <c r="V64" s="3"/>
      <c r="W64" s="8"/>
    </row>
    <row r="65" spans="1:23" ht="16.5" customHeight="1">
      <c r="A65" s="3" t="str">
        <f ca="1">IFERROR(__xludf.DUMMYFUNCTION("GOOGLETRANSLATE('Майнкрафт'!A65,""ru"",""en"")"),"What enchantment is incompatible with the Loyalty enchantment on a trident?")</f>
        <v>What enchantment is incompatible with the Loyalty enchantment on a trident?</v>
      </c>
      <c r="B65" s="3" t="str">
        <f ca="1">IFERROR(__xludf.DUMMYFUNCTION("GOOGLETRANSLATE('Майнкрафт'!B65,""ru"",""en"")"),"Tyagun")</f>
        <v>Tyagun</v>
      </c>
      <c r="C65" s="3" t="str">
        <f ca="1">IFERROR(__xludf.DUMMYFUNCTION("GOOGLETRANSLATE('Майнкрафт'!C65,""ru"",""en"")"),"The Piercer")</f>
        <v>The Piercer</v>
      </c>
      <c r="D65" s="3" t="str">
        <f ca="1">IFERROR(__xludf.DUMMYFUNCTION("GOOGLETRANSLATE('Майнкрафт'!D65,""ru"",""en"")"),"Thunderer")</f>
        <v>Thunderer</v>
      </c>
      <c r="E65" s="3" t="str">
        <f ca="1">IFERROR(__xludf.DUMMYFUNCTION("GOOGLETRANSLATE('Майнкрафт'!E65,""ru"",""en"")"),"Repair")</f>
        <v>Repair</v>
      </c>
      <c r="F65" s="7"/>
      <c r="V65" s="3"/>
      <c r="W65" s="8"/>
    </row>
    <row r="66" spans="1:23" ht="16.5" customHeight="1">
      <c r="A66" s="3" t="str">
        <f ca="1">IFERROR(__xludf.DUMMYFUNCTION("GOOGLETRANSLATE('Майнкрафт'!A66,""ru"",""en"")"),"What is used as ""fuel"" for the blacksmith's table when creating netherite items?")</f>
        <v>What is used as "fuel" for the blacksmith's table when creating netherite items?</v>
      </c>
      <c r="B66" s="3" t="str">
        <f ca="1">IFERROR(__xludf.DUMMYFUNCTION("GOOGLETRANSLATE('Майнкрафт'!B66,""ru"",""en"")"),"Nothing")</f>
        <v>Nothing</v>
      </c>
      <c r="C66" s="3" t="str">
        <f ca="1">IFERROR(__xludf.DUMMYFUNCTION("GOOGLETRANSLATE('Майнкрафт'!C66,""ru"",""en"")"),"Diamonds")</f>
        <v>Diamonds</v>
      </c>
      <c r="D66" s="3" t="str">
        <f ca="1">IFERROR(__xludf.DUMMYFUNCTION("GOOGLETRANSLATE('Майнкрафт'!D66,""ru"",""en"")"),"Coal blocks")</f>
        <v>Coal blocks</v>
      </c>
      <c r="E66" s="3" t="str">
        <f ca="1">IFERROR(__xludf.DUMMYFUNCTION("GOOGLETRANSLATE('Майнкрафт'!E66,""ru"",""en"")"),"Fire rods")</f>
        <v>Fire rods</v>
      </c>
      <c r="F66" s="7"/>
      <c r="V66" s="3"/>
      <c r="W66" s="8"/>
    </row>
    <row r="67" spans="1:23" ht="16.5" customHeight="1">
      <c r="A67" s="3" t="str">
        <f ca="1">IFERROR(__xludf.DUMMYFUNCTION("GOOGLETRANSLATE('Майнкрафт'!A67,""ru"",""en"")"),"In which chunks can slimes spawn underground, regardless of biome?")</f>
        <v>In which chunks can slimes spawn underground, regardless of biome?</v>
      </c>
      <c r="B67" s="3" t="str">
        <f ca="1">IFERROR(__xludf.DUMMYFUNCTION("GOOGLETRANSLATE('Майнкрафт'!B67,""ru"",""en"")"),"In slime chunks")</f>
        <v>In slime chunks</v>
      </c>
      <c r="C67" s="3" t="str">
        <f ca="1">IFERROR(__xludf.DUMMYFUNCTION("GOOGLETRANSLATE('Майнкрафт'!C67,""ru"",""en"")"),"Only in the swamp")</f>
        <v>Only in the swamp</v>
      </c>
      <c r="D67" s="3" t="str">
        <f ca="1">IFERROR(__xludf.DUMMYFUNCTION("GOOGLETRANSLATE('Майнкрафт'!D67,""ru"",""en"")"),"In any caves")</f>
        <v>In any caves</v>
      </c>
      <c r="E67" s="3" t="str">
        <f ca="1">IFERROR(__xludf.DUMMYFUNCTION("GOOGLETRANSLATE('Майнкрафт'!E67,""ru"",""en"")"),"In vats with a large amount of water")</f>
        <v>In vats with a large amount of water</v>
      </c>
      <c r="F67" s="7"/>
      <c r="V67" s="3"/>
      <c r="W67" s="8"/>
    </row>
    <row r="68" spans="1:23" ht="16.5" customHeight="1">
      <c r="A68" s="3" t="str">
        <f ca="1">IFERROR(__xludf.DUMMYFUNCTION("GOOGLETRANSLATE('Майнкрафт'!A68,""ru"",""en"")"),"Under what conditions can an iron golem created by villagers attack a player?")</f>
        <v>Under what conditions can an iron golem created by villagers attack a player?</v>
      </c>
      <c r="B68" s="3" t="str">
        <f ca="1">IFERROR(__xludf.DUMMYFUNCTION("GOOGLETRANSLATE('Майнкрафт'!B68,""ru"",""en"")"),"The player will hit the villager")</f>
        <v>The player will hit the villager</v>
      </c>
      <c r="C68" s="3" t="str">
        <f ca="1">IFERROR(__xludf.DUMMYFUNCTION("GOOGLETRANSLATE('Майнкрафт'!C68,""ru"",""en"")"),"The player will look him in the eye")</f>
        <v>The player will look him in the eye</v>
      </c>
      <c r="D68" s="3" t="str">
        <f ca="1">IFERROR(__xludf.DUMMYFUNCTION("GOOGLETRANSLATE('Майнкрафт'!D68,""ru"",""en"")"),"The player will take items from the forge")</f>
        <v>The player will take items from the forge</v>
      </c>
      <c r="E68" s="3" t="str">
        <f ca="1">IFERROR(__xludf.DUMMYFUNCTION("GOOGLETRANSLATE('Майнкрафт'!E68,""ru"",""en"")"),"Never")</f>
        <v>Never</v>
      </c>
      <c r="F68" s="7"/>
      <c r="V68" s="3"/>
      <c r="W68" s="8"/>
    </row>
    <row r="69" spans="1:23" ht="16.5" customHeight="1">
      <c r="A69" s="3" t="str">
        <f ca="1">IFERROR(__xludf.DUMMYFUNCTION("GOOGLETRANSLATE('Майнкрафт'!A69,""ru"",""en"")"),"Which of these effects can be obtained from a suspicious stew prepared with dandelion?")</f>
        <v>Which of these effects can be obtained from a suspicious stew prepared with dandelion?</v>
      </c>
      <c r="B69" s="3" t="str">
        <f ca="1">IFERROR(__xludf.DUMMYFUNCTION("GOOGLETRANSLATE('Майнкрафт'!B69,""ru"",""en"")"),"Saturation")</f>
        <v>Saturation</v>
      </c>
      <c r="C69" s="3" t="str">
        <f ca="1">IFERROR(__xludf.DUMMYFUNCTION("GOOGLETRANSLATE('Майнкрафт'!C69,""ru"",""en"")"),"Speed")</f>
        <v>Speed</v>
      </c>
      <c r="D69" s="3" t="str">
        <f ca="1">IFERROR(__xludf.DUMMYFUNCTION("GOOGLETRANSLATE('Майнкрафт'!D69,""ru"",""en"")"),"Regeneration")</f>
        <v>Regeneration</v>
      </c>
      <c r="E69" s="3" t="str">
        <f ca="1">IFERROR(__xludf.DUMMYFUNCTION("GOOGLETRANSLATE('Майнкрафт'!E69,""ru"",""en"")"),"Jumping ability")</f>
        <v>Jumping ability</v>
      </c>
      <c r="F69" s="7"/>
      <c r="V69" s="3"/>
      <c r="W69" s="8"/>
    </row>
    <row r="70" spans="1:23" ht="16.5" customHeight="1">
      <c r="A70" s="3" t="str">
        <f ca="1">IFERROR(__xludf.DUMMYFUNCTION("GOOGLETRANSLATE('Майнкрафт'!A70,""ru"",""en"")"),"What block is needed to tie a compass to a specific location?")</f>
        <v>What block is needed to tie a compass to a specific location?</v>
      </c>
      <c r="B70" s="3" t="str">
        <f ca="1">IFERROR(__xludf.DUMMYFUNCTION("GOOGLETRANSLATE('Майнкрафт'!B70,""ru"",""en"")"),"Magnetite (Lodestone)")</f>
        <v>Magnetite (Lodestone)</v>
      </c>
      <c r="C70" s="3" t="str">
        <f ca="1">IFERROR(__xludf.DUMMYFUNCTION("GOOGLETRANSLATE('Майнкрафт'!C70,""ru"",""en"")"),"Diamond block")</f>
        <v>Diamond block</v>
      </c>
      <c r="D70" s="3" t="str">
        <f ca="1">IFERROR(__xludf.DUMMYFUNCTION("GOOGLETRANSLATE('Майнкрафт'!D70,""ru"",""en"")"),"Redstone block")</f>
        <v>Redstone block</v>
      </c>
      <c r="E70" s="3" t="str">
        <f ca="1">IFERROR(__xludf.DUMMYFUNCTION("GOOGLETRANSLATE('Майнкрафт'!E70,""ru"",""en"")"),"Netherite block")</f>
        <v>Netherite block</v>
      </c>
      <c r="F70" s="7"/>
      <c r="V70" s="3"/>
      <c r="W70" s="8"/>
    </row>
    <row r="71" spans="1:23" ht="16.5" customHeight="1">
      <c r="A71" s="3" t="str">
        <f ca="1">IFERROR(__xludf.DUMMYFUNCTION("GOOGLETRANSLATE('Майнкрафт'!A71,""ru"",""en"")"),"What ingredient is needed to create a slow fall potion?")</f>
        <v>What ingredient is needed to create a slow fall potion?</v>
      </c>
      <c r="B71" s="3" t="str">
        <f ca="1">IFERROR(__xludf.DUMMYFUNCTION("GOOGLETRANSLATE('Майнкрафт'!B71,""ru"",""en"")"),"Phantom membrane")</f>
        <v>Phantom membrane</v>
      </c>
      <c r="C71" s="3" t="str">
        <f ca="1">IFERROR(__xludf.DUMMYFUNCTION("GOOGLETRANSLATE('Майнкрафт'!C71,""ru"",""en"")"),"Sugar")</f>
        <v>Sugar</v>
      </c>
      <c r="D71" s="3" t="str">
        <f ca="1">IFERROR(__xludf.DUMMYFUNCTION("GOOGLETRANSLATE('Майнкрафт'!D71,""ru"",""en"")"),"Rabbit's foot")</f>
        <v>Rabbit's foot</v>
      </c>
      <c r="E71" s="3" t="str">
        <f ca="1">IFERROR(__xludf.DUMMYFUNCTION("GOOGLETRANSLATE('Майнкрафт'!E71,""ru"",""en"")"),"Tear of Gast")</f>
        <v>Tear of Gast</v>
      </c>
      <c r="F71" s="9"/>
      <c r="V71" s="3"/>
    </row>
    <row r="72" spans="1:23" ht="16.5" customHeight="1">
      <c r="A72" s="3" t="str">
        <f ca="1">IFERROR(__xludf.DUMMYFUNCTION("GOOGLETRANSLATE('Майнкрафт'!A72,""ru"",""en"")"),"What block can be used to remove enchantments from an item and still gain experience?")</f>
        <v>What block can be used to remove enchantments from an item and still gain experience?</v>
      </c>
      <c r="B72" s="3" t="str">
        <f ca="1">IFERROR(__xludf.DUMMYFUNCTION("GOOGLETRANSLATE('Майнкрафт'!B72,""ru"",""en"")"),"Sharpener")</f>
        <v>Sharpener</v>
      </c>
      <c r="C72" s="3" t="str">
        <f ca="1">IFERROR(__xludf.DUMMYFUNCTION("GOOGLETRANSLATE('Майнкрафт'!C72,""ru"",""en"")"),"Anvil")</f>
        <v>Anvil</v>
      </c>
      <c r="D72" s="3" t="str">
        <f ca="1">IFERROR(__xludf.DUMMYFUNCTION("GOOGLETRANSLATE('Майнкрафт'!D72,""ru"",""en"")"),"Enchantment table")</f>
        <v>Enchantment table</v>
      </c>
      <c r="E72" s="3" t="str">
        <f ca="1">IFERROR(__xludf.DUMMYFUNCTION("GOOGLETRANSLATE('Майнкрафт'!E72,""ru"",""en"")"),"Workbench")</f>
        <v>Workbench</v>
      </c>
      <c r="F72" s="9"/>
      <c r="V72" s="3"/>
    </row>
    <row r="73" spans="1:23" ht="16.5" customHeight="1">
      <c r="A73" s="3" t="str">
        <f ca="1">IFERROR(__xludf.DUMMYFUNCTION("GOOGLETRANSLATE('Майнкрафт'!A73,""ru"",""en"")"),"What action causes a goat to shed its horn?")</f>
        <v>What action causes a goat to shed its horn?</v>
      </c>
      <c r="B73" s="3" t="str">
        <f ca="1">IFERROR(__xludf.DUMMYFUNCTION("GOOGLETRANSLATE('Майнкрафт'!B73,""ru"",""en"")"),"When he attacks and hits a solid block")</f>
        <v>When he attacks and hits a solid block</v>
      </c>
      <c r="C73" s="3" t="str">
        <f ca="1">IFERROR(__xludf.DUMMYFUNCTION("GOOGLETRANSLATE('Майнкрафт'!C73,""ru"",""en"")"),"When the player cuts it")</f>
        <v>When the player cuts it</v>
      </c>
      <c r="D73" s="3" t="str">
        <f ca="1">IFERROR(__xludf.DUMMYFUNCTION("GOOGLETRANSLATE('Майнкрафт'!D73,""ru"",""en"")"),"When lightning strikes him")</f>
        <v>When lightning strikes him</v>
      </c>
      <c r="E73" s="3" t="str">
        <f ca="1">IFERROR(__xludf.DUMMYFUNCTION("GOOGLETRANSLATE('Майнкрафт'!E73,""ru"",""en"")"),"This is a random event")</f>
        <v>This is a random event</v>
      </c>
      <c r="F73" s="9"/>
      <c r="V73" s="3"/>
    </row>
    <row r="74" spans="1:23" ht="16.5" customHeight="1">
      <c r="A74" s="3" t="str">
        <f ca="1">IFERROR(__xludf.DUMMYFUNCTION("GOOGLETRANSLATE('Майнкрафт'!A74,""ru"",""en"")"),"What mob can be summoned if the scull catalyst block receives experience from a dead mob?")</f>
        <v>What mob can be summoned if the scull catalyst block receives experience from a dead mob?</v>
      </c>
      <c r="B74" s="3" t="str">
        <f ca="1">IFERROR(__xludf.DUMMYFUNCTION("GOOGLETRANSLATE('Майнкрафт'!B74,""ru"",""en"")"),"No")</f>
        <v>No</v>
      </c>
      <c r="C74" s="3" t="str">
        <f ca="1">IFERROR(__xludf.DUMMYFUNCTION("GOOGLETRANSLATE('Майнкрафт'!C74,""ru"",""en"")"),"Varden")</f>
        <v>Varden</v>
      </c>
      <c r="D74" s="3" t="str">
        <f ca="1">IFERROR(__xludf.DUMMYFUNCTION("GOOGLETRANSLATE('Майнкрафт'!D74,""ru"",""en"")"),"Skalk the Screamer")</f>
        <v>Skalk the Screamer</v>
      </c>
      <c r="E74" s="3" t="str">
        <f ca="1">IFERROR(__xludf.DUMMYFUNCTION("GOOGLETRANSLATE('Майнкрафт'!E74,""ru"",""en"")"),"Skalk-sensor")</f>
        <v>Skalk-sensor</v>
      </c>
      <c r="F74" s="9"/>
      <c r="V74" s="3"/>
    </row>
    <row r="75" spans="1:23" ht="16.5" customHeight="1">
      <c r="A75" s="3" t="str">
        <f ca="1">IFERROR(__xludf.DUMMYFUNCTION("GOOGLETRANSLATE('Майнкрафт'!A75,""ru"",""en"")"),"What food do pandas need for breeding?")</f>
        <v>What food do pandas need for breeding?</v>
      </c>
      <c r="B75" s="3" t="str">
        <f ca="1">IFERROR(__xludf.DUMMYFUNCTION("GOOGLETRANSLATE('Майнкрафт'!B75,""ru"",""en"")"),"Bamboo")</f>
        <v>Bamboo</v>
      </c>
      <c r="C75" s="3" t="str">
        <f ca="1">IFERROR(__xludf.DUMMYFUNCTION("GOOGLETRANSLATE('Майнкрафт'!C75,""ru"",""en"")"),"Apples")</f>
        <v>Apples</v>
      </c>
      <c r="D75" s="3" t="str">
        <f ca="1">IFERROR(__xludf.DUMMYFUNCTION("GOOGLETRANSLATE('Майнкрафт'!D75,""ru"",""en"")"),"Cake")</f>
        <v>Cake</v>
      </c>
      <c r="E75" s="3" t="str">
        <f ca="1">IFERROR(__xludf.DUMMYFUNCTION("GOOGLETRANSLATE('Майнкрафт'!E75,""ru"",""en"")"),"Sugar cane")</f>
        <v>Sugar cane</v>
      </c>
      <c r="F75" s="9"/>
      <c r="V75" s="3"/>
    </row>
    <row r="76" spans="1:23" ht="16.5" customHeight="1">
      <c r="A76" s="3" t="str">
        <f ca="1">IFERROR(__xludf.DUMMYFUNCTION("GOOGLETRANSLATE('Майнкрафт'!A76,""ru"",""en"")"),"What happens if a player rings the bell during a raid?")</f>
        <v>What happens if a player rings the bell during a raid?</v>
      </c>
      <c r="B76" s="3" t="str">
        <f ca="1">IFERROR(__xludf.DUMMYFUNCTION("GOOGLETRANSLATE('Майнкрафт'!B76,""ru"",""en"")"),"The robbers will be highlighted")</f>
        <v>The robbers will be highlighted</v>
      </c>
      <c r="C76" s="3" t="str">
        <f ca="1">IFERROR(__xludf.DUMMYFUNCTION("GOOGLETRANSLATE('Майнкрафт'!C76,""ru"",""en"")"),"The raid will stop")</f>
        <v>The raid will stop</v>
      </c>
      <c r="D76" s="3" t="str">
        <f ca="1">IFERROR(__xludf.DUMMYFUNCTION("GOOGLETRANSLATE('Майнкрафт'!D76,""ru"",""en"")"),"An iron golem will appear")</f>
        <v>An iron golem will appear</v>
      </c>
      <c r="E76" s="3" t="str">
        <f ca="1">IFERROR(__xludf.DUMMYFUNCTION("GOOGLETRANSLATE('Майнкрафт'!E76,""ru"",""en"")"),"Residents are hiding even faster")</f>
        <v>Residents are hiding even faster</v>
      </c>
      <c r="F76" s="9"/>
      <c r="V76" s="3"/>
    </row>
    <row r="77" spans="1:23" ht="16.5" customHeight="1">
      <c r="A77" s="3" t="str">
        <f ca="1">IFERROR(__xludf.DUMMYFUNCTION("GOOGLETRANSLATE('Майнкрафт'!A77,""ru"",""en"")"),"What do I need to do to get the ""Not Today, Thank You"" achievement?")</f>
        <v>What do I need to do to get the "Not Today, Thank You" achievement?</v>
      </c>
      <c r="B77" s="3" t="str">
        <f ca="1">IFERROR(__xludf.DUMMYFUNCTION("GOOGLETRANSLATE('Майнкрафт'!B77,""ru"",""en"")"),"Reflect any projectile with your shield.")</f>
        <v>Reflect any projectile with your shield.</v>
      </c>
      <c r="C77" s="3" t="str">
        <f ca="1">IFERROR(__xludf.DUMMYFUNCTION("GOOGLETRANSLATE('Майнкрафт'!C77,""ru"",""en"")"),"Enter the Nether Portal")</f>
        <v>Enter the Nether Portal</v>
      </c>
      <c r="D77" s="3" t="str">
        <f ca="1">IFERROR(__xludf.DUMMYFUNCTION("GOOGLETRANSLATE('Майнкрафт'!D77,""ru"",""en"")"),"Shoot a crossbow")</f>
        <v>Shoot a crossbow</v>
      </c>
      <c r="E77" s="3" t="str">
        <f ca="1">IFERROR(__xludf.DUMMYFUNCTION("GOOGLETRANSLATE('Майнкрафт'!E77,""ru"",""en"")"),"Can't wait")</f>
        <v>Can't wait</v>
      </c>
      <c r="F77" s="9"/>
      <c r="V77" s="3"/>
    </row>
    <row r="78" spans="1:23" ht="16.5" customHeight="1">
      <c r="A78" s="3" t="str">
        <f ca="1">IFERROR(__xludf.DUMMYFUNCTION("GOOGLETRANSLATE('Майнкрафт'!A78,""ru"",""en"")"),"What structure is the only place where echo shards can be found?")</f>
        <v>What structure is the only place where echo shards can be found?</v>
      </c>
      <c r="B78" s="3" t="str">
        <f ca="1">IFERROR(__xludf.DUMMYFUNCTION("GOOGLETRANSLATE('Майнкрафт'!B78,""ru"",""en"")"),"Ancient city")</f>
        <v>Ancient city</v>
      </c>
      <c r="C78" s="3" t="str">
        <f ca="1">IFERROR(__xludf.DUMMYFUNCTION("GOOGLETRANSLATE('Майнкрафт'!C78,""ru"",""en"")"),"Forest Mansion")</f>
        <v>Forest Mansion</v>
      </c>
      <c r="D78" s="3" t="str">
        <f ca="1">IFERROR(__xludf.DUMMYFUNCTION("GOOGLETRANSLATE('Майнкрафт'!D78,""ru"",""en"")"),"Hell's Fortress")</f>
        <v>Hell's Fortress</v>
      </c>
      <c r="E78" s="3" t="str">
        <f ca="1">IFERROR(__xludf.DUMMYFUNCTION("GOOGLETRANSLATE('Майнкрафт'!E78,""ru"",""en"")"),"City of the Edge")</f>
        <v>City of the Edge</v>
      </c>
      <c r="F78" s="9"/>
      <c r="V78" s="3"/>
    </row>
    <row r="79" spans="1:23" ht="16.5" customHeight="1">
      <c r="A79" s="3" t="str">
        <f ca="1">IFERROR(__xludf.DUMMYFUNCTION("GOOGLETRANSLATE('Майнкрафт'!A79,""ru"",""en"")"),"Which of these items cannot be placed in a shulker box?")</f>
        <v>Which of these items cannot be placed in a shulker box?</v>
      </c>
      <c r="B79" s="3" t="str">
        <f ca="1">IFERROR(__xludf.DUMMYFUNCTION("GOOGLETRANSLATE('Майнкрафт'!B79,""ru"",""en"")"),"Another Shulker Box")</f>
        <v>Another Shulker Box</v>
      </c>
      <c r="C79" s="3" t="str">
        <f ca="1">IFERROR(__xludf.DUMMYFUNCTION("GOOGLETRANSLATE('Майнкрафт'!C79,""ru"",""en"")"),"Chest of the End")</f>
        <v>Chest of the End</v>
      </c>
      <c r="D79" s="3" t="str">
        <f ca="1">IFERROR(__xludf.DUMMYFUNCTION("GOOGLETRANSLATE('Майнкрафт'!D79,""ru"",""en"")"),"Netherite Ingot")</f>
        <v>Netherite Ingot</v>
      </c>
      <c r="E79" s="3" t="str">
        <f ca="1">IFERROR(__xludf.DUMMYFUNCTION("GOOGLETRANSLATE('Майнкрафт'!E79,""ru"",""en"")"),"The dragon's head")</f>
        <v>The dragon's head</v>
      </c>
      <c r="F79" s="9"/>
      <c r="V79" s="3"/>
    </row>
    <row r="80" spans="1:23" ht="16.5" customHeight="1">
      <c r="A80" s="3" t="str">
        <f ca="1">IFERROR(__xludf.DUMMYFUNCTION("GOOGLETRANSLATE('Майнкрафт'!A80,""ru"",""en"")"),"What plant in the Nether repels hoglins?")</f>
        <v>What plant in the Nether repels hoglins?</v>
      </c>
      <c r="B80" s="3" t="str">
        <f ca="1">IFERROR(__xludf.DUMMYFUNCTION("GOOGLETRANSLATE('Майнкрафт'!B80,""ru"",""en"")"),"Distorted mushrooms")</f>
        <v>Distorted mushrooms</v>
      </c>
      <c r="C80" s="3" t="str">
        <f ca="1">IFERROR(__xludf.DUMMYFUNCTION("GOOGLETRANSLATE('Майнкрафт'!C80,""ru"",""en"")"),"Crimson mushrooms")</f>
        <v>Crimson mushrooms</v>
      </c>
      <c r="D80" s="3" t="str">
        <f ca="1">IFERROR(__xludf.DUMMYFUNCTION("GOOGLETRANSLATE('Майнкрафт'!D80,""ru"",""en"")"),"Hellish growth")</f>
        <v>Hellish growth</v>
      </c>
      <c r="E80" s="3" t="str">
        <f ca="1">IFERROR(__xludf.DUMMYFUNCTION("GOOGLETRANSLATE('Майнкрафт'!E80,""ru"",""en"")"),"Hellish roots")</f>
        <v>Hellish roots</v>
      </c>
      <c r="F80" s="9"/>
      <c r="V80" s="3"/>
    </row>
    <row r="81" spans="1:22" ht="16.5" customHeight="1">
      <c r="A81" s="3" t="str">
        <f ca="1">IFERROR(__xludf.DUMMYFUNCTION("GOOGLETRANSLATE('Майнкрафт'!A81,""ru"",""en"")"),"What is the main item when trading with piglins?")</f>
        <v>What is the main item when trading with piglins?</v>
      </c>
      <c r="B81" s="3" t="str">
        <f ca="1">IFERROR(__xludf.DUMMYFUNCTION("GOOGLETRANSLATE('Майнкрафт'!B81,""ru"",""en"")"),"Gold bar")</f>
        <v>Gold bar</v>
      </c>
      <c r="C81" s="3" t="str">
        <f ca="1">IFERROR(__xludf.DUMMYFUNCTION("GOOGLETRANSLATE('Майнкрафт'!C81,""ru"",""en"")"),"Gold Nugget")</f>
        <v>Gold Nugget</v>
      </c>
      <c r="D81" s="3" t="str">
        <f ca="1">IFERROR(__xludf.DUMMYFUNCTION("GOOGLETRANSLATE('Майнкрафт'!D81,""ru"",""en"")"),"Gilded black stone")</f>
        <v>Gilded black stone</v>
      </c>
      <c r="E81" s="3" t="str">
        <f ca="1">IFERROR(__xludf.DUMMYFUNCTION("GOOGLETRANSLATE('Майнкрафт'!E81,""ru"",""en"")"),"Golden Block")</f>
        <v>Golden Block</v>
      </c>
      <c r="F81" s="9"/>
      <c r="V81" s="3"/>
    </row>
    <row r="82" spans="1:22" ht="16.5" customHeight="1">
      <c r="A82" s="3" t="str">
        <f ca="1">IFERROR(__xludf.DUMMYFUNCTION("GOOGLETRANSLATE('Майнкрафт'!A82,""ru"",""en"")"),"What trident enchantment only works in rain or water?")</f>
        <v>What trident enchantment only works in rain or water?</v>
      </c>
      <c r="B82" s="3" t="str">
        <f ca="1">IFERROR(__xludf.DUMMYFUNCTION("GOOGLETRANSLATE('Майнкрафт'!B82,""ru"",""en"")"),"Tyagun")</f>
        <v>Tyagun</v>
      </c>
      <c r="C82" s="3" t="str">
        <f ca="1">IFERROR(__xludf.DUMMYFUNCTION("GOOGLETRANSLATE('Майнкрафт'!C82,""ru"",""en"")"),"Thunderer")</f>
        <v>Thunderer</v>
      </c>
      <c r="D82" s="3" t="str">
        <f ca="1">IFERROR(__xludf.DUMMYFUNCTION("GOOGLETRANSLATE('Майнкрафт'!D82,""ru"",""en"")"),"Loyalty")</f>
        <v>Loyalty</v>
      </c>
      <c r="E82" s="3" t="str">
        <f ca="1">IFERROR(__xludf.DUMMYFUNCTION("GOOGLETRANSLATE('Майнкрафт'!E82,""ru"",""en"")"),"The Piercer")</f>
        <v>The Piercer</v>
      </c>
      <c r="F82" s="9"/>
      <c r="V82" s="3"/>
    </row>
    <row r="83" spans="1:22" ht="16.5" customHeight="1">
      <c r="A83" s="3" t="str">
        <f ca="1">IFERROR(__xludf.DUMMYFUNCTION("GOOGLETRANSLATE('Майнкрафт'!A83,""ru"",""en"")"),"What happens to a bee after it stings a player?")</f>
        <v>What happens to a bee after it stings a player?</v>
      </c>
      <c r="B83" s="3" t="str">
        <f ca="1">IFERROR(__xludf.DUMMYFUNCTION("GOOGLETRANSLATE('Майнкрафт'!B83,""ru"",""en"")"),"It loses its sting and dies after a while.")</f>
        <v>It loses its sting and dies after a while.</v>
      </c>
      <c r="C83" s="3" t="str">
        <f ca="1">IFERROR(__xludf.DUMMYFUNCTION("GOOGLETRANSLATE('Майнкрафт'!C83,""ru"",""en"")"),"Becomes neutral")</f>
        <v>Becomes neutral</v>
      </c>
      <c r="D83" s="3" t="str">
        <f ca="1">IFERROR(__xludf.DUMMYFUNCTION("GOOGLETRANSLATE('Майнкрафт'!D83,""ru"",""en"")"),"Returns to the hive for a new sting")</f>
        <v>Returns to the hive for a new sting</v>
      </c>
      <c r="E83" s="3" t="str">
        <f ca="1">IFERROR(__xludf.DUMMYFUNCTION("GOOGLETRANSLATE('Майнкрафт'!E83,""ru"",""en"")"),"Nothing")</f>
        <v>Nothing</v>
      </c>
      <c r="F83" s="9"/>
      <c r="V83" s="3"/>
    </row>
    <row r="84" spans="1:22" ht="16.5" customHeight="1">
      <c r="A84" s="3" t="str">
        <f ca="1">IFERROR(__xludf.DUMMYFUNCTION("GOOGLETRANSLATE('Майнкрафт'!A84,""ru"",""en"")"),"Which mob is the only source of phantom membranes?")</f>
        <v>Which mob is the only source of phantom membranes?</v>
      </c>
      <c r="B84" s="3" t="str">
        <f ca="1">IFERROR(__xludf.DUMMYFUNCTION("GOOGLETRANSLATE('Майнкрафт'!B84,""ru"",""en"")"),"Phantom")</f>
        <v>Phantom</v>
      </c>
      <c r="C84" s="3" t="str">
        <f ca="1">IFERROR(__xludf.DUMMYFUNCTION("GOOGLETRANSLATE('Майнкрафт'!C84,""ru"",""en"")"),"Bat")</f>
        <v>Bat</v>
      </c>
      <c r="D84" s="3" t="str">
        <f ca="1">IFERROR(__xludf.DUMMYFUNCTION("GOOGLETRANSLATE('Майнкрафт'!D84,""ru"",""en"")"),"Gast")</f>
        <v>Gast</v>
      </c>
      <c r="E84" s="3" t="str">
        <f ca="1">IFERROR(__xludf.DUMMYFUNCTION("GOOGLETRANSLATE('Майнкрафт'!E84,""ru"",""en"")"),"Witch")</f>
        <v>Witch</v>
      </c>
      <c r="F84" s="9"/>
      <c r="V84" s="3"/>
    </row>
    <row r="85" spans="1:22" ht="16.5" customHeight="1">
      <c r="A85" s="3" t="str">
        <f ca="1">IFERROR(__xludf.DUMMYFUNCTION("GOOGLETRANSLATE('Майнкрафт'!A85,""ru"",""en"")"),"What does the Weave effect do?")</f>
        <v>What does the Weave effect do?</v>
      </c>
      <c r="B85" s="3" t="str">
        <f ca="1">IFERROR(__xludf.DUMMYFUNCTION("GOOGLETRANSLATE('Майнкрафт'!B85,""ru"",""en"")"),"Spreads web blocks after mob death")</f>
        <v>Spreads web blocks after mob death</v>
      </c>
      <c r="C85" s="3" t="str">
        <f ca="1">IFERROR(__xludf.DUMMYFUNCTION("GOOGLETRANSLATE('Майнкрафт'!C85,""ru"",""en"")"),"Restores hunger")</f>
        <v>Restores hunger</v>
      </c>
      <c r="D85" s="3" t="str">
        <f ca="1">IFERROR(__xludf.DUMMYFUNCTION("GOOGLETRANSLATE('Майнкрафт'!D85,""ru"",""en"")"),"Hurts living beings")</f>
        <v>Hurts living beings</v>
      </c>
      <c r="E85" s="3" t="str">
        <f ca="1">IFERROR(__xludf.DUMMYFUNCTION("GOOGLETRANSLATE('Майнкрафт'!E85,""ru"",""en"")"),"Distorts the player's vision")</f>
        <v>Distorts the player's vision</v>
      </c>
      <c r="F85" s="9"/>
      <c r="V85" s="3"/>
    </row>
    <row r="86" spans="1:22" ht="16.5" customHeight="1">
      <c r="A86" s="3" t="str">
        <f ca="1">IFERROR(__xludf.DUMMYFUNCTION("GOOGLETRANSLATE('Майнкрафт'!A86,""ru"",""en"")"),"What does the ""/time"" command do?")</f>
        <v>What does the "/time" command do?</v>
      </c>
      <c r="B86" s="3" t="str">
        <f ca="1">IFERROR(__xludf.DUMMYFUNCTION("GOOGLETRANSLATE('Майнкрафт'!B86,""ru"",""en"")"),"Changes the time of day")</f>
        <v>Changes the time of day</v>
      </c>
      <c r="C86" s="3" t="str">
        <f ca="1">IFERROR(__xludf.DUMMYFUNCTION("GOOGLETRANSLATE('Майнкрафт'!C86,""ru"",""en"")"),"Calls the clock")</f>
        <v>Calls the clock</v>
      </c>
      <c r="D86" s="3" t="str">
        <f ca="1">IFERROR(__xludf.DUMMYFUNCTION("GOOGLETRANSLATE('Майнкрафт'!D86,""ru"",""en"")"),"Shows the time of day")</f>
        <v>Shows the time of day</v>
      </c>
      <c r="E86" s="3" t="str">
        <f ca="1">IFERROR(__xludf.DUMMYFUNCTION("GOOGLETRANSLATE('Майнкрафт'!E86,""ru"",""en"")"),"What is this? I don't know English.")</f>
        <v>What is this? I don't know English.</v>
      </c>
      <c r="F86" s="9"/>
      <c r="V86" s="3"/>
    </row>
    <row r="87" spans="1:22" ht="16.5" customHeight="1">
      <c r="A87" s="3" t="str">
        <f ca="1">IFERROR(__xludf.DUMMYFUNCTION("GOOGLETRANSLATE('Майнкрафт'!A87,""ru"",""en"")"),"What ingredients are needed for the ""Turtle Might"" potion?")</f>
        <v>What ingredients are needed for the "Turtle Might" potion?</v>
      </c>
      <c r="B87" s="3" t="str">
        <f ca="1">IFERROR(__xludf.DUMMYFUNCTION("GOOGLETRANSLATE('Майнкрафт'!B87,""ru"",""en"")"),"Rough Potion + Turtle Shell")</f>
        <v>Rough Potion + Turtle Shell</v>
      </c>
      <c r="C87" s="3" t="str">
        <f ca="1">IFERROR(__xludf.DUMMYFUNCTION("GOOGLETRANSLATE('Майнкрафт'!C87,""ru"",""en"")"),"Rough Potion + Pufferfish")</f>
        <v>Rough Potion + Pufferfish</v>
      </c>
      <c r="D87" s="3" t="str">
        <f ca="1">IFERROR(__xludf.DUMMYFUNCTION("GOOGLETRANSLATE('Майнкрафт'!D87,""ru"",""en"")"),"Coarse Potion + Sugar")</f>
        <v>Coarse Potion + Sugar</v>
      </c>
      <c r="E87" s="3" t="str">
        <f ca="1">IFERROR(__xludf.DUMMYFUNCTION("GOOGLETRANSLATE('Майнкрафт'!E87,""ru"",""en"")"),"Rough Potion + Turtle Shield")</f>
        <v>Rough Potion + Turtle Shield</v>
      </c>
      <c r="F87" s="9"/>
      <c r="V87" s="3"/>
    </row>
    <row r="88" spans="1:22" ht="16.5" customHeight="1">
      <c r="A88" s="3" t="str">
        <f ca="1">IFERROR(__xludf.DUMMYFUNCTION("GOOGLETRANSLATE('Майнкрафт'!A88,""ru"",""en"")"),"What effect does the Soul Speed ​​enchantment provide?")</f>
        <v>What effect does the Soul Speed ​​enchantment provide?</v>
      </c>
      <c r="B88" s="3" t="str">
        <f ca="1">IFERROR(__xludf.DUMMYFUNCTION("GOOGLETRANSLATE('Майнкрафт'!B88,""ru"",""en"")"),"Increases movement speed on Soul Sand and Soul Land")</f>
        <v>Increases movement speed on Soul Sand and Soul Land</v>
      </c>
      <c r="C88" s="3" t="str">
        <f ca="1">IFERROR(__xludf.DUMMYFUNCTION("GOOGLETRANSLATE('Майнкрафт'!C88,""ru"",""en"")"),"Allows you to run on water")</f>
        <v>Allows you to run on water</v>
      </c>
      <c r="D88" s="3" t="str">
        <f ca="1">IFERROR(__xludf.DUMMYFUNCTION("GOOGLETRANSLATE('Майнкрафт'!D88,""ru"",""en"")"),"Increases overall running speed")</f>
        <v>Increases overall running speed</v>
      </c>
      <c r="E88" s="3" t="str">
        <f ca="1">IFERROR(__xludf.DUMMYFUNCTION("GOOGLETRANSLATE('Майнкрафт'!E88,""ru"",""en"")"),"Accelerates the soul")</f>
        <v>Accelerates the soul</v>
      </c>
      <c r="F88" s="9"/>
      <c r="V88" s="3"/>
    </row>
    <row r="89" spans="1:22" ht="16.5" customHeight="1">
      <c r="A89" s="3" t="str">
        <f ca="1">IFERROR(__xludf.DUMMYFUNCTION("GOOGLETRANSLATE('Майнкрафт'!A89,""ru"",""en"")"),"What happens if a charged creeper kills a zombie, skeleton, or another creeper?")</f>
        <v>What happens if a charged creeper kills a zombie, skeleton, or another creeper?</v>
      </c>
      <c r="B89" s="3" t="str">
        <f ca="1">IFERROR(__xludf.DUMMYFUNCTION("GOOGLETRANSLATE('Майнкрафт'!B89,""ru"",""en"")"),"A killed mob will drop a head.")</f>
        <v>A killed mob will drop a head.</v>
      </c>
      <c r="C89" s="3" t="str">
        <f ca="1">IFERROR(__xludf.DUMMYFUNCTION("GOOGLETRANSLATE('Майнкрафт'!C89,""ru"",""en"")"),"The mob will just die")</f>
        <v>The mob will just die</v>
      </c>
      <c r="D89" s="3" t="str">
        <f ca="1">IFERROR(__xludf.DUMMYFUNCTION("GOOGLETRANSLATE('Майнкрафт'!D89,""ru"",""en"")"),"The mob will become charged")</f>
        <v>The mob will become charged</v>
      </c>
      <c r="E89" s="3" t="str">
        <f ca="1">IFERROR(__xludf.DUMMYFUNCTION("GOOGLETRANSLATE('Майнкрафт'!E89,""ru"",""en"")"),"There will be an explosion")</f>
        <v>There will be an explosion</v>
      </c>
      <c r="F89" s="9"/>
      <c r="V89" s="3"/>
    </row>
    <row r="90" spans="1:22" ht="16.5" customHeight="1">
      <c r="A90" s="3" t="str">
        <f ca="1">IFERROR(__xludf.DUMMYFUNCTION("GOOGLETRANSLATE('Майнкрафт'!A90,""ru"",""en"")"),"Which potion has the opposite effect of the strength potion?")</f>
        <v>Which potion has the opposite effect of the strength potion?</v>
      </c>
      <c r="B90" s="3" t="str">
        <f ca="1">IFERROR(__xludf.DUMMYFUNCTION("GOOGLETRANSLATE('Майнкрафт'!B90,""ru"",""en"")"),"Potion of Weakness")</f>
        <v>Potion of Weakness</v>
      </c>
      <c r="C90" s="3" t="str">
        <f ca="1">IFERROR(__xludf.DUMMYFUNCTION("GOOGLETRANSLATE('Майнкрафт'!C90,""ru"",""en"")"),"Potion of Slowness")</f>
        <v>Potion of Slowness</v>
      </c>
      <c r="D90" s="3" t="str">
        <f ca="1">IFERROR(__xludf.DUMMYFUNCTION("GOOGLETRANSLATE('Майнкрафт'!D90,""ru"",""en"")"),"Poisoning Potion")</f>
        <v>Poisoning Potion</v>
      </c>
      <c r="E90" s="3" t="str">
        <f ca="1">IFERROR(__xludf.DUMMYFUNCTION("GOOGLETRANSLATE('Майнкрафт'!E90,""ru"",""en"")"),"Potion of Harm")</f>
        <v>Potion of Harm</v>
      </c>
      <c r="F90" s="9"/>
      <c r="V90" s="3"/>
    </row>
    <row r="91" spans="1:22" ht="16.5" customHeight="1">
      <c r="A91" s="3" t="str">
        <f ca="1">IFERROR(__xludf.DUMMYFUNCTION("GOOGLETRANSLATE('Майнкрафт'!A91,""ru"",""en"")"),"What block can be used to create an ""elevator""?")</f>
        <v>What block can be used to create an "elevator"?</v>
      </c>
      <c r="B91" s="3" t="str">
        <f ca="1">IFERROR(__xludf.DUMMYFUNCTION("GOOGLETRANSLATE('Майнкрафт'!B91,""ru"",""en"")"),"Water + Soul Sand/Magma")</f>
        <v>Water + Soul Sand/Magma</v>
      </c>
      <c r="C91" s="3" t="str">
        <f ca="1">IFERROR(__xludf.DUMMYFUNCTION("GOOGLETRANSLATE('Майнкрафт'!C91,""ru"",""en"")"),"Air")</f>
        <v>Air</v>
      </c>
      <c r="D91" s="3" t="str">
        <f ca="1">IFERROR(__xludf.DUMMYFUNCTION("GOOGLETRANSLATE('Майнкрафт'!D91,""ru"",""en"")"),"Web")</f>
        <v>Web</v>
      </c>
      <c r="E91" s="3" t="str">
        <f ca="1">IFERROR(__xludf.DUMMYFUNCTION("GOOGLETRANSLATE('Майнкрафт'!E91,""ru"",""en"")"),"Ice")</f>
        <v>Ice</v>
      </c>
      <c r="F91" s="9"/>
      <c r="V91" s="3"/>
    </row>
    <row r="92" spans="1:22" ht="16.5" customHeight="1">
      <c r="A92" s="3" t="str">
        <f ca="1">IFERROR(__xludf.DUMMYFUNCTION("GOOGLETRANSLATE('Майнкрафт'!A92,""ru"",""en"")"),"Which hostile mob attacks the player with wind blasts?")</f>
        <v>Which hostile mob attacks the player with wind blasts?</v>
      </c>
      <c r="B92" s="3" t="str">
        <f ca="1">IFERROR(__xludf.DUMMYFUNCTION("GOOGLETRANSLATE('Майнкрафт'!B92,""ru"",""en"")"),"Vortex")</f>
        <v>Vortex</v>
      </c>
      <c r="C92" s="3" t="str">
        <f ca="1">IFERROR(__xludf.DUMMYFUNCTION("GOOGLETRANSLATE('Майнкрафт'!C92,""ru"",""en"")"),"Storm")</f>
        <v>Storm</v>
      </c>
      <c r="D92" s="3" t="str">
        <f ca="1">IFERROR(__xludf.DUMMYFUNCTION("GOOGLETRANSLATE('Майнкрафт'!D92,""ru"",""en"")"),"Storm")</f>
        <v>Storm</v>
      </c>
      <c r="E92" s="3" t="str">
        <f ca="1">IFERROR(__xludf.DUMMYFUNCTION("GOOGLETRANSLATE('Майнкрафт'!E92,""ru"",""en"")"),"Spirit of the Wind")</f>
        <v>Spirit of the Wind</v>
      </c>
      <c r="F92" s="9"/>
      <c r="V92" s="3"/>
    </row>
    <row r="93" spans="1:22" ht="16.5" customHeight="1">
      <c r="A93" s="3" t="str">
        <f ca="1">IFERROR(__xludf.DUMMYFUNCTION("GOOGLETRANSLATE('Майнкрафт'!A93,""ru"",""en"")"),"Which block allows you to automate the crafting process?")</f>
        <v>Which block allows you to automate the crafting process?</v>
      </c>
      <c r="B93" s="3" t="str">
        <f ca="1">IFERROR(__xludf.DUMMYFUNCTION("GOOGLETRANSLATE('Майнкрафт'!B93,""ru"",""en"")"),"Collector")</f>
        <v>Collector</v>
      </c>
      <c r="C93" s="3" t="str">
        <f ca="1">IFERROR(__xludf.DUMMYFUNCTION("GOOGLETRANSLATE('Майнкрафт'!C93,""ru"",""en"")"),"Distributor")</f>
        <v>Distributor</v>
      </c>
      <c r="D93" s="3" t="str">
        <f ca="1">IFERROR(__xludf.DUMMYFUNCTION("GOOGLETRANSLATE('Майнкрафт'!D93,""ru"",""en"")"),"Ejector")</f>
        <v>Ejector</v>
      </c>
      <c r="E93" s="3" t="str">
        <f ca="1">IFERROR(__xludf.DUMMYFUNCTION("GOOGLETRANSLATE('Майнкрафт'!E93,""ru"",""en"")"),"Fabricator")</f>
        <v>Fabricator</v>
      </c>
      <c r="F93" s="9"/>
      <c r="V93" s="3"/>
    </row>
    <row r="94" spans="1:22" ht="16.5" customHeight="1">
      <c r="A94" s="3" t="str">
        <f ca="1">IFERROR(__xludf.DUMMYFUNCTION("GOOGLETRANSLATE('Майнкрафт'!A94,""ru"",""en"")"),"What is the name of the structure where suspicious gravel and pottery shards can be found?")</f>
        <v>What is the name of the structure where suspicious gravel and pottery shards can be found?</v>
      </c>
      <c r="B94" s="3" t="str">
        <f ca="1">IFERROR(__xludf.DUMMYFUNCTION("GOOGLETRANSLATE('Майнкрафт'!B94,""ru"",""en"")"),"Ruins of the trails")</f>
        <v>Ruins of the trails</v>
      </c>
      <c r="C94" s="3" t="str">
        <f ca="1">IFERROR(__xludf.DUMMYFUNCTION("GOOGLETRANSLATE('Майнкрафт'!C94,""ru"",""en"")"),"Ancient city")</f>
        <v>Ancient city</v>
      </c>
      <c r="D94" s="3" t="str">
        <f ca="1">IFERROR(__xludf.DUMMYFUNCTION("GOOGLETRANSLATE('Майнкрафт'!D94,""ru"",""en"")"),"Ancient complex")</f>
        <v>Ancient complex</v>
      </c>
      <c r="E94" s="3" t="str">
        <f ca="1">IFERROR(__xludf.DUMMYFUNCTION("GOOGLETRANSLATE('Майнкрафт'!E94,""ru"",""en"")"),"The Buried City")</f>
        <v>The Buried City</v>
      </c>
      <c r="F94" s="9"/>
      <c r="V94" s="3"/>
    </row>
    <row r="95" spans="1:22" ht="16.5" customHeight="1">
      <c r="A95" s="3" t="str">
        <f ca="1">IFERROR(__xludf.DUMMYFUNCTION("GOOGLETRANSLATE('Майнкрафт'!A95,""ru"",""en"")"),"What tool should I use on suspicious sand blocks to mine them for items?")</f>
        <v>What tool should I use on suspicious sand blocks to mine them for items?</v>
      </c>
      <c r="B95" s="3" t="str">
        <f ca="1">IFERROR(__xludf.DUMMYFUNCTION("GOOGLETRANSLATE('Майнкрафт'!B95,""ru"",""en"")"),"Brush")</f>
        <v>Brush</v>
      </c>
      <c r="C95" s="3" t="str">
        <f ca="1">IFERROR(__xludf.DUMMYFUNCTION("GOOGLETRANSLATE('Майнкрафт'!C95,""ru"",""en"")"),"Shovel")</f>
        <v>Shovel</v>
      </c>
      <c r="D95" s="3" t="str">
        <f ca="1">IFERROR(__xludf.DUMMYFUNCTION("GOOGLETRANSLATE('Майнкрафт'!D95,""ru"",""en"")"),"Hoe")</f>
        <v>Hoe</v>
      </c>
      <c r="E95" s="3" t="str">
        <f ca="1">IFERROR(__xludf.DUMMYFUNCTION("GOOGLETRANSLATE('Майнкрафт'!E95,""ru"",""en"")"),"Hand")</f>
        <v>Hand</v>
      </c>
      <c r="F95" s="9"/>
      <c r="V95" s="3"/>
    </row>
    <row r="96" spans="1:22" ht="16.5" customHeight="1">
      <c r="A96" s="3" t="str">
        <f ca="1">IFERROR(__xludf.DUMMYFUNCTION("GOOGLETRANSLATE('Майнкрафт'!A96,""ru"",""en"")"),"What can you find and use to customize your armor, giving it unique patterns?")</f>
        <v>What can you find and use to customize your armor, giving it unique patterns?</v>
      </c>
      <c r="B96" s="3" t="str">
        <f ca="1">IFERROR(__xludf.DUMMYFUNCTION("GOOGLETRANSLATE('Майнкрафт'!B96,""ru"",""en"")"),"Forging templates")</f>
        <v>Forging templates</v>
      </c>
      <c r="C96" s="3" t="str">
        <f ca="1">IFERROR(__xludf.DUMMYFUNCTION("GOOGLETRANSLATE('Майнкрафт'!C96,""ru"",""en"")"),"Engraving machines")</f>
        <v>Engraving machines</v>
      </c>
      <c r="D96" s="3" t="str">
        <f ca="1">IFERROR(__xludf.DUMMYFUNCTION("GOOGLETRANSLATE('Майнкрафт'!D96,""ru"",""en"")"),"Ancient runes")</f>
        <v>Ancient runes</v>
      </c>
      <c r="E96" s="3" t="str">
        <f ca="1">IFERROR(__xludf.DUMMYFUNCTION("GOOGLETRANSLATE('Майнкрафт'!E96,""ru"",""en"")"),"Dye sets")</f>
        <v>Dye sets</v>
      </c>
      <c r="F96" s="9"/>
      <c r="V96" s="3"/>
    </row>
    <row r="97" spans="1:22" ht="16.5" customHeight="1">
      <c r="A97" s="3" t="str">
        <f ca="1">IFERROR(__xludf.DUMMYFUNCTION("GOOGLETRANSLATE('Майнкрафт'!A97,""ru"",""en"")"),"What kind of skeleton shoots poisoned arrows?")</f>
        <v>What kind of skeleton shoots poisoned arrows?</v>
      </c>
      <c r="B97" s="3" t="str">
        <f ca="1">IFERROR(__xludf.DUMMYFUNCTION("GOOGLETRANSLATE('Майнкрафт'!B97,""ru"",""en"")"),"Swamp dweller")</f>
        <v>Swamp dweller</v>
      </c>
      <c r="C97" s="3" t="str">
        <f ca="1">IFERROR(__xludf.DUMMYFUNCTION("GOOGLETRANSLATE('Майнкрафт'!C97,""ru"",""en"")"),"Topchun")</f>
        <v>Topchun</v>
      </c>
      <c r="D97" s="3" t="str">
        <f ca="1">IFERROR(__xludf.DUMMYFUNCTION("GOOGLETRANSLATE('Майнкрафт'!D97,""ru"",""en"")"),"Rotten skeleton")</f>
        <v>Rotten skeleton</v>
      </c>
      <c r="E97" s="3" t="str">
        <f ca="1">IFERROR(__xludf.DUMMYFUNCTION("GOOGLETRANSLATE('Майнкрафт'!E97,""ru"",""en"")"),"Moss Archer")</f>
        <v>Moss Archer</v>
      </c>
      <c r="F97" s="9"/>
      <c r="V97" s="3"/>
    </row>
    <row r="98" spans="1:22" ht="16.5" customHeight="1">
      <c r="A98" s="3" t="str">
        <f ca="1">IFERROR(__xludf.DUMMYFUNCTION("GOOGLETRANSLATE('Майнкрафт'!A98,""ru"",""en"")"),"Which mob can transport two players at the same time?")</f>
        <v>Which mob can transport two players at the same time?</v>
      </c>
      <c r="B98" s="3" t="str">
        <f ca="1">IFERROR(__xludf.DUMMYFUNCTION("GOOGLETRANSLATE('Майнкрафт'!B98,""ru"",""en"")"),"Camel")</f>
        <v>Camel</v>
      </c>
      <c r="C98" s="3" t="str">
        <f ca="1">IFERROR(__xludf.DUMMYFUNCTION("GOOGLETRANSLATE('Майнкрафт'!C98,""ru"",""en"")"),"Horse")</f>
        <v>Horse</v>
      </c>
      <c r="D98" s="3" t="str">
        <f ca="1">IFERROR(__xludf.DUMMYFUNCTION("GOOGLETRANSLATE('Майнкрафт'!D98,""ru"",""en"")"),"Lama")</f>
        <v>Lama</v>
      </c>
      <c r="E98" s="3" t="str">
        <f ca="1">IFERROR(__xludf.DUMMYFUNCTION("GOOGLETRANSLATE('Майнкрафт'!E98,""ru"",""en"")"),"Strider")</f>
        <v>Strider</v>
      </c>
      <c r="F98" s="9"/>
      <c r="V98" s="3"/>
    </row>
    <row r="99" spans="1:22" ht="16.5" customHeight="1">
      <c r="A99" s="3" t="str">
        <f ca="1">IFERROR(__xludf.DUMMYFUNCTION("GOOGLETRANSLATE('Майнкрафт'!A99,""ru"",""en"")"),"What item is used to trigger the ""ominous"" events in the Test Chambers?")</f>
        <v>What item is used to trigger the "ominous" events in the Test Chambers?</v>
      </c>
      <c r="B99" s="3" t="str">
        <f ca="1">IFERROR(__xludf.DUMMYFUNCTION("GOOGLETRANSLATE('Майнкрафт'!B99,""ru"",""en"")"),"The Ominous Bottle")</f>
        <v>The Ominous Bottle</v>
      </c>
      <c r="C99" s="3" t="str">
        <f ca="1">IFERROR(__xludf.DUMMYFUNCTION("GOOGLETRANSLATE('Майнкрафт'!C99,""ru"",""en"")"),"Cursed Totem")</f>
        <v>Cursed Totem</v>
      </c>
      <c r="D99" s="3" t="str">
        <f ca="1">IFERROR(__xludf.DUMMYFUNCTION("GOOGLETRANSLATE('Майнкрафт'!D99,""ru"",""en"")"),"Wither Skull")</f>
        <v>Wither Skull</v>
      </c>
      <c r="E99" s="3" t="str">
        <f ca="1">IFERROR(__xludf.DUMMYFUNCTION("GOOGLETRANSLATE('Майнкрафт'!E99,""ru"",""en"")"),"Eye of Ender")</f>
        <v>Eye of Ender</v>
      </c>
      <c r="F99" s="10"/>
      <c r="V99" s="3"/>
    </row>
    <row r="100" spans="1:22" ht="16.5" customHeight="1">
      <c r="A100" s="3" t="str">
        <f ca="1">IFERROR(__xludf.DUMMYFUNCTION("GOOGLETRANSLATE('Майнкрафт'!A100,""ru"",""en"")"),"What enchantment for a mace creates a gust of wind when struck?")</f>
        <v>What enchantment for a mace creates a gust of wind when struck?</v>
      </c>
      <c r="B100" s="3" t="str">
        <f ca="1">IFERROR(__xludf.DUMMYFUNCTION("GOOGLETRANSLATE('Майнкрафт'!B100,""ru"",""en"")"),"Wind squall")</f>
        <v>Wind squall</v>
      </c>
      <c r="C100" s="3" t="str">
        <f ca="1">IFERROR(__xludf.DUMMYFUNCTION("GOOGLETRANSLATE('Майнкрафт'!C100,""ru"",""en"")"),"Discarding")</f>
        <v>Discarding</v>
      </c>
      <c r="D100" s="3" t="str">
        <f ca="1">IFERROR(__xludf.DUMMYFUNCTION("GOOGLETRANSLATE('Майнкрафт'!D100,""ru"",""en"")"),"Shock wave")</f>
        <v>Shock wave</v>
      </c>
      <c r="E100" s="3" t="str">
        <f ca="1">IFERROR(__xludf.DUMMYFUNCTION("GOOGLETRANSLATE('Майнкрафт'!E100,""ru"",""en"")"),"Gust")</f>
        <v>Gust</v>
      </c>
      <c r="F100" s="9"/>
      <c r="V100" s="3"/>
    </row>
    <row r="101" spans="1:22" ht="16.5" customHeight="1">
      <c r="A101" s="3" t="str">
        <f ca="1">IFERROR(__xludf.DUMMYFUNCTION("GOOGLETRANSLATE('Майнкрафт'!A101,""ru"",""en"")"),"What mob doesn't exist in the game?")</f>
        <v>What mob doesn't exist in the game?</v>
      </c>
      <c r="B101" s="3" t="str">
        <f ca="1">IFERROR(__xludf.DUMMYFUNCTION("GOOGLETRANSLATE('Майнкрафт'!B101,""ru"",""en"")"),"Firefly")</f>
        <v>Firefly</v>
      </c>
      <c r="C101" s="3" t="str">
        <f ca="1">IFERROR(__xludf.DUMMYFUNCTION("GOOGLETRANSLATE('Майнкрафт'!C101,""ru"",""en"")"),"Copper Golem")</f>
        <v>Copper Golem</v>
      </c>
      <c r="D101" s="3" t="str">
        <f ca="1">IFERROR(__xludf.DUMMYFUNCTION("GOOGLETRANSLATE('Майнкрафт'!D101,""ru"",""en"")"),"Skripun")</f>
        <v>Skripun</v>
      </c>
      <c r="E101" s="3" t="str">
        <f ca="1">IFERROR(__xludf.DUMMYFUNCTION("GOOGLETRANSLATE('Майнкрафт'!E101,""ru"",""en"")"),"Annoyer")</f>
        <v>Annoyer</v>
      </c>
      <c r="F101" s="9"/>
      <c r="V101" s="3"/>
    </row>
    <row r="102" spans="1:22" ht="16.5" customHeight="1">
      <c r="A102" s="3" t="str">
        <f ca="1">IFERROR(__xludf.DUMMYFUNCTION("GOOGLETRANSLATE('Майнкрафт'!A102,""ru"",""en"")"),"Which mob can open wooden doors on hard difficulty?")</f>
        <v>Which mob can open wooden doors on hard difficulty?</v>
      </c>
      <c r="B102" s="3" t="str">
        <f ca="1">IFERROR(__xludf.DUMMYFUNCTION("GOOGLETRANSLATE('Майнкрафт'!B102,""ru"",""en"")"),"Zombie")</f>
        <v>Zombie</v>
      </c>
      <c r="C102" s="3" t="str">
        <f ca="1">IFERROR(__xludf.DUMMYFUNCTION("GOOGLETRANSLATE('Майнкрафт'!C102,""ru"",""en"")"),"Robber")</f>
        <v>Robber</v>
      </c>
      <c r="D102" s="3" t="str">
        <f ca="1">IFERROR(__xludf.DUMMYFUNCTION("GOOGLETRANSLATE('Майнкрафт'!D102,""ru"",""en"")"),"Piglin")</f>
        <v>Piglin</v>
      </c>
      <c r="E102" s="3" t="str">
        <f ca="1">IFERROR(__xludf.DUMMYFUNCTION("GOOGLETRANSLATE('Майнкрафт'!E102,""ru"",""en"")"),"Drowned")</f>
        <v>Drowned</v>
      </c>
      <c r="F102" s="10"/>
      <c r="V102" s="3"/>
    </row>
    <row r="103" spans="1:22" ht="16.5" customHeight="1">
      <c r="A103" s="3" t="str">
        <f ca="1">IFERROR(__xludf.DUMMYFUNCTION("GOOGLETRANSLATE('Майнкрафт'!A103,""ru"",""en"")"),"What block is used to respawn a player in the Nether?")</f>
        <v>What block is used to respawn a player in the Nether?</v>
      </c>
      <c r="B103" s="3" t="str">
        <f ca="1">IFERROR(__xludf.DUMMYFUNCTION("GOOGLETRANSLATE('Майнкрафт'!B103,""ru"",""en"")"),"Anchor of Rebirth")</f>
        <v>Anchor of Rebirth</v>
      </c>
      <c r="C103" s="3" t="str">
        <f ca="1">IFERROR(__xludf.DUMMYFUNCTION("GOOGLETRANSLATE('Майнкрафт'!C103,""ru"",""en"")"),"Bed")</f>
        <v>Bed</v>
      </c>
      <c r="D103" s="3" t="str">
        <f ca="1">IFERROR(__xludf.DUMMYFUNCTION("GOOGLETRANSLATE('Майнкрафт'!D103,""ru"",""en"")"),"Lighthouse")</f>
        <v>Lighthouse</v>
      </c>
      <c r="E103" s="3" t="str">
        <f ca="1">IFERROR(__xludf.DUMMYFUNCTION("GOOGLETRANSLATE('Майнкрафт'!E103,""ru"",""en"")"),"Portal")</f>
        <v>Portal</v>
      </c>
      <c r="F103" s="10"/>
      <c r="V103" s="3"/>
    </row>
    <row r="104" spans="1:22" ht="16.5" customHeight="1">
      <c r="A104" s="3" t="str">
        <f ca="1">IFERROR(__xludf.DUMMYFUNCTION("GOOGLETRANSLATE('Майнкрафт'!A104,""ru"",""en"")"),"Which Minecraft mob was created due to a bug in the pig modeling?")</f>
        <v>Which Minecraft mob was created due to a bug in the pig modeling?</v>
      </c>
      <c r="B104" s="3" t="str">
        <f ca="1">IFERROR(__xludf.DUMMYFUNCTION("GOOGLETRANSLATE('Майнкрафт'!B104,""ru"",""en"")"),"Creeper")</f>
        <v>Creeper</v>
      </c>
      <c r="C104" s="3" t="str">
        <f ca="1">IFERROR(__xludf.DUMMYFUNCTION("GOOGLETRANSLATE('Майнкрафт'!C104,""ru"",""en"")"),"Enderman")</f>
        <v>Enderman</v>
      </c>
      <c r="D104" s="3" t="str">
        <f ca="1">IFERROR(__xludf.DUMMYFUNCTION("GOOGLETRANSLATE('Майнкрафт'!D104,""ru"",""en"")"),"Zombie")</f>
        <v>Zombie</v>
      </c>
      <c r="E104" s="3" t="str">
        <f ca="1">IFERROR(__xludf.DUMMYFUNCTION("GOOGLETRANSLATE('Майнкрафт'!E104,""ru"",""en"")"),"Skeleton")</f>
        <v>Skeleton</v>
      </c>
      <c r="F104" s="10"/>
      <c r="V104" s="3"/>
    </row>
    <row r="105" spans="1:22" ht="16.5" customHeight="1">
      <c r="A105" s="3" t="str">
        <f ca="1">IFERROR(__xludf.DUMMYFUNCTION("GOOGLETRANSLATE('Майнкрафт'!A105,""ru"",""en"")"),"What light level is required for the mob spawner to work?")</f>
        <v>What light level is required for the mob spawner to work?</v>
      </c>
      <c r="B105" s="3" t="str">
        <f ca="1">IFERROR(__xludf.DUMMYFUNCTION("GOOGLETRANSLATE('Майнкрафт'!B105,""ru"",""en"")"),"Any")</f>
        <v>Any</v>
      </c>
      <c r="C105" s="3" t="str">
        <f ca="1">IFERROR(__xludf.DUMMYFUNCTION("GOOGLETRANSLATE('Майнкрафт'!C105,""ru"",""en"")"),"7 or below")</f>
        <v>7 or below</v>
      </c>
      <c r="D105" s="3" t="str">
        <f ca="1">IFERROR(__xludf.DUMMYFUNCTION("GOOGLETRANSLATE('Майнкрафт'!D105,""ru"",""en"")"),"Only complete darkness (0)")</f>
        <v>Only complete darkness (0)</v>
      </c>
      <c r="E105" s="3" t="str">
        <f ca="1">IFERROR(__xludf.DUMMYFUNCTION("GOOGLETRANSLATE('Майнкрафт'!E105,""ru"",""en"")"),"11 or below")</f>
        <v>11 or below</v>
      </c>
      <c r="F105" s="10"/>
      <c r="V105" s="3"/>
    </row>
    <row r="106" spans="1:22" ht="16.5" customHeight="1">
      <c r="A106" s="3" t="str">
        <f ca="1">IFERROR(__xludf.DUMMYFUNCTION("GOOGLETRANSLATE('Майнкрафт'!A106,""ru"",""en"")"),"What item is required to activate the portal to the End?")</f>
        <v>What item is required to activate the portal to the End?</v>
      </c>
      <c r="B106" s="3" t="str">
        <f ca="1">IFERROR(__xludf.DUMMYFUNCTION("GOOGLETRANSLATE('Майнкрафт'!B106,""ru"",""en"")"),"Eye of Ender")</f>
        <v>Eye of Ender</v>
      </c>
      <c r="C106" s="3" t="str">
        <f ca="1">IFERROR(__xludf.DUMMYFUNCTION("GOOGLETRANSLATE('Майнкрафт'!C106,""ru"",""en"")"),"Pearl of the End")</f>
        <v>Pearl of the End</v>
      </c>
      <c r="D106" s="3" t="str">
        <f ca="1">IFERROR(__xludf.DUMMYFUNCTION("GOOGLETRANSLATE('Майнкрафт'!D106,""ru"",""en"")"),"End Crystal")</f>
        <v>End Crystal</v>
      </c>
      <c r="E106" s="3" t="str">
        <f ca="1">IFERROR(__xludf.DUMMYFUNCTION("GOOGLETRANSLATE('Майнкрафт'!E106,""ru"",""en"")"),"Tear of Gast")</f>
        <v>Tear of Gast</v>
      </c>
      <c r="F106" s="10"/>
      <c r="V106" s="3"/>
    </row>
    <row r="107" spans="1:22" ht="16.5" customHeight="1">
      <c r="A107" s="3" t="str">
        <f ca="1">IFERROR(__xludf.DUMMYFUNCTION("GOOGLETRANSLATE('Майнкрафт'!A107,""ru"",""en"")"),"How many ticks per second does Minecraft Java Edition's game logic use?")</f>
        <v>How many ticks per second does Minecraft Java Edition's game logic use?</v>
      </c>
      <c r="B107" s="3" t="str">
        <f ca="1">IFERROR(__xludf.DUMMYFUNCTION("GOOGLETRANSLATE('Майнкрафт'!B107,""ru"",""en"")"),"20")</f>
        <v>20</v>
      </c>
      <c r="C107" s="3" t="str">
        <f ca="1">IFERROR(__xludf.DUMMYFUNCTION("GOOGLETRANSLATE('Майнкрафт'!C107,""ru"",""en"")"),"30")</f>
        <v>30</v>
      </c>
      <c r="D107" s="3" t="str">
        <f ca="1">IFERROR(__xludf.DUMMYFUNCTION("GOOGLETRANSLATE('Майнкрафт'!D107,""ru"",""en"")"),"60")</f>
        <v>60</v>
      </c>
      <c r="E107" s="3" t="str">
        <f ca="1">IFERROR(__xludf.DUMMYFUNCTION("GOOGLETRANSLATE('Майнкрафт'!E107,""ru"",""en"")"),"24")</f>
        <v>24</v>
      </c>
      <c r="F107" s="10"/>
      <c r="V107" s="3"/>
    </row>
    <row r="108" spans="1:22" ht="16.5" customHeight="1">
      <c r="A108" s="3" t="str">
        <f ca="1">IFERROR(__xludf.DUMMYFUNCTION("GOOGLETRANSLATE('Майнкрафт'!A108,""ru"",""en"")"),"What effect can be selected for the lighthouse only when the pyramid is at maximum size?")</f>
        <v>What effect can be selected for the lighthouse only when the pyramid is at maximum size?</v>
      </c>
      <c r="B108" s="3" t="str">
        <f ca="1">IFERROR(__xludf.DUMMYFUNCTION("GOOGLETRANSLATE('Майнкрафт'!B108,""ru"",""en"")"),"Regeneration")</f>
        <v>Regeneration</v>
      </c>
      <c r="C108" s="3" t="str">
        <f ca="1">IFERROR(__xludf.DUMMYFUNCTION("GOOGLETRANSLATE('Майнкрафт'!C108,""ru"",""en"")"),"Speed")</f>
        <v>Speed</v>
      </c>
      <c r="D108" s="3" t="str">
        <f ca="1">IFERROR(__xludf.DUMMYFUNCTION("GOOGLETRANSLATE('Майнкрафт'!D108,""ru"",""en"")"),"Strength")</f>
        <v>Strength</v>
      </c>
      <c r="E108" s="3" t="str">
        <f ca="1">IFERROR(__xludf.DUMMYFUNCTION("GOOGLETRANSLATE('Майнкрафт'!E108,""ru"",""en"")"),"Jumping ability")</f>
        <v>Jumping ability</v>
      </c>
      <c r="F108" s="10"/>
      <c r="V108" s="3"/>
    </row>
    <row r="109" spans="1:22" ht="16.5" customHeight="1">
      <c r="A109" s="3" t="str">
        <f ca="1">IFERROR(__xludf.DUMMYFUNCTION("GOOGLETRANSLATE('Майнкрафт'!A109,""ru"",""en"")"),"In which biome do camels naturally spawn?")</f>
        <v>In which biome do camels naturally spawn?</v>
      </c>
      <c r="B109" s="3" t="str">
        <f ca="1">IFERROR(__xludf.DUMMYFUNCTION("GOOGLETRANSLATE('Майнкрафт'!B109,""ru"",""en"")"),"Desert")</f>
        <v>Desert</v>
      </c>
      <c r="C109" s="3" t="str">
        <f ca="1">IFERROR(__xludf.DUMMYFUNCTION("GOOGLETRANSLATE('Майнкрафт'!C109,""ru"",""en"")"),"Savannah")</f>
        <v>Savannah</v>
      </c>
      <c r="D109" s="3" t="str">
        <f ca="1">IFERROR(__xludf.DUMMYFUNCTION("GOOGLETRANSLATE('Майнкрафт'!D109,""ru"",""en"")"),"Desert Hills")</f>
        <v>Desert Hills</v>
      </c>
      <c r="E109" s="3" t="str">
        <f ca="1">IFERROR(__xludf.DUMMYFUNCTION("GOOGLETRANSLATE('Майнкрафт'!E109,""ru"",""en"")"),"Mesa")</f>
        <v>Mesa</v>
      </c>
      <c r="F109" s="10"/>
      <c r="V109" s="3"/>
    </row>
    <row r="110" spans="1:22" ht="16.5" customHeight="1">
      <c r="A110" s="3" t="str">
        <f ca="1">IFERROR(__xludf.DUMMYFUNCTION("GOOGLETRANSLATE('Майнкрафт'!A110,""ru"",""en"")"),"What item always points to the world spawn point (or respawn anchor)?")</f>
        <v>What item always points to the world spawn point (or respawn anchor)?</v>
      </c>
      <c r="B110" s="3" t="str">
        <f ca="1">IFERROR(__xludf.DUMMYFUNCTION("GOOGLETRANSLATE('Майнкрафт'!B110,""ru"",""en"")"),"Compass")</f>
        <v>Compass</v>
      </c>
      <c r="C110" s="3" t="str">
        <f ca="1">IFERROR(__xludf.DUMMYFUNCTION("GOOGLETRANSLATE('Майнкрафт'!C110,""ru"",""en"")"),"Map")</f>
        <v>Map</v>
      </c>
      <c r="D110" s="3" t="str">
        <f ca="1">IFERROR(__xludf.DUMMYFUNCTION("GOOGLETRANSLATE('Майнкрафт'!D110,""ru"",""en"")"),"Watch")</f>
        <v>Watch</v>
      </c>
      <c r="E110" s="3" t="str">
        <f ca="1">IFERROR(__xludf.DUMMYFUNCTION("GOOGLETRANSLATE('Майнкрафт'!E110,""ru"",""en"")"),"Eye of Ender")</f>
        <v>Eye of Ender</v>
      </c>
      <c r="F110" s="10"/>
      <c r="V110" s="3"/>
    </row>
    <row r="111" spans="1:22" ht="16.5" customHeight="1">
      <c r="A111" s="3" t="str">
        <f ca="1">IFERROR(__xludf.DUMMYFUNCTION("GOOGLETRANSLATE('Майнкрафт'!A111,""ru"",""en"")"),"What is the maximum jump height a normal horse can have without any effects?")</f>
        <v>What is the maximum jump height a normal horse can have without any effects?</v>
      </c>
      <c r="B111" s="3" t="str">
        <f ca="1">IFERROR(__xludf.DUMMYFUNCTION("GOOGLETRANSLATE('Майнкрафт'!B111,""ru"",""en"")"),"Up to 5 blocks")</f>
        <v>Up to 5 blocks</v>
      </c>
      <c r="C111" s="3" t="str">
        <f ca="1">IFERROR(__xludf.DUMMYFUNCTION("GOOGLETRANSLATE('Майнкрафт'!C111,""ru"",""en"")"),"Up to 3 blocks")</f>
        <v>Up to 3 blocks</v>
      </c>
      <c r="D111" s="3" t="str">
        <f ca="1">IFERROR(__xludf.DUMMYFUNCTION("GOOGLETRANSLATE('Майнкрафт'!D111,""ru"",""en"")"),"Up to 4 blocks")</f>
        <v>Up to 4 blocks</v>
      </c>
      <c r="E111" s="3" t="str">
        <f ca="1">IFERROR(__xludf.DUMMYFUNCTION("GOOGLETRANSLATE('Майнкрафт'!E111,""ru"",""en"")"),"Up to 2 blocks")</f>
        <v>Up to 2 blocks</v>
      </c>
      <c r="F111" s="10"/>
      <c r="V111" s="3"/>
    </row>
    <row r="112" spans="1:22" ht="16.5" customHeight="1">
      <c r="A112" s="3" t="str">
        <f ca="1">IFERROR(__xludf.DUMMYFUNCTION("GOOGLETRANSLATE('Майнкрафт'!A112,""ru"",""en"")"),"What effect does the suspicious dandelion soup have?")</f>
        <v>What effect does the suspicious dandelion soup have?</v>
      </c>
      <c r="B112" s="3" t="str">
        <f ca="1">IFERROR(__xludf.DUMMYFUNCTION("GOOGLETRANSLATE('Майнкрафт'!B112,""ru"",""en"")"),"Saturation")</f>
        <v>Saturation</v>
      </c>
      <c r="C112" s="3" t="str">
        <f ca="1">IFERROR(__xludf.DUMMYFUNCTION("GOOGLETRANSLATE('Майнкрафт'!C112,""ru"",""en"")"),"Regeneration")</f>
        <v>Regeneration</v>
      </c>
      <c r="D112" s="3" t="str">
        <f ca="1">IFERROR(__xludf.DUMMYFUNCTION("GOOGLETRANSLATE('Майнкрафт'!D112,""ru"",""en"")"),"Speed")</f>
        <v>Speed</v>
      </c>
      <c r="E112" s="3" t="str">
        <f ca="1">IFERROR(__xludf.DUMMYFUNCTION("GOOGLETRANSLATE('Майнкрафт'!E112,""ru"",""en"")"),"Blindness")</f>
        <v>Blindness</v>
      </c>
      <c r="F112" s="10"/>
      <c r="V112" s="3"/>
    </row>
    <row r="113" spans="1:22" ht="16.5" customHeight="1">
      <c r="A113" s="3" t="str">
        <f ca="1">IFERROR(__xludf.DUMMYFUNCTION("GOOGLETRANSLATE('Майнкрафт'!A113,""ru"",""en"")"),"What item is used to breed and tame foxes?")</f>
        <v>What item is used to breed and tame foxes?</v>
      </c>
      <c r="B113" s="3" t="str">
        <f ca="1">IFERROR(__xludf.DUMMYFUNCTION("GOOGLETRANSLATE('Майнкрафт'!B113,""ru"",""en"")"),"Sweet berries")</f>
        <v>Sweet berries</v>
      </c>
      <c r="C113" s="3" t="str">
        <f ca="1">IFERROR(__xludf.DUMMYFUNCTION("GOOGLETRANSLATE('Майнкрафт'!C113,""ru"",""en"")"),"Apple")</f>
        <v>Apple</v>
      </c>
      <c r="D113" s="3" t="str">
        <f ca="1">IFERROR(__xludf.DUMMYFUNCTION("GOOGLETRANSLATE('Майнкрафт'!D113,""ru"",""en"")"),"Carrot")</f>
        <v>Carrot</v>
      </c>
      <c r="E113" s="3" t="str">
        <f ca="1">IFERROR(__xludf.DUMMYFUNCTION("GOOGLETRANSLATE('Майнкрафт'!E113,""ru"",""en"")"),"Wheat")</f>
        <v>Wheat</v>
      </c>
      <c r="F113" s="10"/>
      <c r="V113" s="3"/>
    </row>
    <row r="114" spans="1:22" ht="16.5" customHeight="1">
      <c r="A114" s="3" t="str">
        <f ca="1">IFERROR(__xludf.DUMMYFUNCTION("GOOGLETRANSLATE('Майнкрафт'!A114,""ru"",""en"")"),"What unique effect does a full set of netherite armor provide?")</f>
        <v>What unique effect does a full set of netherite armor provide?</v>
      </c>
      <c r="B114" s="3" t="str">
        <f ca="1">IFERROR(__xludf.DUMMYFUNCTION("GOOGLETRANSLATE('Майнкрафт'!B114,""ru"",""en"")"),"Knockback reduction")</f>
        <v>Knockback reduction</v>
      </c>
      <c r="C114" s="3" t="str">
        <f ca="1">IFERROR(__xludf.DUMMYFUNCTION("GOOGLETRANSLATE('Майнкрафт'!C114,""ru"",""en"")"),"Fire resistance")</f>
        <v>Fire resistance</v>
      </c>
      <c r="D114" s="3" t="str">
        <f ca="1">IFERROR(__xludf.DUMMYFUNCTION("GOOGLETRANSLATE('Майнкрафт'!D114,""ru"",""en"")"),"Regeneration")</f>
        <v>Regeneration</v>
      </c>
      <c r="E114" s="3" t="str">
        <f ca="1">IFERROR(__xludf.DUMMYFUNCTION("GOOGLETRANSLATE('Майнкрафт'!E114,""ru"",""en"")"),"Damage resistance")</f>
        <v>Damage resistance</v>
      </c>
      <c r="F114" s="10"/>
      <c r="V114" s="3"/>
    </row>
    <row r="115" spans="1:22" ht="16.5" customHeight="1">
      <c r="A115" s="3" t="str">
        <f ca="1">IFERROR(__xludf.DUMMYFUNCTION("GOOGLETRANSLATE('Майнкрафт'!A115,""ru"",""en"")"),"What is the maximum number of players that can ride on one boat?")</f>
        <v>What is the maximum number of players that can ride on one boat?</v>
      </c>
      <c r="B115" s="3" t="str">
        <f ca="1">IFERROR(__xludf.DUMMYFUNCTION("GOOGLETRANSLATE('Майнкрафт'!B115,""ru"",""en"")"),"2")</f>
        <v>2</v>
      </c>
      <c r="C115" s="3" t="str">
        <f ca="1">IFERROR(__xludf.DUMMYFUNCTION("GOOGLETRANSLATE('Майнкрафт'!C115,""ru"",""en"")"),"1")</f>
        <v>1</v>
      </c>
      <c r="D115" s="3" t="str">
        <f ca="1">IFERROR(__xludf.DUMMYFUNCTION("GOOGLETRANSLATE('Майнкрафт'!D115,""ru"",""en"")"),"3")</f>
        <v>3</v>
      </c>
      <c r="E115" s="3" t="str">
        <f ca="1">IFERROR(__xludf.DUMMYFUNCTION("GOOGLETRANSLATE('Майнкрафт'!E115,""ru"",""en"")"),"4")</f>
        <v>4</v>
      </c>
      <c r="F115" s="10"/>
      <c r="V115" s="3"/>
    </row>
    <row r="116" spans="1:22" ht="16.5" customHeight="1">
      <c r="A116" s="3" t="str">
        <f ca="1">IFERROR(__xludf.DUMMYFUNCTION("GOOGLETRANSLATE('Майнкрафт'!A116,""ru"",""en"")"),"Which tool breaks cobwebs the fastest?")</f>
        <v>Which tool breaks cobwebs the fastest?</v>
      </c>
      <c r="B116" s="3" t="str">
        <f ca="1">IFERROR(__xludf.DUMMYFUNCTION("GOOGLETRANSLATE('Майнкрафт'!B116,""ru"",""en"")"),"Sword")</f>
        <v>Sword</v>
      </c>
      <c r="C116" s="3" t="str">
        <f ca="1">IFERROR(__xludf.DUMMYFUNCTION("GOOGLETRANSLATE('Майнкрафт'!C116,""ru"",""en"")"),"Axe")</f>
        <v>Axe</v>
      </c>
      <c r="D116" s="3" t="str">
        <f ca="1">IFERROR(__xludf.DUMMYFUNCTION("GOOGLETRANSLATE('Майнкрафт'!D116,""ru"",""en"")"),"Pick")</f>
        <v>Pick</v>
      </c>
      <c r="E116" s="3" t="str">
        <f ca="1">IFERROR(__xludf.DUMMYFUNCTION("GOOGLETRANSLATE('Майнкрафт'!E116,""ru"",""en"")"),"Hoe")</f>
        <v>Hoe</v>
      </c>
      <c r="F116" s="10"/>
      <c r="V116" s="3"/>
    </row>
    <row r="117" spans="1:22" ht="16.5" customHeight="1">
      <c r="A117" s="3" t="str">
        <f ca="1">IFERROR(__xludf.DUMMYFUNCTION("GOOGLETRANSLATE('Майнкрафт'!A117,""ru"",""en"")"),"Which mob does NOT spawn naturally in the Overworld?")</f>
        <v>Which mob does NOT spawn naturally in the Overworld?</v>
      </c>
      <c r="B117" s="3" t="str">
        <f ca="1">IFERROR(__xludf.DUMMYFUNCTION("GOOGLETRANSLATE('Майнкрафт'!B117,""ru"",""en"")"),"Mule")</f>
        <v>Mule</v>
      </c>
      <c r="C117" s="3" t="str">
        <f ca="1">IFERROR(__xludf.DUMMYFUNCTION("GOOGLETRANSLATE('Майнкрафт'!C117,""ru"",""en"")"),"Zombie Horse")</f>
        <v>Zombie Horse</v>
      </c>
      <c r="D117" s="3" t="str">
        <f ca="1">IFERROR(__xludf.DUMMYFUNCTION("GOOGLETRANSLATE('Майнкрафт'!D117,""ru"",""en"")"),"Slug")</f>
        <v>Slug</v>
      </c>
      <c r="E117" s="3" t="str">
        <f ca="1">IFERROR(__xludf.DUMMYFUNCTION("GOOGLETRANSLATE('Майнкрафт'!E117,""ru"",""en"")"),"Zombie Resident")</f>
        <v>Zombie Resident</v>
      </c>
      <c r="F117" s="10"/>
      <c r="V117" s="3"/>
    </row>
    <row r="118" spans="1:22" ht="16.5" customHeight="1">
      <c r="A118" s="3" t="str">
        <f ca="1">IFERROR(__xludf.DUMMYFUNCTION("GOOGLETRANSLATE('Майнкрафт'!A118,""ru"",""en"")"),"What effect does the Turtle Master potion have?")</f>
        <v>What effect does the Turtle Master potion have?</v>
      </c>
      <c r="B118" s="3" t="str">
        <f ca="1">IFERROR(__xludf.DUMMYFUNCTION("GOOGLETRANSLATE('Майнкрафт'!B118,""ru"",""en"")"),"Damage resistance and slow")</f>
        <v>Damage resistance and slow</v>
      </c>
      <c r="C118" s="3" t="str">
        <f ca="1">IFERROR(__xludf.DUMMYFUNCTION("GOOGLETRANSLATE('Майнкрафт'!C118,""ru"",""en"")"),"Regeneration and slowdown")</f>
        <v>Regeneration and slowdown</v>
      </c>
      <c r="D118" s="3" t="str">
        <f ca="1">IFERROR(__xludf.DUMMYFUNCTION("GOOGLETRANSLATE('Майнкрафт'!D118,""ru"",""en"")"),"Fire resistance and weakness")</f>
        <v>Fire resistance and weakness</v>
      </c>
      <c r="E118" s="3" t="str">
        <f ca="1">IFERROR(__xludf.DUMMYFUNCTION("GOOGLETRANSLATE('Майнкрафт'!E118,""ru"",""en"")"),"Absorption and slowness")</f>
        <v>Absorption and slowness</v>
      </c>
      <c r="F118" s="10"/>
      <c r="V118" s="3"/>
    </row>
    <row r="119" spans="1:22" ht="16.5" customHeight="1">
      <c r="A119" s="3" t="str">
        <f ca="1">IFERROR(__xludf.DUMMYFUNCTION("GOOGLETRANSLATE('Майнкрафт'!A119,""ru"",""en"")"),"Which mob ignores the player's invisibility effect?")</f>
        <v>Which mob ignores the player's invisibility effect?</v>
      </c>
      <c r="B119" s="3" t="str">
        <f ca="1">IFERROR(__xludf.DUMMYFUNCTION("GOOGLETRANSLATE('Майнкрафт'!B119,""ru"",""en"")"),"Ender Dragon")</f>
        <v>Ender Dragon</v>
      </c>
      <c r="C119" s="3" t="str">
        <f ca="1">IFERROR(__xludf.DUMMYFUNCTION("GOOGLETRANSLATE('Майнкрафт'!C119,""ru"",""en"")"),"Enderman")</f>
        <v>Enderman</v>
      </c>
      <c r="D119" s="3" t="str">
        <f ca="1">IFERROR(__xludf.DUMMYFUNCTION("GOOGLETRANSLATE('Майнкрафт'!D119,""ru"",""en"")"),"Guardian")</f>
        <v>Guardian</v>
      </c>
      <c r="E119" s="3" t="str">
        <f ca="1">IFERROR(__xludf.DUMMYFUNCTION("GOOGLETRANSLATE('Майнкрафт'!E119,""ru"",""en"")"),"Iron Golem")</f>
        <v>Iron Golem</v>
      </c>
      <c r="F119" s="10"/>
      <c r="V119" s="3"/>
    </row>
    <row r="120" spans="1:22" ht="16.5" customHeight="1">
      <c r="A120" s="3" t="str">
        <f ca="1">IFERROR(__xludf.DUMMYFUNCTION("GOOGLETRANSLATE('Майнкрафт'!A120,""ru"",""en"")"),"What item is used to charge the respawn anchor?")</f>
        <v>What item is used to charge the respawn anchor?</v>
      </c>
      <c r="B120" s="3" t="str">
        <f ca="1">IFERROR(__xludf.DUMMYFUNCTION("GOOGLETRANSLATE('Майнкрафт'!B120,""ru"",""en"")"),"Svetokameny")</f>
        <v>Svetokameny</v>
      </c>
      <c r="C120" s="3" t="str">
        <f ca="1">IFERROR(__xludf.DUMMYFUNCTION("GOOGLETRANSLATE('Майнкрафт'!C120,""ru"",""en"")"),"Powder")</f>
        <v>Powder</v>
      </c>
      <c r="D120" s="3" t="str">
        <f ca="1">IFERROR(__xludf.DUMMYFUNCTION("GOOGLETRANSLATE('Майнкрафт'!D120,""ru"",""en"")"),"Fire Rod")</f>
        <v>Fire Rod</v>
      </c>
      <c r="E120" s="3" t="str">
        <f ca="1">IFERROR(__xludf.DUMMYFUNCTION("GOOGLETRANSLATE('Майнкрафт'!E120,""ru"",""en"")"),"Magma block")</f>
        <v>Magma block</v>
      </c>
      <c r="F120" s="10"/>
      <c r="V120" s="3"/>
    </row>
    <row r="121" spans="1:22" ht="16.5" customHeight="1">
      <c r="A121" s="3" t="str">
        <f ca="1">IFERROR(__xludf.DUMMYFUNCTION("GOOGLETRANSLATE('Майнкрафт'!A121,""ru"",""en"")"),"Which block allows you to smelt ores faster than a regular furnace?")</f>
        <v>Which block allows you to smelt ores faster than a regular furnace?</v>
      </c>
      <c r="B121" s="3" t="str">
        <f ca="1">IFERROR(__xludf.DUMMYFUNCTION("GOOGLETRANSLATE('Майнкрафт'!B121,""ru"",""en"")"),"Smelting furnace")</f>
        <v>Smelting furnace</v>
      </c>
      <c r="C121" s="3" t="str">
        <f ca="1">IFERROR(__xludf.DUMMYFUNCTION("GOOGLETRANSLATE('Майнкрафт'!C121,""ru"",""en"")"),"Smokehouse")</f>
        <v>Smokehouse</v>
      </c>
      <c r="D121" s="3" t="str">
        <f ca="1">IFERROR(__xludf.DUMMYFUNCTION("GOOGLETRANSLATE('Майнкрафт'!D121,""ru"",""en"")"),"Stone cutter")</f>
        <v>Stone cutter</v>
      </c>
      <c r="E121" s="3" t="str">
        <f ca="1">IFERROR(__xludf.DUMMYFUNCTION("GOOGLETRANSLATE('Майнкрафт'!E121,""ru"",""en"")"),"Blast furnace")</f>
        <v>Blast furnace</v>
      </c>
      <c r="F121" s="10"/>
      <c r="V121" s="3"/>
    </row>
    <row r="122" spans="1:22" ht="16.5" customHeight="1">
      <c r="A122" s="3" t="str">
        <f ca="1">IFERROR(__xludf.DUMMYFUNCTION("GOOGLETRANSLATE('Майнкрафт'!A122,""ru"",""en"")"),"What block is used to change the profession of a librarian villager?")</f>
        <v>What block is used to change the profession of a librarian villager?</v>
      </c>
      <c r="B122" s="3" t="str">
        <f ca="1">IFERROR(__xludf.DUMMYFUNCTION("GOOGLETRANSLATE('Майнкрафт'!B122,""ru"",""en"")"),"Department")</f>
        <v>Department</v>
      </c>
      <c r="C122" s="3" t="str">
        <f ca="1">IFERROR(__xludf.DUMMYFUNCTION("GOOGLETRANSLATE('Майнкрафт'!C122,""ru"",""en"")"),"Punch")</f>
        <v>Punch</v>
      </c>
      <c r="D122" s="3" t="str">
        <f ca="1">IFERROR(__xludf.DUMMYFUNCTION("GOOGLETRANSLATE('Майнкрафт'!D122,""ru"",""en"")"),"Smokehouse")</f>
        <v>Smokehouse</v>
      </c>
      <c r="E122" s="3" t="str">
        <f ca="1">IFERROR(__xludf.DUMMYFUNCTION("GOOGLETRANSLATE('Майнкрафт'!E122,""ru"",""en"")"),"Sharpener")</f>
        <v>Sharpener</v>
      </c>
      <c r="F122" s="10"/>
      <c r="V122" s="3"/>
    </row>
    <row r="123" spans="1:22" ht="16.5" customHeight="1">
      <c r="A123" s="3" t="str">
        <f ca="1">IFERROR(__xludf.DUMMYFUNCTION("GOOGLETRANSLATE('Майнкрафт'!A123,""ru"",""en"")"),"What is the maximum level the Sharpness enchantment can have without commands?")</f>
        <v>What is the maximum level the Sharpness enchantment can have without commands?</v>
      </c>
      <c r="B123" s="3" t="str">
        <f ca="1">IFERROR(__xludf.DUMMYFUNCTION("GOOGLETRANSLATE('Майнкрафт'!B123,""ru"",""en"")"),"V")</f>
        <v>V</v>
      </c>
      <c r="C123" s="3" t="str">
        <f ca="1">IFERROR(__xludf.DUMMYFUNCTION("GOOGLETRANSLATE('Майнкрафт'!C123,""ru"",""en"")"),"IV")</f>
        <v>IV</v>
      </c>
      <c r="D123" s="3" t="str">
        <f ca="1">IFERROR(__xludf.DUMMYFUNCTION("GOOGLETRANSLATE('Майнкрафт'!D123,""ru"",""en"")"),"VI")</f>
        <v>VI</v>
      </c>
      <c r="E123" s="3" t="str">
        <f ca="1">IFERROR(__xludf.DUMMYFUNCTION("GOOGLETRANSLATE('Майнкрафт'!E123,""ru"",""en"")"),"III")</f>
        <v>III</v>
      </c>
      <c r="F123" s="10"/>
      <c r="V123" s="3"/>
    </row>
    <row r="124" spans="1:22" ht="16.5" customHeight="1">
      <c r="A124" s="3" t="str">
        <f ca="1">IFERROR(__xludf.DUMMYFUNCTION("GOOGLETRANSLATE('Майнкрафт'!A124,""ru"",""en"")"),"What effect does the Wither Skeleton Skull have on the player?")</f>
        <v>What effect does the Wither Skeleton Skull have on the player?</v>
      </c>
      <c r="B124" s="3" t="str">
        <f ca="1">IFERROR(__xludf.DUMMYFUNCTION("GOOGLETRANSLATE('Майнкрафт'!B124,""ru"",""en"")"),"The player is less likely to attract the attention of skeletons")</f>
        <v>The player is less likely to attract the attention of skeletons</v>
      </c>
      <c r="C124" s="3" t="str">
        <f ca="1">IFERROR(__xludf.DUMMYFUNCTION("GOOGLETRANSLATE('Майнкрафт'!C124,""ru"",""en"")"),"There is no effect")</f>
        <v>There is no effect</v>
      </c>
      <c r="D124" s="3" t="str">
        <f ca="1">IFERROR(__xludf.DUMMYFUNCTION("GOOGLETRANSLATE('Майнкрафт'!D124,""ru"",""en"")"),"Damage resistance")</f>
        <v>Damage resistance</v>
      </c>
      <c r="E124" s="3" t="str">
        <f ca="1">IFERROR(__xludf.DUMMYFUNCTION("GOOGLETRANSLATE('Майнкрафт'!E124,""ru"",""en"")"),"Immunity to desiccation")</f>
        <v>Immunity to desiccation</v>
      </c>
      <c r="F124" s="10"/>
      <c r="V124" s="3"/>
    </row>
    <row r="125" spans="1:22" ht="16.5" customHeight="1">
      <c r="A125" s="3" t="str">
        <f ca="1">IFERROR(__xludf.DUMMYFUNCTION("GOOGLETRANSLATE('Майнкрафт'!A125,""ru"",""en"")"),"Which block completely blocks the propagation of sound vibrations from the skull sensor?")</f>
        <v>Which block completely blocks the propagation of sound vibrations from the skull sensor?</v>
      </c>
      <c r="B125" s="3" t="str">
        <f ca="1">IFERROR(__xludf.DUMMYFUNCTION("GOOGLETRANSLATE('Майнкрафт'!B125,""ru"",""en"")"),"Wool")</f>
        <v>Wool</v>
      </c>
      <c r="C125" s="3" t="str">
        <f ca="1">IFERROR(__xludf.DUMMYFUNCTION("GOOGLETRANSLATE('Майнкрафт'!C125,""ru"",""en"")"),"Glass")</f>
        <v>Glass</v>
      </c>
      <c r="D125" s="3" t="str">
        <f ca="1">IFERROR(__xludf.DUMMYFUNCTION("GOOGLETRANSLATE('Майнкрафт'!D125,""ru"",""en"")"),"Ice")</f>
        <v>Ice</v>
      </c>
      <c r="E125" s="3" t="str">
        <f ca="1">IFERROR(__xludf.DUMMYFUNCTION("GOOGLETRANSLATE('Майнкрафт'!E125,""ru"",""en"")"),"Foliage")</f>
        <v>Foliage</v>
      </c>
      <c r="F125" s="10"/>
      <c r="V125" s="3"/>
    </row>
    <row r="126" spans="1:22" ht="16.5" customHeight="1">
      <c r="A126" s="3" t="str">
        <f ca="1">IFERROR(__xludf.DUMMYFUNCTION("GOOGLETRANSLATE('Майнкрафт'!A126,""ru"",""en"")"),"How many nights without sleep do phantoms start to appear?")</f>
        <v>How many nights without sleep do phantoms start to appear?</v>
      </c>
      <c r="B126" s="3" t="str">
        <f ca="1">IFERROR(__xludf.DUMMYFUNCTION("GOOGLETRANSLATE('Майнкрафт'!B126,""ru"",""en"")"),"After 3 nights without sleep")</f>
        <v>After 3 nights without sleep</v>
      </c>
      <c r="C126" s="3" t="str">
        <f ca="1">IFERROR(__xludf.DUMMYFUNCTION("GOOGLETRANSLATE('Майнкрафт'!C126,""ru"",""en"")"),"After 1 night without sleep")</f>
        <v>After 1 night without sleep</v>
      </c>
      <c r="D126" s="3" t="str">
        <f ca="1">IFERROR(__xludf.DUMMYFUNCTION("GOOGLETRANSLATE('Майнкрафт'!D126,""ru"",""en"")"),"After 7 nights without sleep")</f>
        <v>After 7 nights without sleep</v>
      </c>
      <c r="E126" s="3" t="str">
        <f ca="1">IFERROR(__xludf.DUMMYFUNCTION("GOOGLETRANSLATE('Майнкрафт'!E126,""ru"",""en"")"),"They appear every night")</f>
        <v>They appear every night</v>
      </c>
      <c r="F126" s="10"/>
      <c r="V126" s="3"/>
    </row>
    <row r="127" spans="1:22" ht="16.5" customHeight="1">
      <c r="A127" s="3" t="str">
        <f ca="1">IFERROR(__xludf.DUMMYFUNCTION("GOOGLETRANSLATE('Майнкрафт'!A127,""ru"",""en"")"),"What is the chance of Endermite appearing when using Ender Pearls?")</f>
        <v>What is the chance of Endermite appearing when using Ender Pearls?</v>
      </c>
      <c r="B127" s="3" t="str">
        <f ca="1">IFERROR(__xludf.DUMMYFUNCTION("GOOGLETRANSLATE('Майнкрафт'!B127,""ru"",""en"")"),"5%")</f>
        <v>5%</v>
      </c>
      <c r="C127" s="3" t="str">
        <f ca="1">IFERROR(__xludf.DUMMYFUNCTION("GOOGLETRANSLATE('Майнкрафт'!C127,""ru"",""en"")"),"1%")</f>
        <v>1%</v>
      </c>
      <c r="D127" s="3" t="str">
        <f ca="1">IFERROR(__xludf.DUMMYFUNCTION("GOOGLETRANSLATE('Майнкрафт'!D127,""ru"",""en"")"),"10%")</f>
        <v>10%</v>
      </c>
      <c r="E127" s="3" t="str">
        <f ca="1">IFERROR(__xludf.DUMMYFUNCTION("GOOGLETRANSLATE('Майнкрафт'!E127,""ru"",""en"")"),"20%")</f>
        <v>20%</v>
      </c>
      <c r="F127" s="10"/>
      <c r="V127" s="3"/>
    </row>
    <row r="128" spans="1:22" ht="16.5" customHeight="1">
      <c r="A128" s="3" t="str">
        <f ca="1">IFERROR(__xludf.DUMMYFUNCTION("GOOGLETRANSLATE('Майнкрафт'!A128,""ru"",""en"")"),"What item is used to control the strider?")</f>
        <v>What item is used to control the strider?</v>
      </c>
      <c r="B128" s="3" t="str">
        <f ca="1">IFERROR(__xludf.DUMMYFUNCTION("GOOGLETRANSLATE('Майнкрафт'!B128,""ru"",""en"")"),"A fishing rod with a distorted mushroom")</f>
        <v>A fishing rod with a distorted mushroom</v>
      </c>
      <c r="C128" s="3" t="str">
        <f ca="1">IFERROR(__xludf.DUMMYFUNCTION("GOOGLETRANSLATE('Майнкрафт'!C128,""ru"",""en"")"),"Fishing rod with carrot")</f>
        <v>Fishing rod with carrot</v>
      </c>
      <c r="D128" s="3" t="str">
        <f ca="1">IFERROR(__xludf.DUMMYFUNCTION("GOOGLETRANSLATE('Майнкрафт'!D128,""ru"",""en"")"),"Fishing rod")</f>
        <v>Fishing rod</v>
      </c>
      <c r="E128" s="3" t="str">
        <f ca="1">IFERROR(__xludf.DUMMYFUNCTION("GOOGLETRANSLATE('Майнкрафт'!E128,""ru"",""en"")"),"Leash")</f>
        <v>Leash</v>
      </c>
      <c r="F128" s="11"/>
      <c r="V128" s="3"/>
    </row>
    <row r="129" spans="1:22" ht="16.5" customHeight="1">
      <c r="A129" s="3" t="str">
        <f ca="1">IFERROR(__xludf.DUMMYFUNCTION("GOOGLETRANSLATE('Майнкрафт'!A129,""ru"",""en"")"),"What is the minimum amount of obsidian required to create a functioning Nether portal?")</f>
        <v>What is the minimum amount of obsidian required to create a functioning Nether portal?</v>
      </c>
      <c r="B129" s="3" t="str">
        <f ca="1">IFERROR(__xludf.DUMMYFUNCTION("GOOGLETRANSLATE('Майнкрафт'!B129,""ru"",""en"")"),"10 blocks")</f>
        <v>10 blocks</v>
      </c>
      <c r="C129" s="3" t="str">
        <f ca="1">IFERROR(__xludf.DUMMYFUNCTION("GOOGLETRANSLATE('Майнкрафт'!C129,""ru"",""en"")"),"14 blocks")</f>
        <v>14 blocks</v>
      </c>
      <c r="D129" s="3" t="str">
        <f ca="1">IFERROR(__xludf.DUMMYFUNCTION("GOOGLETRANSLATE('Майнкрафт'!D129,""ru"",""en"")"),"12 blocks")</f>
        <v>12 blocks</v>
      </c>
      <c r="E129" s="3" t="str">
        <f ca="1">IFERROR(__xludf.DUMMYFUNCTION("GOOGLETRANSLATE('Майнкрафт'!E129,""ru"",""en"")"),"8 blocks")</f>
        <v>8 blocks</v>
      </c>
      <c r="F129" s="11"/>
      <c r="V129" s="3"/>
    </row>
    <row r="130" spans="1:22" ht="16.5" customHeight="1">
      <c r="A130" s="3" t="str">
        <f ca="1">IFERROR(__xludf.DUMMYFUNCTION("GOOGLETRANSLATE('Майнкрафт'!A130,""ru"",""en"")"),"How can the Ender Dragon be revived?")</f>
        <v>How can the Ender Dragon be revived?</v>
      </c>
      <c r="B130" s="3" t="str">
        <f ca="1">IFERROR(__xludf.DUMMYFUNCTION("GOOGLETRANSLATE('Майнкрафт'!B130,""ru"",""en"")"),"Place 4 end crystals on the portal")</f>
        <v>Place 4 end crystals on the portal</v>
      </c>
      <c r="C130" s="3" t="str">
        <f ca="1">IFERROR(__xludf.DUMMYFUNCTION("GOOGLETRANSLATE('Майнкрафт'!C130,""ru"",""en"")"),"Place 1 end crystal in the center of the island")</f>
        <v>Place 1 end crystal in the center of the island</v>
      </c>
      <c r="D130" s="3" t="str">
        <f ca="1">IFERROR(__xludf.DUMMYFUNCTION("GOOGLETRANSLATE('Майнкрафт'!D130,""ru"",""en"")"),"Light 4 beacons around the island")</f>
        <v>Light 4 beacons around the island</v>
      </c>
      <c r="E130" s="3" t="str">
        <f ca="1">IFERROR(__xludf.DUMMYFUNCTION("GOOGLETRANSLATE('Майнкрафт'!E130,""ru"",""en"")"),"Use 4 Eyes of Ender on crystals")</f>
        <v>Use 4 Eyes of Ender on crystals</v>
      </c>
      <c r="F130" s="11"/>
      <c r="V130" s="3"/>
    </row>
    <row r="131" spans="1:22" ht="16.5" customHeight="1">
      <c r="A131" s="3" t="str">
        <f ca="1">IFERROR(__xludf.DUMMYFUNCTION("GOOGLETRANSLATE('Майнкрафт'!A131,""ru"",""en"")"),"How does wearing a carved pumpkin affect endermen when looking at them?")</f>
        <v>How does wearing a carved pumpkin affect endermen when looking at them?</v>
      </c>
      <c r="B131" s="3" t="str">
        <f ca="1">IFERROR(__xludf.DUMMYFUNCTION("GOOGLETRANSLATE('Майнкрафт'!B131,""ru"",""en"")"),"They don't become hostile when looked at.")</f>
        <v>They don't become hostile when looked at.</v>
      </c>
      <c r="C131" s="3" t="str">
        <f ca="1">IFERROR(__xludf.DUMMYFUNCTION("GOOGLETRANSLATE('Майнкрафт'!C131,""ru"",""en"")"),"It makes them more aggressive.")</f>
        <v>It makes them more aggressive.</v>
      </c>
      <c r="D131" s="3" t="str">
        <f ca="1">IFERROR(__xludf.DUMMYFUNCTION("GOOGLETRANSLATE('Майнкрафт'!D131,""ru"",""en"")"),"It only protects against one enderman.")</f>
        <v>It only protects against one enderman.</v>
      </c>
      <c r="E131" s="3" t="str">
        <f ca="1">IFERROR(__xludf.DUMMYFUNCTION("GOOGLETRANSLATE('Майнкрафт'!E131,""ru"",""en"")"),"It doesn't affect anything.")</f>
        <v>It doesn't affect anything.</v>
      </c>
      <c r="F131" s="11"/>
    </row>
    <row r="132" spans="1:22" ht="16.5" customHeight="1">
      <c r="A132" s="3" t="str">
        <f ca="1">IFERROR(__xludf.DUMMYFUNCTION("GOOGLETRANSLATE('Майнкрафт'!A132,""ru"",""en"")"),"How many items can be roasted on one fire at a time?")</f>
        <v>How many items can be roasted on one fire at a time?</v>
      </c>
      <c r="B132" s="3" t="str">
        <f ca="1">IFERROR(__xludf.DUMMYFUNCTION("GOOGLETRANSLATE('Майнкрафт'!B132,""ru"",""en"")"),"Up to 4 items")</f>
        <v>Up to 4 items</v>
      </c>
      <c r="C132" s="3" t="str">
        <f ca="1">IFERROR(__xludf.DUMMYFUNCTION("GOOGLETRANSLATE('Майнкрафт'!C132,""ru"",""en"")"),"Only 1 item")</f>
        <v>Only 1 item</v>
      </c>
      <c r="D132" s="3" t="str">
        <f ca="1">IFERROR(__xludf.DUMMYFUNCTION("GOOGLETRANSLATE('Майнкрафт'!D132,""ru"",""en"")"),"Up to 8 items")</f>
        <v>Up to 8 items</v>
      </c>
      <c r="E132" s="3" t="str">
        <f ca="1">IFERROR(__xludf.DUMMYFUNCTION("GOOGLETRANSLATE('Майнкрафт'!E132,""ru"",""en"")"),"Up to 2 items")</f>
        <v>Up to 2 items</v>
      </c>
      <c r="F132" s="11"/>
    </row>
    <row r="133" spans="1:22" ht="16.5" customHeight="1">
      <c r="A133" s="3" t="str">
        <f ca="1">IFERROR(__xludf.DUMMYFUNCTION("GOOGLETRANSLATE('Майнкрафт'!A133,""ru"",""en"")"),"What does milk do when consumed by a player in survival mode?")</f>
        <v>What does milk do when consumed by a player in survival mode?</v>
      </c>
      <c r="B133" s="3" t="str">
        <f ca="1">IFERROR(__xludf.DUMMYFUNCTION("GOOGLETRANSLATE('Майнкрафт'!B133,""ru"",""en"")"),"Removes all effects")</f>
        <v>Removes all effects</v>
      </c>
      <c r="C133" s="3" t="str">
        <f ca="1">IFERROR(__xludf.DUMMYFUNCTION("GOOGLETRANSLATE('Майнкрафт'!C133,""ru"",""en"")"),"Restores health and satiety")</f>
        <v>Restores health and satiety</v>
      </c>
      <c r="D133" s="3" t="str">
        <f ca="1">IFERROR(__xludf.DUMMYFUNCTION("GOOGLETRANSLATE('Майнкрафт'!D133,""ru"",""en"")"),"Grants immunity to fire for a short time.")</f>
        <v>Grants immunity to fire for a short time.</v>
      </c>
      <c r="E133" s="3" t="str">
        <f ca="1">IFERROR(__xludf.DUMMYFUNCTION("GOOGLETRANSLATE('Майнкрафт'!E133,""ru"",""en"")"),"Removes only negative effects")</f>
        <v>Removes only negative effects</v>
      </c>
      <c r="F133" s="11"/>
    </row>
    <row r="134" spans="1:22" ht="16.5" customHeight="1">
      <c r="A134" s="3" t="str">
        <f ca="1">IFERROR(__xludf.DUMMYFUNCTION("GOOGLETRANSLATE('Майнкрафт'!A134,""ru"",""en"")"),"Which of the following CANNOT pass through the portal?")</f>
        <v>Which of the following CANNOT pass through the portal?</v>
      </c>
      <c r="B134" s="3" t="str">
        <f ca="1">IFERROR(__xludf.DUMMYFUNCTION("GOOGLETRANSLATE('Майнкрафт'!B134,""ru"",""en"")"),"Ender Dragon")</f>
        <v>Ender Dragon</v>
      </c>
      <c r="C134" s="3" t="str">
        <f ca="1">IFERROR(__xludf.DUMMYFUNCTION("GOOGLETRANSLATE('Майнкрафт'!C134,""ru"",""en"")"),"Gast")</f>
        <v>Gast</v>
      </c>
      <c r="D134" s="3" t="str">
        <f ca="1">IFERROR(__xludf.DUMMYFUNCTION("GOOGLETRANSLATE('Майнкрафт'!D134,""ru"",""en"")"),"Boat")</f>
        <v>Boat</v>
      </c>
      <c r="E134" s="3" t="str">
        <f ca="1">IFERROR(__xludf.DUMMYFUNCTION("GOOGLETRANSLATE('Майнкрафт'!E134,""ru"",""en"")"),"Items")</f>
        <v>Items</v>
      </c>
      <c r="F134" s="11"/>
    </row>
    <row r="135" spans="1:22" ht="16.5" customHeight="1">
      <c r="A135" s="3" t="str">
        <f ca="1">IFERROR(__xludf.DUMMYFUNCTION("GOOGLETRANSLATE('Майнкрафт'!A135,""ru"",""en"")"),"If a creeper is killed by a skeleton arrow, what does it drop?")</f>
        <v>If a creeper is killed by a skeleton arrow, what does it drop?</v>
      </c>
      <c r="B135" s="3" t="str">
        <f ca="1">IFERROR(__xludf.DUMMYFUNCTION("GOOGLETRANSLATE('Майнкрафт'!B135,""ru"",""en"")"),"Music disc")</f>
        <v>Music disc</v>
      </c>
      <c r="C135" s="3" t="str">
        <f ca="1">IFERROR(__xludf.DUMMYFUNCTION("GOOGLETRANSLATE('Майнкрафт'!C135,""ru"",""en"")"),"Nothing")</f>
        <v>Nothing</v>
      </c>
      <c r="D135" s="3" t="str">
        <f ca="1">IFERROR(__xludf.DUMMYFUNCTION("GOOGLETRANSLATE('Майнкрафт'!D135,""ru"",""en"")"),"Powder")</f>
        <v>Powder</v>
      </c>
      <c r="E135" s="3" t="str">
        <f ca="1">IFERROR(__xludf.DUMMYFUNCTION("GOOGLETRANSLATE('Майнкрафт'!E135,""ru"",""en"")"),"Creeper's head")</f>
        <v>Creeper's head</v>
      </c>
      <c r="F135" s="11"/>
    </row>
    <row r="136" spans="1:22" ht="16.5" customHeight="1">
      <c r="A136" s="3" t="str">
        <f ca="1">IFERROR(__xludf.DUMMYFUNCTION("GOOGLETRANSLATE('Майнкрафт'!A136,""ru"",""en"")"),"What condition is required for a zombie villager to be cured?")</f>
        <v>What condition is required for a zombie villager to be cured?</v>
      </c>
      <c r="B136" s="3" t="str">
        <f ca="1">IFERROR(__xludf.DUMMYFUNCTION("GOOGLETRANSLATE('Майнкрафт'!B136,""ru"",""en"")"),"Potion of Weakness + Golden Apple")</f>
        <v>Potion of Weakness + Golden Apple</v>
      </c>
      <c r="C136" s="3" t="str">
        <f ca="1">IFERROR(__xludf.DUMMYFUNCTION("GOOGLETRANSLATE('Майнкрафт'!C136,""ru"",""en"")"),"Totem of Immortality")</f>
        <v>Totem of Immortality</v>
      </c>
      <c r="D136" s="3" t="str">
        <f ca="1">IFERROR(__xludf.DUMMYFUNCTION("GOOGLETRANSLATE('Майнкрафт'!D136,""ru"",""en"")"),"Torch and bread")</f>
        <v>Torch and bread</v>
      </c>
      <c r="E136" s="3" t="str">
        <f ca="1">IFERROR(__xludf.DUMMYFUNCTION("GOOGLETRANSLATE('Майнкрафт'!E136,""ru"",""en"")"),"Another resident")</f>
        <v>Another resident</v>
      </c>
      <c r="F136" s="11"/>
    </row>
    <row r="137" spans="1:22" ht="16.5" customHeight="1">
      <c r="A137" s="3" t="str">
        <f ca="1">IFERROR(__xludf.DUMMYFUNCTION("GOOGLETRANSLATE('Майнкрафт'!A137,""ru"",""en"")"),"Which of the following can NOT be dropped by a normal zombie?")</f>
        <v>Which of the following can NOT be dropped by a normal zombie?</v>
      </c>
      <c r="B137" s="3" t="str">
        <f ca="1">IFERROR(__xludf.DUMMYFUNCTION("GOOGLETRANSLATE('Майнкрафт'!B137,""ru"",""en"")"),"Clay")</f>
        <v>Clay</v>
      </c>
      <c r="C137" s="3" t="str">
        <f ca="1">IFERROR(__xludf.DUMMYFUNCTION("GOOGLETRANSLATE('Майнкрафт'!C137,""ru"",""en"")"),"Rotten flesh")</f>
        <v>Rotten flesh</v>
      </c>
      <c r="D137" s="3" t="str">
        <f ca="1">IFERROR(__xludf.DUMMYFUNCTION("GOOGLETRANSLATE('Майнкрафт'!D137,""ru"",""en"")"),"Iron ingot")</f>
        <v>Iron ingot</v>
      </c>
      <c r="E137" s="3" t="str">
        <f ca="1">IFERROR(__xludf.DUMMYFUNCTION("GOOGLETRANSLATE('Майнкрафт'!E137,""ru"",""en"")"),"Carrot")</f>
        <v>Carrot</v>
      </c>
      <c r="F137" s="11"/>
    </row>
    <row r="138" spans="1:22" ht="16.5" customHeight="1">
      <c r="A138" s="3" t="str">
        <f ca="1">IFERROR(__xludf.DUMMYFUNCTION("GOOGLETRANSLATE('Майнкрафт'!A138,""ru"",""en"")"),"What does a healing potion do to zombies?")</f>
        <v>What does a healing potion do to zombies?</v>
      </c>
      <c r="B138" s="3" t="str">
        <f ca="1">IFERROR(__xludf.DUMMYFUNCTION("GOOGLETRANSLATE('Майнкрафт'!B138,""ru"",""en"")"),"Deals damage")</f>
        <v>Deals damage</v>
      </c>
      <c r="C138" s="3" t="str">
        <f ca="1">IFERROR(__xludf.DUMMYFUNCTION("GOOGLETRANSLATE('Майнкрафт'!C138,""ru"",""en"")"),"Heals")</f>
        <v>Heals</v>
      </c>
      <c r="D138" s="3" t="str">
        <f ca="1">IFERROR(__xludf.DUMMYFUNCTION("GOOGLETRANSLATE('Майнкрафт'!D138,""ru"",""en"")"),"Gives a weakness effect")</f>
        <v>Gives a weakness effect</v>
      </c>
      <c r="E138" s="3" t="str">
        <f ca="1">IFERROR(__xludf.DUMMYFUNCTION("GOOGLETRANSLATE('Майнкрафт'!E138,""ru"",""en"")"),"Gives a strength effect")</f>
        <v>Gives a strength effect</v>
      </c>
      <c r="F138" s="11"/>
    </row>
    <row r="139" spans="1:22" ht="16.5" customHeight="1">
      <c r="A139" s="3"/>
      <c r="B139" s="3"/>
      <c r="C139" s="3"/>
      <c r="D139" s="3"/>
      <c r="E139" s="3"/>
      <c r="F139" s="12"/>
    </row>
    <row r="140" spans="1:22" ht="16.5" customHeight="1">
      <c r="A140" s="3"/>
      <c r="B140" s="3"/>
      <c r="C140" s="3"/>
      <c r="D140" s="3"/>
      <c r="E140" s="3"/>
      <c r="F140" s="12"/>
    </row>
    <row r="141" spans="1:22" ht="16.5" customHeight="1">
      <c r="A141" s="3"/>
      <c r="B141" s="3"/>
      <c r="C141" s="3"/>
      <c r="D141" s="3"/>
      <c r="E141" s="3"/>
      <c r="F141" s="12"/>
    </row>
    <row r="142" spans="1:22" ht="16.5" customHeight="1">
      <c r="A142" s="3"/>
      <c r="B142" s="3"/>
      <c r="C142" s="3"/>
      <c r="D142" s="3"/>
      <c r="E142" s="3"/>
      <c r="F142" s="12"/>
    </row>
    <row r="143" spans="1:22" ht="16.5" customHeight="1">
      <c r="A143" s="3"/>
      <c r="B143" s="3"/>
      <c r="C143" s="3"/>
      <c r="D143" s="3"/>
      <c r="E143" s="3"/>
      <c r="F143" s="12"/>
    </row>
    <row r="144" spans="1:22" ht="16.5" customHeight="1">
      <c r="A144" s="3"/>
      <c r="B144" s="3"/>
      <c r="C144" s="3"/>
      <c r="D144" s="3"/>
      <c r="E144" s="3"/>
      <c r="F144" s="12"/>
    </row>
    <row r="145" spans="1:6" ht="16.5" customHeight="1">
      <c r="A145" s="3"/>
      <c r="B145" s="3"/>
      <c r="C145" s="3"/>
      <c r="D145" s="3"/>
      <c r="E145" s="3"/>
      <c r="F145" s="12"/>
    </row>
    <row r="146" spans="1:6" ht="16.5" customHeight="1">
      <c r="A146" s="3"/>
      <c r="B146" s="3"/>
      <c r="C146" s="3"/>
      <c r="D146" s="3"/>
      <c r="E146" s="3"/>
      <c r="F146" s="12"/>
    </row>
    <row r="147" spans="1:6" ht="16.5" customHeight="1">
      <c r="A147" s="3"/>
      <c r="B147" s="3"/>
      <c r="C147" s="3"/>
      <c r="D147" s="3"/>
      <c r="E147" s="3"/>
      <c r="F147" s="12"/>
    </row>
    <row r="148" spans="1:6" ht="16.5" customHeight="1">
      <c r="A148" s="3"/>
      <c r="B148" s="3"/>
      <c r="C148" s="3"/>
      <c r="D148" s="3"/>
      <c r="E148" s="3"/>
      <c r="F148" s="12"/>
    </row>
    <row r="149" spans="1:6" ht="16.5" customHeight="1">
      <c r="A149" s="3"/>
      <c r="B149" s="3"/>
      <c r="C149" s="3"/>
      <c r="D149" s="3"/>
      <c r="E149" s="3"/>
      <c r="F149" s="12"/>
    </row>
    <row r="150" spans="1:6" ht="16.5" customHeight="1">
      <c r="A150" s="3"/>
      <c r="B150" s="3"/>
      <c r="C150" s="3"/>
      <c r="D150" s="3"/>
      <c r="E150" s="3"/>
      <c r="F150" s="12"/>
    </row>
    <row r="151" spans="1:6" ht="16.5" customHeight="1">
      <c r="A151" s="3"/>
      <c r="B151" s="3"/>
      <c r="C151" s="3"/>
      <c r="D151" s="3"/>
      <c r="E151" s="3"/>
      <c r="F151" s="12"/>
    </row>
    <row r="152" spans="1:6" ht="16.5" customHeight="1">
      <c r="A152" s="3"/>
      <c r="B152" s="3"/>
      <c r="C152" s="3"/>
      <c r="D152" s="3"/>
      <c r="E152" s="3"/>
      <c r="F152" s="12"/>
    </row>
    <row r="153" spans="1:6" ht="16.5" customHeight="1">
      <c r="A153" s="3"/>
      <c r="B153" s="3"/>
      <c r="C153" s="3"/>
      <c r="D153" s="3"/>
      <c r="E153" s="3"/>
      <c r="F153" s="12"/>
    </row>
    <row r="154" spans="1:6" ht="16.5" customHeight="1">
      <c r="A154" s="3"/>
      <c r="B154" s="3"/>
      <c r="C154" s="3"/>
      <c r="D154" s="3"/>
      <c r="E154" s="3"/>
      <c r="F154" s="12"/>
    </row>
    <row r="155" spans="1:6" ht="16.5" customHeight="1">
      <c r="A155" s="3"/>
      <c r="B155" s="3"/>
      <c r="C155" s="3"/>
      <c r="D155" s="3"/>
      <c r="E155" s="3"/>
      <c r="F155" s="12"/>
    </row>
    <row r="156" spans="1:6" ht="16.5" customHeight="1">
      <c r="A156" s="3"/>
      <c r="B156" s="3"/>
      <c r="C156" s="3"/>
      <c r="D156" s="3"/>
      <c r="E156" s="3"/>
      <c r="F156" s="12"/>
    </row>
    <row r="157" spans="1:6" ht="16.5" customHeight="1">
      <c r="A157" s="3"/>
      <c r="B157" s="3"/>
      <c r="C157" s="3"/>
      <c r="D157" s="3"/>
      <c r="E157" s="3"/>
      <c r="F157" s="12"/>
    </row>
    <row r="158" spans="1:6" ht="16.5" customHeight="1">
      <c r="A158" s="3"/>
      <c r="B158" s="3"/>
      <c r="C158" s="3"/>
      <c r="D158" s="3"/>
      <c r="E158" s="3"/>
      <c r="F158" s="12"/>
    </row>
    <row r="159" spans="1:6" ht="16.5" customHeight="1">
      <c r="A159" s="3"/>
      <c r="B159" s="3"/>
      <c r="C159" s="3"/>
      <c r="D159" s="3"/>
      <c r="E159" s="3"/>
      <c r="F159" s="12"/>
    </row>
    <row r="160" spans="1:6" ht="16.5" customHeight="1">
      <c r="A160" s="3"/>
      <c r="B160" s="3"/>
      <c r="C160" s="3"/>
      <c r="D160" s="3"/>
      <c r="E160" s="3"/>
      <c r="F160" s="12"/>
    </row>
    <row r="161" spans="1:6" ht="16.5" customHeight="1">
      <c r="A161" s="3"/>
      <c r="B161" s="3"/>
      <c r="C161" s="3"/>
      <c r="D161" s="3"/>
      <c r="E161" s="3"/>
      <c r="F161" s="12"/>
    </row>
    <row r="162" spans="1:6" ht="16.5" customHeight="1">
      <c r="A162" s="3"/>
      <c r="B162" s="3"/>
      <c r="C162" s="3"/>
      <c r="D162" s="3"/>
      <c r="E162" s="3"/>
      <c r="F162" s="12"/>
    </row>
    <row r="163" spans="1:6" ht="16.5" customHeight="1">
      <c r="A163" s="3"/>
      <c r="B163" s="3"/>
      <c r="C163" s="3"/>
      <c r="D163" s="3"/>
      <c r="E163" s="3"/>
      <c r="F163" s="12"/>
    </row>
    <row r="164" spans="1:6" ht="16.5" customHeight="1">
      <c r="A164" s="3"/>
      <c r="B164" s="3"/>
      <c r="C164" s="3"/>
      <c r="D164" s="3"/>
      <c r="E164" s="3"/>
      <c r="F164" s="12"/>
    </row>
    <row r="165" spans="1:6" ht="16.5" customHeight="1">
      <c r="A165" s="3"/>
      <c r="B165" s="3"/>
      <c r="C165" s="3"/>
      <c r="D165" s="3"/>
      <c r="E165" s="3"/>
      <c r="F165" s="12"/>
    </row>
    <row r="166" spans="1:6" ht="16.5" customHeight="1">
      <c r="A166" s="3"/>
      <c r="B166" s="3"/>
      <c r="C166" s="3"/>
      <c r="D166" s="3"/>
      <c r="E166" s="3"/>
      <c r="F166" s="12"/>
    </row>
    <row r="167" spans="1:6" ht="16.5" customHeight="1">
      <c r="A167" s="3"/>
      <c r="B167" s="3"/>
      <c r="C167" s="3"/>
      <c r="D167" s="3"/>
      <c r="E167" s="3"/>
      <c r="F167" s="12"/>
    </row>
    <row r="168" spans="1:6" ht="16.5" customHeight="1">
      <c r="A168" s="3"/>
      <c r="B168" s="3"/>
      <c r="C168" s="3"/>
      <c r="D168" s="3"/>
      <c r="E168" s="3"/>
      <c r="F168" s="12"/>
    </row>
    <row r="169" spans="1:6" ht="16.5" customHeight="1">
      <c r="A169" s="3"/>
      <c r="B169" s="3"/>
      <c r="C169" s="3"/>
      <c r="D169" s="3"/>
      <c r="E169" s="3"/>
      <c r="F169" s="12"/>
    </row>
    <row r="170" spans="1:6" ht="16.5" customHeight="1">
      <c r="A170" s="3"/>
      <c r="B170" s="3"/>
      <c r="C170" s="3"/>
      <c r="D170" s="3"/>
      <c r="E170" s="3"/>
      <c r="F170" s="12"/>
    </row>
    <row r="171" spans="1:6" ht="16.5" customHeight="1">
      <c r="A171" s="3"/>
      <c r="B171" s="3"/>
      <c r="C171" s="3"/>
      <c r="D171" s="3"/>
      <c r="E171" s="3"/>
      <c r="F171" s="12"/>
    </row>
    <row r="172" spans="1:6" ht="16.5" customHeight="1">
      <c r="A172" s="3"/>
      <c r="B172" s="3"/>
      <c r="C172" s="3"/>
      <c r="D172" s="3"/>
      <c r="E172" s="3"/>
      <c r="F172" s="12"/>
    </row>
    <row r="173" spans="1:6" ht="16.5" customHeight="1">
      <c r="A173" s="3"/>
      <c r="B173" s="3"/>
      <c r="C173" s="3"/>
      <c r="D173" s="3"/>
      <c r="E173" s="3"/>
      <c r="F173" s="12"/>
    </row>
    <row r="174" spans="1:6" ht="16.5" customHeight="1">
      <c r="A174" s="3"/>
      <c r="B174" s="3"/>
      <c r="C174" s="3"/>
      <c r="D174" s="3"/>
      <c r="E174" s="3"/>
      <c r="F174" s="12"/>
    </row>
    <row r="175" spans="1:6" ht="16.5" customHeight="1">
      <c r="A175" s="3"/>
      <c r="B175" s="3"/>
      <c r="C175" s="3"/>
      <c r="D175" s="3"/>
      <c r="E175" s="3"/>
      <c r="F175" s="12"/>
    </row>
    <row r="176" spans="1:6" ht="16.5" customHeight="1">
      <c r="A176" s="3"/>
      <c r="B176" s="3"/>
      <c r="C176" s="3"/>
      <c r="D176" s="3"/>
      <c r="E176" s="3"/>
      <c r="F176" s="12"/>
    </row>
    <row r="177" spans="1:6" ht="16.5" customHeight="1">
      <c r="A177" s="3"/>
      <c r="B177" s="3"/>
      <c r="C177" s="3"/>
      <c r="D177" s="3"/>
      <c r="E177" s="3"/>
      <c r="F177" s="12"/>
    </row>
    <row r="178" spans="1:6" ht="16.5" customHeight="1">
      <c r="A178" s="3"/>
      <c r="B178" s="3"/>
      <c r="C178" s="3"/>
      <c r="D178" s="3"/>
      <c r="E178" s="3"/>
      <c r="F178" s="12"/>
    </row>
    <row r="179" spans="1:6" ht="16.5" customHeight="1">
      <c r="A179" s="3"/>
      <c r="B179" s="3"/>
      <c r="C179" s="3"/>
      <c r="D179" s="3"/>
      <c r="E179" s="3"/>
      <c r="F179" s="12"/>
    </row>
    <row r="180" spans="1:6" ht="16.5" customHeight="1">
      <c r="A180" s="3"/>
      <c r="B180" s="3"/>
      <c r="C180" s="3"/>
      <c r="D180" s="3"/>
      <c r="E180" s="3"/>
      <c r="F180" s="12"/>
    </row>
    <row r="181" spans="1:6" ht="16.5" customHeight="1">
      <c r="A181" s="3"/>
      <c r="B181" s="3"/>
      <c r="C181" s="3"/>
      <c r="D181" s="3"/>
      <c r="E181" s="3"/>
      <c r="F181" s="12"/>
    </row>
    <row r="182" spans="1:6" ht="16.5" customHeight="1">
      <c r="A182" s="3"/>
      <c r="B182" s="3"/>
      <c r="C182" s="3"/>
      <c r="D182" s="3"/>
      <c r="E182" s="3"/>
      <c r="F182" s="12"/>
    </row>
    <row r="183" spans="1:6" ht="16.5" customHeight="1">
      <c r="A183" s="3"/>
      <c r="B183" s="3"/>
      <c r="C183" s="3"/>
      <c r="D183" s="3"/>
      <c r="E183" s="3"/>
      <c r="F183" s="12"/>
    </row>
    <row r="184" spans="1:6" ht="16.5" customHeight="1">
      <c r="A184" s="3"/>
      <c r="B184" s="3"/>
      <c r="C184" s="3"/>
      <c r="D184" s="3"/>
      <c r="E184" s="3"/>
      <c r="F184" s="12"/>
    </row>
    <row r="185" spans="1:6" ht="16.5" customHeight="1">
      <c r="A185" s="3"/>
      <c r="B185" s="3"/>
      <c r="C185" s="3"/>
      <c r="D185" s="3"/>
      <c r="E185" s="3"/>
      <c r="F185" s="12"/>
    </row>
    <row r="186" spans="1:6" ht="16.5" customHeight="1">
      <c r="A186" s="3"/>
      <c r="B186" s="3"/>
      <c r="C186" s="3"/>
      <c r="D186" s="3"/>
      <c r="E186" s="3"/>
      <c r="F186" s="12"/>
    </row>
    <row r="187" spans="1:6" ht="16.5" customHeight="1">
      <c r="A187" s="3"/>
      <c r="B187" s="3"/>
      <c r="C187" s="3"/>
      <c r="D187" s="3"/>
      <c r="E187" s="3"/>
      <c r="F187" s="12"/>
    </row>
    <row r="188" spans="1:6" ht="16.5" customHeight="1">
      <c r="A188" s="3"/>
      <c r="B188" s="3"/>
      <c r="C188" s="3"/>
      <c r="D188" s="3"/>
      <c r="E188" s="3"/>
      <c r="F188" s="12"/>
    </row>
    <row r="189" spans="1:6" ht="16.5" customHeight="1">
      <c r="A189" s="3"/>
      <c r="B189" s="3"/>
      <c r="C189" s="3"/>
      <c r="D189" s="3"/>
      <c r="E189" s="3"/>
      <c r="F189" s="12"/>
    </row>
    <row r="190" spans="1:6" ht="16.5" customHeight="1">
      <c r="A190" s="3"/>
      <c r="B190" s="3"/>
      <c r="C190" s="3"/>
      <c r="D190" s="3"/>
      <c r="E190" s="3"/>
      <c r="F190" s="12"/>
    </row>
    <row r="191" spans="1:6" ht="16.5" customHeight="1">
      <c r="A191" s="3"/>
      <c r="B191" s="3"/>
      <c r="C191" s="3"/>
      <c r="D191" s="3"/>
      <c r="E191" s="3"/>
      <c r="F191" s="12"/>
    </row>
    <row r="192" spans="1:6" ht="16.5" customHeight="1">
      <c r="A192" s="3"/>
      <c r="B192" s="3"/>
      <c r="C192" s="3"/>
      <c r="D192" s="3"/>
      <c r="E192" s="3"/>
      <c r="F192" s="12"/>
    </row>
    <row r="193" spans="1:6" ht="16.5" customHeight="1">
      <c r="A193" s="3"/>
      <c r="B193" s="3"/>
      <c r="C193" s="3"/>
      <c r="D193" s="3"/>
      <c r="E193" s="3"/>
      <c r="F193" s="12"/>
    </row>
    <row r="194" spans="1:6" ht="16.5" customHeight="1">
      <c r="A194" s="3"/>
      <c r="B194" s="3"/>
      <c r="C194" s="3"/>
      <c r="D194" s="3"/>
      <c r="E194" s="3"/>
      <c r="F194" s="12"/>
    </row>
    <row r="195" spans="1:6" ht="16.5" customHeight="1">
      <c r="A195" s="3"/>
      <c r="B195" s="3"/>
      <c r="C195" s="3"/>
      <c r="D195" s="3"/>
      <c r="E195" s="3"/>
      <c r="F195" s="12"/>
    </row>
    <row r="196" spans="1:6" ht="16.5" customHeight="1">
      <c r="A196" s="3"/>
      <c r="B196" s="3"/>
      <c r="C196" s="3"/>
      <c r="D196" s="3"/>
      <c r="E196" s="3"/>
      <c r="F196" s="12"/>
    </row>
    <row r="197" spans="1:6" ht="16.5" customHeight="1">
      <c r="A197" s="3"/>
      <c r="B197" s="3"/>
      <c r="C197" s="3"/>
      <c r="D197" s="3"/>
      <c r="E197" s="3"/>
      <c r="F197" s="12"/>
    </row>
    <row r="198" spans="1:6" ht="16.5" customHeight="1">
      <c r="A198" s="3"/>
      <c r="B198" s="3"/>
      <c r="C198" s="3"/>
      <c r="D198" s="3"/>
      <c r="E198" s="3"/>
      <c r="F198" s="12"/>
    </row>
    <row r="199" spans="1:6" ht="16.5" customHeight="1">
      <c r="A199" s="3"/>
      <c r="B199" s="3"/>
      <c r="C199" s="3"/>
      <c r="D199" s="3"/>
      <c r="E199" s="3"/>
      <c r="F199" s="12"/>
    </row>
    <row r="200" spans="1:6" ht="16.5" customHeight="1">
      <c r="A200" s="3"/>
      <c r="B200" s="3"/>
      <c r="C200" s="3"/>
      <c r="D200" s="3"/>
      <c r="E200" s="3"/>
      <c r="F200" s="12"/>
    </row>
    <row r="201" spans="1:6" ht="16.5" customHeight="1">
      <c r="A201" s="3"/>
      <c r="B201" s="3"/>
      <c r="C201" s="3"/>
      <c r="D201" s="3"/>
      <c r="E201" s="3"/>
      <c r="F201" s="12"/>
    </row>
    <row r="202" spans="1:6" ht="16.5" customHeight="1">
      <c r="A202" s="3"/>
      <c r="B202" s="3"/>
      <c r="C202" s="3"/>
      <c r="D202" s="3"/>
      <c r="E202" s="3"/>
      <c r="F202" s="12"/>
    </row>
    <row r="203" spans="1:6" ht="16.5" customHeight="1">
      <c r="A203" s="3"/>
      <c r="B203" s="3"/>
      <c r="C203" s="3"/>
      <c r="D203" s="3"/>
      <c r="E203" s="3"/>
      <c r="F203" s="12"/>
    </row>
    <row r="204" spans="1:6" ht="16.5" customHeight="1">
      <c r="A204" s="3"/>
      <c r="B204" s="3"/>
      <c r="C204" s="3"/>
      <c r="D204" s="3"/>
      <c r="E204" s="3"/>
      <c r="F204" s="12"/>
    </row>
    <row r="205" spans="1:6" ht="16.5" customHeight="1">
      <c r="A205" s="3"/>
      <c r="B205" s="3"/>
      <c r="C205" s="3"/>
      <c r="D205" s="3"/>
      <c r="E205" s="3"/>
      <c r="F205" s="12"/>
    </row>
    <row r="206" spans="1:6" ht="16.5" customHeight="1">
      <c r="A206" s="3"/>
      <c r="B206" s="3"/>
      <c r="C206" s="3"/>
      <c r="D206" s="3"/>
      <c r="E206" s="3"/>
      <c r="F206" s="12"/>
    </row>
    <row r="207" spans="1:6" ht="16.5" customHeight="1">
      <c r="A207" s="3"/>
      <c r="B207" s="3"/>
      <c r="C207" s="3"/>
      <c r="D207" s="3"/>
      <c r="E207" s="3"/>
      <c r="F207" s="12"/>
    </row>
    <row r="208" spans="1:6" ht="16.5" customHeight="1">
      <c r="A208" s="3"/>
      <c r="B208" s="3"/>
      <c r="C208" s="3"/>
      <c r="D208" s="3"/>
      <c r="E208" s="3"/>
      <c r="F208" s="12"/>
    </row>
    <row r="209" spans="1:6" ht="16.5" customHeight="1">
      <c r="A209" s="3"/>
      <c r="B209" s="3"/>
      <c r="C209" s="3"/>
      <c r="D209" s="3"/>
      <c r="E209" s="3"/>
      <c r="F209" s="12"/>
    </row>
    <row r="210" spans="1:6" ht="16.5" customHeight="1">
      <c r="A210" s="3"/>
      <c r="B210" s="3"/>
      <c r="C210" s="3"/>
      <c r="D210" s="3"/>
      <c r="E210" s="3"/>
      <c r="F210" s="12"/>
    </row>
    <row r="211" spans="1:6" ht="16.5" customHeight="1">
      <c r="A211" s="3"/>
      <c r="B211" s="3"/>
      <c r="C211" s="3"/>
      <c r="D211" s="3"/>
      <c r="E211" s="3"/>
      <c r="F211" s="12"/>
    </row>
    <row r="212" spans="1:6" ht="16.5" customHeight="1">
      <c r="A212" s="3"/>
      <c r="B212" s="3"/>
      <c r="C212" s="3"/>
      <c r="D212" s="3"/>
      <c r="E212" s="3"/>
      <c r="F212" s="12"/>
    </row>
    <row r="213" spans="1:6" ht="16.5" customHeight="1">
      <c r="A213" s="3"/>
      <c r="B213" s="3"/>
      <c r="C213" s="3"/>
      <c r="D213" s="3"/>
      <c r="E213" s="3"/>
      <c r="F213" s="12"/>
    </row>
    <row r="214" spans="1:6" ht="16.5" customHeight="1">
      <c r="A214" s="3"/>
      <c r="B214" s="3"/>
      <c r="C214" s="3"/>
      <c r="D214" s="3"/>
      <c r="E214" s="3"/>
      <c r="F214" s="12"/>
    </row>
    <row r="215" spans="1:6" ht="16.5" customHeight="1">
      <c r="A215" s="3"/>
      <c r="B215" s="3"/>
      <c r="C215" s="3"/>
      <c r="D215" s="3"/>
      <c r="E215" s="3"/>
      <c r="F215" s="12"/>
    </row>
    <row r="216" spans="1:6" ht="16.5" customHeight="1">
      <c r="A216" s="3"/>
      <c r="B216" s="3"/>
      <c r="C216" s="3"/>
      <c r="D216" s="3"/>
      <c r="E216" s="3"/>
      <c r="F216" s="12"/>
    </row>
    <row r="217" spans="1:6" ht="16.5" customHeight="1">
      <c r="A217" s="3"/>
      <c r="B217" s="3"/>
      <c r="C217" s="3"/>
      <c r="D217" s="3"/>
      <c r="E217" s="3"/>
      <c r="F217" s="12"/>
    </row>
    <row r="218" spans="1:6" ht="16.5" customHeight="1">
      <c r="A218" s="3"/>
      <c r="B218" s="3"/>
      <c r="C218" s="3"/>
      <c r="D218" s="3"/>
      <c r="E218" s="3"/>
      <c r="F218" s="12"/>
    </row>
    <row r="219" spans="1:6" ht="16.5" customHeight="1">
      <c r="A219" s="3"/>
      <c r="B219" s="3"/>
      <c r="C219" s="3"/>
      <c r="D219" s="3"/>
      <c r="E219" s="3"/>
      <c r="F219" s="12"/>
    </row>
    <row r="220" spans="1:6" ht="16.5" customHeight="1">
      <c r="A220" s="3"/>
      <c r="B220" s="3"/>
      <c r="C220" s="3"/>
      <c r="D220" s="3"/>
      <c r="E220" s="3"/>
      <c r="F220" s="12"/>
    </row>
    <row r="221" spans="1:6" ht="16.5" customHeight="1">
      <c r="A221" s="3"/>
      <c r="B221" s="3"/>
      <c r="C221" s="3"/>
      <c r="D221" s="3"/>
      <c r="E221" s="3"/>
      <c r="F221" s="12"/>
    </row>
    <row r="222" spans="1:6" ht="16.5" customHeight="1">
      <c r="A222" s="3"/>
      <c r="B222" s="3"/>
      <c r="C222" s="3"/>
      <c r="D222" s="3"/>
      <c r="E222" s="3"/>
      <c r="F222" s="12"/>
    </row>
    <row r="223" spans="1:6" ht="16.5" customHeight="1">
      <c r="A223" s="3"/>
      <c r="B223" s="3"/>
      <c r="C223" s="3"/>
      <c r="D223" s="3"/>
      <c r="E223" s="3"/>
      <c r="F223" s="12"/>
    </row>
    <row r="224" spans="1:6" ht="16.5" customHeight="1">
      <c r="A224" s="3"/>
      <c r="B224" s="3"/>
      <c r="C224" s="3"/>
      <c r="D224" s="3"/>
      <c r="E224" s="3"/>
      <c r="F224" s="12"/>
    </row>
    <row r="225" spans="1:6" ht="16.5" customHeight="1">
      <c r="A225" s="3"/>
      <c r="B225" s="3"/>
      <c r="C225" s="3"/>
      <c r="D225" s="3"/>
      <c r="E225" s="3"/>
      <c r="F225" s="12"/>
    </row>
    <row r="226" spans="1:6" ht="16.5" customHeight="1">
      <c r="A226" s="3"/>
      <c r="B226" s="3"/>
      <c r="C226" s="3"/>
      <c r="D226" s="3"/>
      <c r="E226" s="3"/>
      <c r="F226" s="12"/>
    </row>
    <row r="227" spans="1:6" ht="16.5" customHeight="1">
      <c r="A227" s="3"/>
      <c r="B227" s="3"/>
      <c r="C227" s="3"/>
      <c r="D227" s="3"/>
      <c r="E227" s="3"/>
      <c r="F227" s="12"/>
    </row>
    <row r="228" spans="1:6" ht="16.5" customHeight="1">
      <c r="A228" s="3"/>
      <c r="B228" s="3"/>
      <c r="C228" s="3"/>
      <c r="D228" s="3"/>
      <c r="E228" s="3"/>
      <c r="F228" s="12"/>
    </row>
    <row r="229" spans="1:6" ht="16.5" customHeight="1">
      <c r="A229" s="3"/>
      <c r="B229" s="3"/>
      <c r="C229" s="3"/>
      <c r="D229" s="3"/>
      <c r="E229" s="3"/>
      <c r="F229" s="12"/>
    </row>
    <row r="230" spans="1:6" ht="16.5" customHeight="1">
      <c r="A230" s="3"/>
      <c r="B230" s="3"/>
      <c r="C230" s="3"/>
      <c r="D230" s="3"/>
      <c r="E230" s="3"/>
      <c r="F230" s="12"/>
    </row>
    <row r="231" spans="1:6" ht="16.5" customHeight="1">
      <c r="A231" s="3"/>
      <c r="B231" s="3"/>
      <c r="C231" s="3"/>
      <c r="D231" s="3"/>
      <c r="E231" s="3"/>
      <c r="F231" s="12"/>
    </row>
    <row r="232" spans="1:6" ht="16.5" customHeight="1">
      <c r="A232" s="3"/>
      <c r="B232" s="3"/>
      <c r="C232" s="3"/>
      <c r="D232" s="3"/>
      <c r="E232" s="3"/>
      <c r="F232" s="12"/>
    </row>
    <row r="233" spans="1:6" ht="16.5" customHeight="1">
      <c r="A233" s="3"/>
      <c r="B233" s="3"/>
      <c r="C233" s="3"/>
      <c r="D233" s="3"/>
      <c r="E233" s="3"/>
      <c r="F233" s="12"/>
    </row>
    <row r="234" spans="1:6" ht="16.5" customHeight="1">
      <c r="A234" s="3"/>
      <c r="B234" s="3"/>
      <c r="C234" s="3"/>
      <c r="D234" s="3"/>
      <c r="E234" s="3"/>
      <c r="F234" s="12"/>
    </row>
    <row r="235" spans="1:6" ht="16.5" customHeight="1">
      <c r="A235" s="3"/>
      <c r="B235" s="3"/>
      <c r="C235" s="3"/>
      <c r="D235" s="3"/>
      <c r="E235" s="3"/>
      <c r="F235" s="12"/>
    </row>
    <row r="236" spans="1:6" ht="16.5" customHeight="1">
      <c r="A236" s="3"/>
      <c r="B236" s="3"/>
      <c r="C236" s="3"/>
      <c r="D236" s="3"/>
      <c r="E236" s="3"/>
      <c r="F236" s="12"/>
    </row>
    <row r="237" spans="1:6" ht="16.5" customHeight="1">
      <c r="A237" s="3"/>
      <c r="B237" s="3"/>
      <c r="C237" s="3"/>
      <c r="D237" s="3"/>
      <c r="E237" s="3"/>
      <c r="F237" s="12"/>
    </row>
    <row r="238" spans="1:6" ht="16.5" customHeight="1">
      <c r="A238" s="3"/>
      <c r="B238" s="3"/>
      <c r="C238" s="3"/>
      <c r="D238" s="3"/>
      <c r="E238" s="3"/>
      <c r="F238" s="12"/>
    </row>
    <row r="239" spans="1:6" ht="16.5" customHeight="1">
      <c r="A239" s="3"/>
      <c r="B239" s="3"/>
      <c r="C239" s="3"/>
      <c r="D239" s="3"/>
      <c r="E239" s="3"/>
      <c r="F239" s="12"/>
    </row>
    <row r="240" spans="1:6" ht="16.5" customHeight="1">
      <c r="A240" s="3"/>
      <c r="B240" s="3"/>
      <c r="C240" s="3"/>
      <c r="D240" s="3"/>
      <c r="E240" s="3"/>
      <c r="F240" s="12"/>
    </row>
    <row r="241" spans="1:6" ht="16.5" customHeight="1">
      <c r="A241" s="3"/>
      <c r="B241" s="3"/>
      <c r="C241" s="3"/>
      <c r="D241" s="3"/>
      <c r="E241" s="3"/>
      <c r="F241" s="12"/>
    </row>
    <row r="242" spans="1:6" ht="16.5" customHeight="1">
      <c r="A242" s="3"/>
      <c r="B242" s="3"/>
      <c r="C242" s="3"/>
      <c r="D242" s="3"/>
      <c r="E242" s="3"/>
      <c r="F242" s="12"/>
    </row>
    <row r="243" spans="1:6" ht="16.5" customHeight="1">
      <c r="A243" s="3"/>
      <c r="B243" s="3"/>
      <c r="C243" s="3"/>
      <c r="D243" s="3"/>
      <c r="E243" s="3"/>
      <c r="F243" s="12"/>
    </row>
    <row r="244" spans="1:6" ht="16.5" customHeight="1">
      <c r="A244" s="3"/>
      <c r="B244" s="3"/>
      <c r="C244" s="3"/>
      <c r="D244" s="3"/>
      <c r="E244" s="3"/>
      <c r="F244" s="12"/>
    </row>
    <row r="245" spans="1:6" ht="16.5" customHeight="1">
      <c r="A245" s="3"/>
      <c r="B245" s="3"/>
      <c r="C245" s="3"/>
      <c r="D245" s="3"/>
      <c r="E245" s="3"/>
      <c r="F245" s="12"/>
    </row>
    <row r="246" spans="1:6" ht="16.5" customHeight="1">
      <c r="A246" s="3"/>
      <c r="B246" s="3"/>
      <c r="C246" s="3"/>
      <c r="D246" s="3"/>
      <c r="E246" s="3"/>
      <c r="F246" s="12"/>
    </row>
    <row r="247" spans="1:6" ht="16.5" customHeight="1">
      <c r="A247" s="3"/>
      <c r="B247" s="3"/>
      <c r="C247" s="3"/>
      <c r="D247" s="3"/>
      <c r="E247" s="3"/>
      <c r="F247" s="12"/>
    </row>
    <row r="248" spans="1:6" ht="16.5" customHeight="1">
      <c r="A248" s="3"/>
      <c r="B248" s="3"/>
      <c r="C248" s="3"/>
      <c r="D248" s="3"/>
      <c r="E248" s="3"/>
      <c r="F248" s="12"/>
    </row>
    <row r="249" spans="1:6" ht="16.5" customHeight="1">
      <c r="A249" s="3"/>
      <c r="B249" s="3"/>
      <c r="C249" s="3"/>
      <c r="D249" s="3"/>
      <c r="E249" s="3"/>
      <c r="F249" s="12"/>
    </row>
    <row r="250" spans="1:6" ht="16.5" customHeight="1">
      <c r="A250" s="3"/>
      <c r="B250" s="3"/>
      <c r="C250" s="3"/>
      <c r="D250" s="3"/>
      <c r="E250" s="3"/>
      <c r="F250" s="12"/>
    </row>
    <row r="251" spans="1:6" ht="16.5" customHeight="1">
      <c r="A251" s="3"/>
      <c r="B251" s="3"/>
      <c r="C251" s="3"/>
      <c r="D251" s="3"/>
      <c r="E251" s="3"/>
      <c r="F251" s="12"/>
    </row>
    <row r="252" spans="1:6" ht="16.5" customHeight="1">
      <c r="A252" s="3"/>
      <c r="B252" s="3"/>
      <c r="C252" s="3"/>
      <c r="D252" s="3"/>
      <c r="E252" s="3"/>
      <c r="F252" s="12"/>
    </row>
    <row r="253" spans="1:6" ht="16.5" customHeight="1">
      <c r="A253" s="3"/>
      <c r="B253" s="3"/>
      <c r="C253" s="3"/>
      <c r="D253" s="3"/>
      <c r="E253" s="3"/>
      <c r="F253" s="12"/>
    </row>
    <row r="254" spans="1:6" ht="16.5" customHeight="1">
      <c r="A254" s="3"/>
      <c r="B254" s="3"/>
      <c r="C254" s="3"/>
      <c r="D254" s="3"/>
      <c r="E254" s="3"/>
      <c r="F254" s="12"/>
    </row>
    <row r="255" spans="1:6" ht="16.5" customHeight="1">
      <c r="A255" s="3"/>
      <c r="B255" s="3"/>
      <c r="C255" s="3"/>
      <c r="D255" s="3"/>
      <c r="E255" s="3"/>
      <c r="F255" s="12"/>
    </row>
    <row r="256" spans="1:6" ht="16.5" customHeight="1">
      <c r="A256" s="3"/>
      <c r="B256" s="3"/>
      <c r="C256" s="3"/>
      <c r="D256" s="3"/>
      <c r="E256" s="3"/>
      <c r="F256" s="12"/>
    </row>
    <row r="257" spans="1:6" ht="16.5" customHeight="1">
      <c r="A257" s="3"/>
      <c r="B257" s="3"/>
      <c r="C257" s="3"/>
      <c r="D257" s="3"/>
      <c r="E257" s="3"/>
      <c r="F257" s="12"/>
    </row>
    <row r="258" spans="1:6" ht="16.5" customHeight="1">
      <c r="A258" s="3"/>
      <c r="B258" s="3"/>
      <c r="C258" s="3"/>
      <c r="D258" s="3"/>
      <c r="E258" s="3"/>
      <c r="F258" s="12"/>
    </row>
    <row r="259" spans="1:6" ht="16.5" customHeight="1">
      <c r="A259" s="3"/>
      <c r="B259" s="3"/>
      <c r="C259" s="3"/>
      <c r="D259" s="3"/>
      <c r="E259" s="3"/>
      <c r="F259" s="12"/>
    </row>
    <row r="260" spans="1:6" ht="16.5" customHeight="1">
      <c r="A260" s="3"/>
      <c r="B260" s="3"/>
      <c r="C260" s="3"/>
      <c r="D260" s="3"/>
      <c r="E260" s="3"/>
      <c r="F260" s="12"/>
    </row>
    <row r="261" spans="1:6" ht="16.5" customHeight="1">
      <c r="A261" s="3"/>
      <c r="B261" s="3"/>
      <c r="C261" s="3"/>
      <c r="D261" s="3"/>
      <c r="E261" s="3"/>
      <c r="F261" s="12"/>
    </row>
    <row r="262" spans="1:6" ht="16.5" customHeight="1">
      <c r="A262" s="3"/>
      <c r="B262" s="3"/>
      <c r="C262" s="3"/>
      <c r="D262" s="3"/>
      <c r="E262" s="3"/>
      <c r="F262" s="12"/>
    </row>
    <row r="263" spans="1:6" ht="16.5" customHeight="1">
      <c r="A263" s="3"/>
      <c r="B263" s="3"/>
      <c r="C263" s="3"/>
      <c r="D263" s="3"/>
      <c r="E263" s="3"/>
      <c r="F263" s="12"/>
    </row>
    <row r="264" spans="1:6" ht="16.5" customHeight="1">
      <c r="A264" s="3"/>
      <c r="B264" s="3"/>
      <c r="C264" s="3"/>
      <c r="D264" s="3"/>
      <c r="E264" s="3"/>
      <c r="F264" s="12"/>
    </row>
    <row r="265" spans="1:6" ht="16.5" customHeight="1">
      <c r="A265" s="3"/>
      <c r="B265" s="3"/>
      <c r="C265" s="3"/>
      <c r="D265" s="3"/>
      <c r="E265" s="3"/>
      <c r="F265" s="12"/>
    </row>
    <row r="266" spans="1:6" ht="16.5" customHeight="1">
      <c r="A266" s="3"/>
      <c r="B266" s="3"/>
      <c r="C266" s="3"/>
      <c r="D266" s="3"/>
      <c r="E266" s="3"/>
      <c r="F266" s="12"/>
    </row>
    <row r="267" spans="1:6" ht="16.5" customHeight="1">
      <c r="A267" s="3"/>
      <c r="B267" s="3"/>
      <c r="C267" s="3"/>
      <c r="D267" s="3"/>
      <c r="E267" s="3"/>
      <c r="F267" s="12"/>
    </row>
    <row r="268" spans="1:6" ht="16.5" customHeight="1">
      <c r="A268" s="3"/>
      <c r="B268" s="3"/>
      <c r="C268" s="3"/>
      <c r="D268" s="3"/>
      <c r="E268" s="3"/>
      <c r="F268" s="12"/>
    </row>
    <row r="269" spans="1:6" ht="16.5" customHeight="1">
      <c r="A269" s="3"/>
      <c r="B269" s="3"/>
      <c r="C269" s="3"/>
      <c r="D269" s="3"/>
      <c r="E269" s="3"/>
      <c r="F269" s="12"/>
    </row>
    <row r="270" spans="1:6" ht="16.5" customHeight="1">
      <c r="A270" s="3"/>
      <c r="B270" s="3"/>
      <c r="C270" s="3"/>
      <c r="D270" s="3"/>
      <c r="E270" s="3"/>
      <c r="F270" s="12"/>
    </row>
    <row r="271" spans="1:6" ht="16.5" customHeight="1">
      <c r="A271" s="3"/>
      <c r="B271" s="3"/>
      <c r="C271" s="3"/>
      <c r="D271" s="3"/>
      <c r="E271" s="3"/>
      <c r="F271" s="12"/>
    </row>
    <row r="272" spans="1:6" ht="16.5" customHeight="1">
      <c r="A272" s="3"/>
      <c r="F272" s="12"/>
    </row>
    <row r="273" spans="1:6" ht="16.5" customHeight="1">
      <c r="A273" s="3"/>
      <c r="B273" s="3"/>
      <c r="C273" s="3"/>
      <c r="D273" s="3"/>
      <c r="E273" s="3"/>
      <c r="F273" s="12"/>
    </row>
    <row r="274" spans="1:6" ht="16.5" customHeight="1">
      <c r="A274" s="3"/>
      <c r="F274" s="12"/>
    </row>
    <row r="275" spans="1:6" ht="16.5" customHeight="1">
      <c r="A275" s="3"/>
      <c r="B275" s="3"/>
      <c r="C275" s="3"/>
      <c r="D275" s="3"/>
      <c r="E275" s="3"/>
      <c r="F275" s="12"/>
    </row>
    <row r="276" spans="1:6" ht="16.5" customHeight="1">
      <c r="F276" s="12"/>
    </row>
    <row r="277" spans="1:6" ht="16.5" customHeight="1">
      <c r="A277" s="3"/>
      <c r="B277" s="3"/>
      <c r="C277" s="3"/>
      <c r="D277" s="3"/>
      <c r="E277" s="3"/>
      <c r="F277" s="12"/>
    </row>
    <row r="278" spans="1:6" ht="16.5" customHeight="1">
      <c r="F278" s="12"/>
    </row>
    <row r="279" spans="1:6" ht="16.5" customHeight="1">
      <c r="A279" s="3"/>
      <c r="B279" s="3"/>
      <c r="C279" s="3"/>
      <c r="D279" s="3"/>
      <c r="E279" s="3"/>
      <c r="F279" s="12"/>
    </row>
    <row r="280" spans="1:6" ht="16.5" customHeight="1">
      <c r="F280" s="12"/>
    </row>
    <row r="281" spans="1:6" ht="16.5" customHeight="1">
      <c r="A281" s="3"/>
      <c r="B281" s="3"/>
      <c r="C281" s="3"/>
      <c r="D281" s="3"/>
      <c r="E281" s="3"/>
      <c r="F281" s="12"/>
    </row>
    <row r="282" spans="1:6" ht="16.5" customHeight="1">
      <c r="F282" s="12"/>
    </row>
    <row r="283" spans="1:6" ht="16.5" customHeight="1">
      <c r="A283" s="3"/>
      <c r="B283" s="3"/>
      <c r="C283" s="3"/>
      <c r="D283" s="3"/>
      <c r="E283" s="3"/>
      <c r="F283" s="12"/>
    </row>
    <row r="284" spans="1:6" ht="16.5" customHeight="1">
      <c r="F284" s="12"/>
    </row>
    <row r="285" spans="1:6" ht="16.5" customHeight="1">
      <c r="A285" s="3"/>
      <c r="B285" s="3"/>
      <c r="C285" s="3"/>
      <c r="D285" s="3"/>
      <c r="E285" s="3"/>
      <c r="F285" s="12"/>
    </row>
    <row r="286" spans="1:6" ht="16.5" customHeight="1">
      <c r="F286" s="12"/>
    </row>
    <row r="287" spans="1:6" ht="16.5" customHeight="1">
      <c r="A287" s="3"/>
      <c r="B287" s="3"/>
      <c r="C287" s="3"/>
      <c r="D287" s="3"/>
      <c r="E287" s="3"/>
      <c r="F287" s="12"/>
    </row>
    <row r="288" spans="1:6" ht="16.5" customHeight="1">
      <c r="F288" s="12"/>
    </row>
    <row r="289" spans="1:6" ht="16.5" customHeight="1">
      <c r="A289" s="3"/>
      <c r="B289" s="3"/>
      <c r="C289" s="3"/>
      <c r="D289" s="3"/>
      <c r="E289" s="3"/>
      <c r="F289" s="12"/>
    </row>
    <row r="290" spans="1:6" ht="16.5" customHeight="1">
      <c r="F290" s="12"/>
    </row>
    <row r="291" spans="1:6" ht="16.5" customHeight="1">
      <c r="A291" s="3"/>
      <c r="B291" s="3"/>
      <c r="C291" s="3"/>
      <c r="D291" s="3"/>
      <c r="E291" s="3"/>
      <c r="F291" s="12"/>
    </row>
    <row r="292" spans="1:6" ht="16.5" customHeight="1">
      <c r="F292" s="12"/>
    </row>
    <row r="293" spans="1:6" ht="16.5" customHeight="1">
      <c r="A293" s="3"/>
      <c r="B293" s="3"/>
      <c r="C293" s="3"/>
      <c r="D293" s="3"/>
      <c r="E293" s="3"/>
      <c r="F293" s="12"/>
    </row>
    <row r="294" spans="1:6" ht="16.5" customHeight="1">
      <c r="F294" s="12"/>
    </row>
    <row r="295" spans="1:6" ht="16.5" customHeight="1">
      <c r="A295" s="3"/>
      <c r="B295" s="3"/>
      <c r="C295" s="3"/>
      <c r="D295" s="3"/>
      <c r="E295" s="3"/>
      <c r="F295" s="12"/>
    </row>
    <row r="296" spans="1:6" ht="16.5" customHeight="1">
      <c r="F296" s="12"/>
    </row>
    <row r="297" spans="1:6" ht="16.5" customHeight="1">
      <c r="A297" s="3"/>
      <c r="B297" s="3"/>
      <c r="C297" s="3"/>
      <c r="D297" s="3"/>
      <c r="E297" s="3"/>
      <c r="F297" s="12"/>
    </row>
    <row r="298" spans="1:6" ht="16.5" customHeight="1">
      <c r="F298" s="12"/>
    </row>
    <row r="299" spans="1:6" ht="16.5" customHeight="1">
      <c r="A299" s="3"/>
      <c r="B299" s="3"/>
      <c r="C299" s="3"/>
      <c r="D299" s="3"/>
      <c r="E299" s="3"/>
      <c r="F299" s="12"/>
    </row>
    <row r="300" spans="1:6" ht="16.5" customHeight="1">
      <c r="F300" s="12"/>
    </row>
    <row r="301" spans="1:6" ht="16.5" customHeight="1">
      <c r="A301" s="3"/>
      <c r="B301" s="3"/>
      <c r="C301" s="3"/>
      <c r="D301" s="3"/>
      <c r="E301" s="3"/>
      <c r="F301" s="12"/>
    </row>
    <row r="302" spans="1:6" ht="16.5" customHeight="1"/>
    <row r="303" spans="1:6" ht="16.5" customHeight="1"/>
    <row r="304" spans="1:6"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heetViews>
  <sheetFormatPr defaultColWidth="12.5703125" defaultRowHeight="15.75" customHeight="1"/>
  <cols>
    <col min="1" max="1" width="114.5703125" customWidth="1"/>
    <col min="2" max="2" width="38.85546875" customWidth="1"/>
    <col min="3" max="5" width="25.85546875" customWidth="1"/>
  </cols>
  <sheetData>
    <row r="1" spans="1:26">
      <c r="A1" s="13" t="s">
        <v>0</v>
      </c>
      <c r="B1" s="14" t="s">
        <v>1</v>
      </c>
      <c r="C1" s="14" t="s">
        <v>2</v>
      </c>
      <c r="D1" s="14" t="s">
        <v>3</v>
      </c>
      <c r="E1" s="14" t="s">
        <v>4</v>
      </c>
      <c r="F1" s="13"/>
      <c r="G1" s="13"/>
      <c r="H1" s="13"/>
      <c r="I1" s="13"/>
      <c r="J1" s="13"/>
      <c r="K1" s="13"/>
      <c r="L1" s="13"/>
      <c r="M1" s="13"/>
      <c r="N1" s="13"/>
      <c r="O1" s="13"/>
      <c r="P1" s="13"/>
      <c r="Q1" s="13"/>
      <c r="R1" s="13"/>
      <c r="S1" s="13"/>
      <c r="T1" s="13"/>
      <c r="U1" s="13"/>
      <c r="V1" s="13"/>
      <c r="W1" s="13"/>
      <c r="X1" s="13"/>
      <c r="Y1" s="13"/>
      <c r="Z1" s="13"/>
    </row>
    <row r="2" spans="1:26">
      <c r="A2" s="15" t="s">
        <v>143</v>
      </c>
      <c r="B2" s="16" t="s">
        <v>144</v>
      </c>
      <c r="C2" s="16" t="s">
        <v>145</v>
      </c>
      <c r="D2" s="16" t="s">
        <v>146</v>
      </c>
      <c r="E2" s="16" t="s">
        <v>147</v>
      </c>
    </row>
    <row r="3" spans="1:26">
      <c r="A3" s="15" t="s">
        <v>148</v>
      </c>
      <c r="B3" s="16" t="s">
        <v>149</v>
      </c>
      <c r="C3" s="16" t="s">
        <v>150</v>
      </c>
      <c r="D3" s="16" t="s">
        <v>151</v>
      </c>
      <c r="E3" s="16" t="s">
        <v>152</v>
      </c>
    </row>
    <row r="4" spans="1:26">
      <c r="A4" s="15" t="s">
        <v>153</v>
      </c>
      <c r="B4" s="16" t="s">
        <v>154</v>
      </c>
      <c r="C4" s="16" t="s">
        <v>155</v>
      </c>
      <c r="D4" s="16" t="s">
        <v>156</v>
      </c>
      <c r="E4" s="16" t="s">
        <v>157</v>
      </c>
    </row>
    <row r="5" spans="1:26">
      <c r="A5" s="15" t="s">
        <v>158</v>
      </c>
      <c r="B5" s="16" t="s">
        <v>159</v>
      </c>
      <c r="C5" s="16" t="s">
        <v>160</v>
      </c>
      <c r="D5" s="16" t="s">
        <v>161</v>
      </c>
      <c r="E5" s="16" t="s">
        <v>162</v>
      </c>
    </row>
    <row r="6" spans="1:26">
      <c r="A6" s="15" t="s">
        <v>163</v>
      </c>
      <c r="B6" s="16" t="s">
        <v>164</v>
      </c>
      <c r="C6" s="16" t="s">
        <v>165</v>
      </c>
      <c r="D6" s="16" t="s">
        <v>166</v>
      </c>
      <c r="E6" s="16" t="s">
        <v>167</v>
      </c>
    </row>
    <row r="7" spans="1:26">
      <c r="A7" s="15" t="s">
        <v>168</v>
      </c>
      <c r="B7" s="16" t="s">
        <v>149</v>
      </c>
      <c r="C7" s="16" t="s">
        <v>169</v>
      </c>
      <c r="D7" s="16" t="s">
        <v>152</v>
      </c>
      <c r="E7" s="16" t="s">
        <v>170</v>
      </c>
    </row>
    <row r="8" spans="1:26">
      <c r="A8" s="15" t="s">
        <v>171</v>
      </c>
      <c r="B8" s="16" t="s">
        <v>172</v>
      </c>
      <c r="C8" s="16" t="s">
        <v>173</v>
      </c>
      <c r="D8" s="16" t="s">
        <v>174</v>
      </c>
      <c r="E8" s="16" t="s">
        <v>175</v>
      </c>
    </row>
    <row r="9" spans="1:26">
      <c r="A9" s="15" t="s">
        <v>176</v>
      </c>
      <c r="B9" s="16" t="s">
        <v>177</v>
      </c>
      <c r="C9" s="16" t="s">
        <v>178</v>
      </c>
      <c r="D9" s="16" t="s">
        <v>179</v>
      </c>
      <c r="E9" s="16" t="s">
        <v>180</v>
      </c>
    </row>
    <row r="10" spans="1:26">
      <c r="A10" s="15" t="s">
        <v>181</v>
      </c>
      <c r="B10" s="16" t="s">
        <v>182</v>
      </c>
      <c r="C10" s="16" t="s">
        <v>183</v>
      </c>
      <c r="D10" s="16" t="s">
        <v>184</v>
      </c>
      <c r="E10" s="16" t="s">
        <v>185</v>
      </c>
    </row>
    <row r="11" spans="1:26">
      <c r="A11" s="15" t="s">
        <v>186</v>
      </c>
      <c r="B11" s="16" t="s">
        <v>172</v>
      </c>
      <c r="C11" s="16" t="s">
        <v>173</v>
      </c>
      <c r="D11" s="16" t="s">
        <v>174</v>
      </c>
      <c r="E11" s="16" t="s">
        <v>152</v>
      </c>
    </row>
    <row r="12" spans="1:26">
      <c r="A12" s="15" t="s">
        <v>187</v>
      </c>
      <c r="B12" s="16" t="s">
        <v>188</v>
      </c>
      <c r="C12" s="16" t="s">
        <v>154</v>
      </c>
      <c r="D12" s="16" t="s">
        <v>189</v>
      </c>
      <c r="E12" s="16" t="s">
        <v>190</v>
      </c>
    </row>
    <row r="13" spans="1:26">
      <c r="A13" s="15" t="s">
        <v>191</v>
      </c>
      <c r="B13" s="16" t="s">
        <v>192</v>
      </c>
      <c r="C13" s="16" t="s">
        <v>193</v>
      </c>
      <c r="D13" s="16" t="s">
        <v>194</v>
      </c>
      <c r="E13" s="16" t="s">
        <v>195</v>
      </c>
    </row>
    <row r="14" spans="1:26">
      <c r="A14" s="15" t="s">
        <v>196</v>
      </c>
      <c r="B14" s="16" t="s">
        <v>197</v>
      </c>
      <c r="C14" s="16" t="s">
        <v>198</v>
      </c>
      <c r="D14" s="16" t="s">
        <v>199</v>
      </c>
      <c r="E14" s="16" t="s">
        <v>200</v>
      </c>
    </row>
    <row r="15" spans="1:26">
      <c r="A15" s="15" t="s">
        <v>201</v>
      </c>
      <c r="B15" s="16" t="s">
        <v>202</v>
      </c>
      <c r="C15" s="16" t="s">
        <v>203</v>
      </c>
      <c r="D15" s="16" t="s">
        <v>204</v>
      </c>
      <c r="E15" s="16" t="s">
        <v>205</v>
      </c>
    </row>
    <row r="16" spans="1:26">
      <c r="A16" s="15" t="s">
        <v>206</v>
      </c>
      <c r="B16" s="16" t="s">
        <v>175</v>
      </c>
      <c r="C16" s="16" t="s">
        <v>174</v>
      </c>
      <c r="D16" s="16" t="s">
        <v>152</v>
      </c>
      <c r="E16" s="16" t="s">
        <v>172</v>
      </c>
    </row>
    <row r="17" spans="1:5">
      <c r="A17" s="15" t="s">
        <v>207</v>
      </c>
      <c r="B17" s="16" t="s">
        <v>208</v>
      </c>
      <c r="C17" s="16" t="s">
        <v>209</v>
      </c>
      <c r="D17" s="16" t="s">
        <v>210</v>
      </c>
      <c r="E17" s="16" t="s">
        <v>211</v>
      </c>
    </row>
    <row r="18" spans="1:5">
      <c r="A18" s="15" t="s">
        <v>212</v>
      </c>
      <c r="B18" s="16" t="s">
        <v>213</v>
      </c>
      <c r="C18" s="16" t="s">
        <v>214</v>
      </c>
      <c r="D18" s="16" t="s">
        <v>215</v>
      </c>
      <c r="E18" s="16" t="s">
        <v>216</v>
      </c>
    </row>
    <row r="19" spans="1:5">
      <c r="A19" s="15" t="s">
        <v>217</v>
      </c>
      <c r="B19" s="16" t="s">
        <v>218</v>
      </c>
      <c r="C19" s="16" t="s">
        <v>219</v>
      </c>
      <c r="D19" s="16" t="s">
        <v>220</v>
      </c>
      <c r="E19" s="16" t="s">
        <v>221</v>
      </c>
    </row>
    <row r="20" spans="1:5">
      <c r="A20" s="15" t="s">
        <v>222</v>
      </c>
      <c r="B20" s="16" t="s">
        <v>170</v>
      </c>
      <c r="C20" s="16" t="s">
        <v>223</v>
      </c>
      <c r="D20" s="16" t="s">
        <v>151</v>
      </c>
      <c r="E20" s="16" t="s">
        <v>224</v>
      </c>
    </row>
    <row r="21" spans="1:5">
      <c r="A21" s="15" t="s">
        <v>225</v>
      </c>
      <c r="B21" s="16" t="s">
        <v>169</v>
      </c>
      <c r="C21" s="16" t="s">
        <v>149</v>
      </c>
      <c r="D21" s="16" t="s">
        <v>151</v>
      </c>
      <c r="E21" s="16" t="s">
        <v>170</v>
      </c>
    </row>
    <row r="22" spans="1:5">
      <c r="A22" s="15" t="s">
        <v>226</v>
      </c>
      <c r="B22" s="16" t="s">
        <v>227</v>
      </c>
      <c r="C22" s="16" t="s">
        <v>228</v>
      </c>
      <c r="D22" s="16" t="s">
        <v>229</v>
      </c>
      <c r="E22" s="16" t="s">
        <v>230</v>
      </c>
    </row>
    <row r="23" spans="1:5">
      <c r="A23" s="15" t="s">
        <v>231</v>
      </c>
      <c r="B23" s="16" t="s">
        <v>170</v>
      </c>
      <c r="C23" s="16" t="s">
        <v>150</v>
      </c>
      <c r="D23" s="16" t="s">
        <v>151</v>
      </c>
      <c r="E23" s="16" t="s">
        <v>224</v>
      </c>
    </row>
    <row r="24" spans="1:5">
      <c r="A24" s="15" t="s">
        <v>232</v>
      </c>
      <c r="B24" s="16" t="s">
        <v>233</v>
      </c>
      <c r="C24" s="16" t="s">
        <v>234</v>
      </c>
      <c r="D24" s="16" t="s">
        <v>235</v>
      </c>
      <c r="E24" s="16" t="s">
        <v>236</v>
      </c>
    </row>
    <row r="25" spans="1:5">
      <c r="A25" s="15" t="s">
        <v>237</v>
      </c>
      <c r="B25" s="16" t="s">
        <v>238</v>
      </c>
      <c r="C25" s="16" t="s">
        <v>239</v>
      </c>
      <c r="D25" s="16" t="s">
        <v>240</v>
      </c>
      <c r="E25" s="16" t="s">
        <v>241</v>
      </c>
    </row>
    <row r="26" spans="1:5">
      <c r="A26" s="15" t="s">
        <v>242</v>
      </c>
      <c r="B26" s="16" t="s">
        <v>243</v>
      </c>
      <c r="C26" s="16" t="s">
        <v>244</v>
      </c>
      <c r="D26" s="16" t="s">
        <v>245</v>
      </c>
      <c r="E26" s="16" t="s">
        <v>246</v>
      </c>
    </row>
    <row r="27" spans="1:5">
      <c r="A27" s="15" t="s">
        <v>247</v>
      </c>
      <c r="B27" s="16" t="s">
        <v>248</v>
      </c>
      <c r="C27" s="16" t="s">
        <v>249</v>
      </c>
      <c r="D27" s="16" t="s">
        <v>250</v>
      </c>
      <c r="E27" s="16" t="s">
        <v>251</v>
      </c>
    </row>
    <row r="28" spans="1:5">
      <c r="A28" s="15" t="s">
        <v>252</v>
      </c>
      <c r="B28" s="16" t="s">
        <v>253</v>
      </c>
      <c r="C28" s="16" t="s">
        <v>254</v>
      </c>
      <c r="D28" s="16" t="s">
        <v>255</v>
      </c>
      <c r="E28" s="16" t="s">
        <v>256</v>
      </c>
    </row>
    <row r="29" spans="1:5">
      <c r="A29" s="15" t="s">
        <v>257</v>
      </c>
      <c r="B29" s="16" t="s">
        <v>149</v>
      </c>
      <c r="C29" s="16" t="s">
        <v>150</v>
      </c>
      <c r="D29" s="16" t="s">
        <v>151</v>
      </c>
      <c r="E29" s="16" t="s">
        <v>152</v>
      </c>
    </row>
    <row r="30" spans="1:5">
      <c r="A30" s="15" t="s">
        <v>258</v>
      </c>
      <c r="B30" s="16" t="s">
        <v>259</v>
      </c>
      <c r="C30" s="16" t="s">
        <v>260</v>
      </c>
      <c r="D30" s="16" t="s">
        <v>261</v>
      </c>
      <c r="E30" s="16" t="s">
        <v>262</v>
      </c>
    </row>
    <row r="31" spans="1:5">
      <c r="A31" s="15" t="s">
        <v>263</v>
      </c>
      <c r="B31" s="16" t="s">
        <v>264</v>
      </c>
      <c r="C31" s="16" t="s">
        <v>218</v>
      </c>
      <c r="D31" s="16" t="s">
        <v>219</v>
      </c>
      <c r="E31" s="16" t="s">
        <v>265</v>
      </c>
    </row>
    <row r="32" spans="1:5">
      <c r="A32" s="15" t="s">
        <v>266</v>
      </c>
      <c r="B32" s="16" t="s">
        <v>267</v>
      </c>
      <c r="C32" s="16" t="s">
        <v>205</v>
      </c>
      <c r="D32" s="16" t="s">
        <v>268</v>
      </c>
      <c r="E32" s="16" t="s">
        <v>202</v>
      </c>
    </row>
    <row r="33" spans="1:26">
      <c r="A33" s="15" t="s">
        <v>269</v>
      </c>
      <c r="B33" s="16" t="s">
        <v>223</v>
      </c>
      <c r="C33" s="16" t="s">
        <v>270</v>
      </c>
      <c r="D33" s="16" t="s">
        <v>271</v>
      </c>
      <c r="E33" s="16" t="s">
        <v>272</v>
      </c>
    </row>
    <row r="34" spans="1:26">
      <c r="A34" s="15" t="s">
        <v>273</v>
      </c>
      <c r="B34" s="16" t="s">
        <v>274</v>
      </c>
      <c r="C34" s="16" t="s">
        <v>275</v>
      </c>
      <c r="D34" s="16" t="s">
        <v>276</v>
      </c>
      <c r="E34" s="16" t="s">
        <v>277</v>
      </c>
    </row>
    <row r="35" spans="1:26">
      <c r="A35" s="15" t="s">
        <v>278</v>
      </c>
      <c r="B35" s="16" t="s">
        <v>279</v>
      </c>
      <c r="C35" s="16" t="s">
        <v>280</v>
      </c>
      <c r="D35" s="16" t="s">
        <v>281</v>
      </c>
      <c r="E35" s="16" t="s">
        <v>282</v>
      </c>
    </row>
    <row r="36" spans="1:26">
      <c r="A36" s="15" t="s">
        <v>283</v>
      </c>
      <c r="B36" s="16" t="s">
        <v>284</v>
      </c>
      <c r="C36" s="16" t="s">
        <v>285</v>
      </c>
      <c r="D36" s="16" t="s">
        <v>223</v>
      </c>
      <c r="E36" s="16" t="s">
        <v>286</v>
      </c>
    </row>
    <row r="37" spans="1:26">
      <c r="A37" s="15" t="s">
        <v>287</v>
      </c>
      <c r="B37" s="16" t="s">
        <v>165</v>
      </c>
      <c r="C37" s="16" t="s">
        <v>164</v>
      </c>
      <c r="D37" s="16" t="s">
        <v>166</v>
      </c>
      <c r="E37" s="16" t="s">
        <v>167</v>
      </c>
    </row>
    <row r="38" spans="1:26">
      <c r="A38" s="15" t="s">
        <v>288</v>
      </c>
      <c r="B38" s="16" t="s">
        <v>270</v>
      </c>
      <c r="C38" s="16" t="s">
        <v>223</v>
      </c>
      <c r="D38" s="16" t="s">
        <v>271</v>
      </c>
      <c r="E38" s="16" t="s">
        <v>272</v>
      </c>
    </row>
    <row r="39" spans="1:26">
      <c r="A39" s="15" t="s">
        <v>289</v>
      </c>
      <c r="B39" s="16" t="s">
        <v>290</v>
      </c>
      <c r="C39" s="16" t="s">
        <v>291</v>
      </c>
      <c r="D39" s="16" t="s">
        <v>292</v>
      </c>
      <c r="E39" s="16" t="s">
        <v>293</v>
      </c>
    </row>
    <row r="40" spans="1:26">
      <c r="A40" s="15" t="s">
        <v>294</v>
      </c>
      <c r="B40" s="16" t="s">
        <v>295</v>
      </c>
      <c r="C40" s="16" t="s">
        <v>296</v>
      </c>
      <c r="D40" s="16" t="s">
        <v>297</v>
      </c>
      <c r="E40" s="16" t="s">
        <v>272</v>
      </c>
    </row>
    <row r="41" spans="1:26">
      <c r="A41" s="15" t="s">
        <v>298</v>
      </c>
      <c r="B41" s="16" t="s">
        <v>146</v>
      </c>
      <c r="C41" s="16" t="s">
        <v>144</v>
      </c>
      <c r="D41" s="16" t="s">
        <v>145</v>
      </c>
      <c r="E41" s="16" t="s">
        <v>147</v>
      </c>
    </row>
    <row r="42" spans="1:26">
      <c r="A42" s="15" t="s">
        <v>299</v>
      </c>
      <c r="B42" s="16" t="s">
        <v>300</v>
      </c>
      <c r="C42" s="16" t="s">
        <v>301</v>
      </c>
      <c r="D42" s="16" t="s">
        <v>302</v>
      </c>
      <c r="E42" s="16" t="s">
        <v>303</v>
      </c>
    </row>
    <row r="43" spans="1:26">
      <c r="A43" s="15" t="s">
        <v>304</v>
      </c>
      <c r="B43" s="16" t="s">
        <v>305</v>
      </c>
      <c r="C43" s="16" t="s">
        <v>184</v>
      </c>
      <c r="D43" s="16" t="s">
        <v>306</v>
      </c>
      <c r="E43" s="16" t="s">
        <v>182</v>
      </c>
    </row>
    <row r="44" spans="1:26">
      <c r="A44" s="15" t="s">
        <v>307</v>
      </c>
      <c r="B44" s="16" t="s">
        <v>308</v>
      </c>
      <c r="C44" s="16" t="s">
        <v>309</v>
      </c>
      <c r="D44" s="16" t="s">
        <v>310</v>
      </c>
      <c r="E44" s="16" t="s">
        <v>311</v>
      </c>
    </row>
    <row r="45" spans="1:26">
      <c r="A45" s="15" t="s">
        <v>312</v>
      </c>
      <c r="B45" s="16" t="s">
        <v>172</v>
      </c>
      <c r="C45" s="16" t="s">
        <v>174</v>
      </c>
      <c r="D45" s="16" t="s">
        <v>173</v>
      </c>
      <c r="E45" s="16" t="s">
        <v>175</v>
      </c>
    </row>
    <row r="46" spans="1:26">
      <c r="A46" s="17" t="s">
        <v>313</v>
      </c>
      <c r="B46" s="17" t="s">
        <v>314</v>
      </c>
      <c r="C46" s="17" t="s">
        <v>315</v>
      </c>
      <c r="D46" s="17" t="s">
        <v>316</v>
      </c>
      <c r="E46" s="17" t="s">
        <v>317</v>
      </c>
      <c r="F46" s="18"/>
      <c r="G46" s="18"/>
      <c r="H46" s="18"/>
      <c r="I46" s="18"/>
      <c r="J46" s="18"/>
      <c r="K46" s="18"/>
      <c r="L46" s="18"/>
      <c r="M46" s="18"/>
      <c r="N46" s="18"/>
      <c r="O46" s="18"/>
      <c r="P46" s="18"/>
      <c r="Q46" s="18"/>
      <c r="R46" s="18"/>
      <c r="S46" s="18"/>
      <c r="T46" s="18"/>
      <c r="U46" s="18"/>
      <c r="V46" s="18"/>
      <c r="W46" s="18"/>
      <c r="X46" s="18"/>
      <c r="Y46" s="18"/>
      <c r="Z46" s="18"/>
    </row>
    <row r="47" spans="1:26">
      <c r="A47" s="15" t="s">
        <v>318</v>
      </c>
      <c r="B47" s="16" t="s">
        <v>319</v>
      </c>
      <c r="C47" s="16" t="s">
        <v>320</v>
      </c>
      <c r="D47" s="16" t="s">
        <v>321</v>
      </c>
      <c r="E47" s="16" t="s">
        <v>322</v>
      </c>
    </row>
    <row r="48" spans="1:26">
      <c r="A48" s="15" t="s">
        <v>323</v>
      </c>
      <c r="B48" s="16" t="s">
        <v>324</v>
      </c>
      <c r="C48" s="16" t="s">
        <v>325</v>
      </c>
      <c r="D48" s="16" t="s">
        <v>326</v>
      </c>
      <c r="E48" s="16" t="s">
        <v>327</v>
      </c>
    </row>
    <row r="49" spans="1:26">
      <c r="A49" s="15" t="s">
        <v>328</v>
      </c>
      <c r="B49" s="16" t="s">
        <v>329</v>
      </c>
      <c r="C49" s="16" t="s">
        <v>330</v>
      </c>
      <c r="D49" s="16" t="s">
        <v>331</v>
      </c>
      <c r="E49" s="16" t="s">
        <v>332</v>
      </c>
    </row>
    <row r="50" spans="1:26">
      <c r="A50" s="15" t="s">
        <v>333</v>
      </c>
      <c r="B50" s="16" t="s">
        <v>152</v>
      </c>
      <c r="C50" s="16" t="s">
        <v>174</v>
      </c>
      <c r="D50" s="16" t="s">
        <v>149</v>
      </c>
      <c r="E50" s="16" t="s">
        <v>175</v>
      </c>
    </row>
    <row r="51" spans="1:26">
      <c r="A51" s="15" t="s">
        <v>334</v>
      </c>
      <c r="B51" s="16" t="s">
        <v>335</v>
      </c>
      <c r="C51" s="16" t="s">
        <v>277</v>
      </c>
      <c r="D51" s="16" t="s">
        <v>336</v>
      </c>
      <c r="E51" s="16" t="s">
        <v>337</v>
      </c>
    </row>
    <row r="52" spans="1:26">
      <c r="A52" s="15" t="s">
        <v>338</v>
      </c>
      <c r="B52" s="16" t="s">
        <v>339</v>
      </c>
      <c r="C52" s="16" t="s">
        <v>340</v>
      </c>
      <c r="D52" s="16" t="s">
        <v>341</v>
      </c>
      <c r="E52" s="16" t="s">
        <v>342</v>
      </c>
    </row>
    <row r="53" spans="1:26">
      <c r="A53" s="15" t="s">
        <v>343</v>
      </c>
      <c r="B53" s="16" t="s">
        <v>344</v>
      </c>
      <c r="C53" s="16" t="s">
        <v>345</v>
      </c>
      <c r="D53" s="16" t="s">
        <v>346</v>
      </c>
      <c r="E53" s="16" t="s">
        <v>347</v>
      </c>
    </row>
    <row r="54" spans="1:26">
      <c r="A54" s="15" t="s">
        <v>348</v>
      </c>
      <c r="B54" s="16" t="s">
        <v>182</v>
      </c>
      <c r="C54" s="16" t="s">
        <v>306</v>
      </c>
      <c r="D54" s="16" t="s">
        <v>349</v>
      </c>
      <c r="E54" s="16" t="s">
        <v>184</v>
      </c>
    </row>
    <row r="55" spans="1:26">
      <c r="A55" s="15" t="s">
        <v>350</v>
      </c>
      <c r="B55" s="16" t="s">
        <v>175</v>
      </c>
      <c r="C55" s="16" t="s">
        <v>174</v>
      </c>
      <c r="D55" s="16" t="s">
        <v>152</v>
      </c>
      <c r="E55" s="16" t="s">
        <v>150</v>
      </c>
    </row>
    <row r="56" spans="1:26">
      <c r="A56" s="15" t="s">
        <v>351</v>
      </c>
      <c r="B56" s="16" t="s">
        <v>352</v>
      </c>
      <c r="C56" s="16" t="s">
        <v>353</v>
      </c>
      <c r="D56" s="16" t="s">
        <v>185</v>
      </c>
      <c r="E56" s="16" t="s">
        <v>354</v>
      </c>
    </row>
    <row r="57" spans="1:26">
      <c r="A57" s="15" t="s">
        <v>355</v>
      </c>
      <c r="B57" s="16" t="s">
        <v>275</v>
      </c>
      <c r="C57" s="16" t="s">
        <v>274</v>
      </c>
      <c r="D57" s="16" t="s">
        <v>356</v>
      </c>
      <c r="E57" s="16" t="s">
        <v>357</v>
      </c>
    </row>
    <row r="58" spans="1:26">
      <c r="A58" s="15" t="s">
        <v>358</v>
      </c>
      <c r="B58" s="16" t="s">
        <v>359</v>
      </c>
      <c r="C58" s="16" t="s">
        <v>360</v>
      </c>
      <c r="D58" s="16" t="s">
        <v>361</v>
      </c>
      <c r="E58" s="16" t="s">
        <v>362</v>
      </c>
    </row>
    <row r="59" spans="1:26">
      <c r="A59" s="15" t="s">
        <v>363</v>
      </c>
      <c r="B59" s="16" t="s">
        <v>364</v>
      </c>
      <c r="C59" s="16" t="s">
        <v>344</v>
      </c>
      <c r="D59" s="16" t="s">
        <v>347</v>
      </c>
      <c r="E59" s="16" t="s">
        <v>346</v>
      </c>
    </row>
    <row r="60" spans="1:26">
      <c r="A60" s="15" t="s">
        <v>365</v>
      </c>
      <c r="B60" s="16" t="s">
        <v>366</v>
      </c>
      <c r="C60" s="16" t="s">
        <v>296</v>
      </c>
      <c r="D60" s="16" t="s">
        <v>297</v>
      </c>
      <c r="E60" s="16" t="s">
        <v>367</v>
      </c>
    </row>
    <row r="61" spans="1:26">
      <c r="A61" s="15" t="s">
        <v>368</v>
      </c>
      <c r="B61" s="16" t="s">
        <v>369</v>
      </c>
      <c r="C61" s="16" t="s">
        <v>370</v>
      </c>
      <c r="D61" s="16" t="s">
        <v>371</v>
      </c>
      <c r="E61" s="16" t="s">
        <v>372</v>
      </c>
    </row>
    <row r="62" spans="1:26">
      <c r="A62" s="15" t="s">
        <v>373</v>
      </c>
      <c r="B62" s="16" t="s">
        <v>374</v>
      </c>
      <c r="C62" s="16" t="s">
        <v>183</v>
      </c>
      <c r="D62" s="16" t="s">
        <v>197</v>
      </c>
      <c r="E62" s="16" t="s">
        <v>184</v>
      </c>
    </row>
    <row r="63" spans="1:26">
      <c r="A63" s="15" t="s">
        <v>375</v>
      </c>
      <c r="B63" s="16" t="s">
        <v>376</v>
      </c>
      <c r="C63" s="16" t="s">
        <v>377</v>
      </c>
      <c r="D63" s="16" t="s">
        <v>378</v>
      </c>
      <c r="E63" s="16" t="s">
        <v>173</v>
      </c>
    </row>
    <row r="64" spans="1:26">
      <c r="A64" s="18" t="s">
        <v>379</v>
      </c>
      <c r="B64" s="17" t="s">
        <v>380</v>
      </c>
      <c r="C64" s="17" t="s">
        <v>264</v>
      </c>
      <c r="D64" s="17" t="s">
        <v>381</v>
      </c>
      <c r="E64" s="17" t="s">
        <v>218</v>
      </c>
      <c r="F64" s="18"/>
      <c r="G64" s="18"/>
      <c r="H64" s="18"/>
      <c r="I64" s="18"/>
      <c r="J64" s="18"/>
      <c r="K64" s="18"/>
      <c r="L64" s="18"/>
      <c r="M64" s="18"/>
      <c r="N64" s="18"/>
      <c r="O64" s="18"/>
      <c r="P64" s="18"/>
      <c r="Q64" s="18"/>
      <c r="R64" s="18"/>
      <c r="S64" s="18"/>
      <c r="T64" s="18"/>
      <c r="U64" s="18"/>
      <c r="V64" s="18"/>
      <c r="W64" s="18"/>
      <c r="X64" s="18"/>
      <c r="Y64" s="18"/>
      <c r="Z64" s="18"/>
    </row>
    <row r="65" spans="1:26">
      <c r="A65" s="15" t="s">
        <v>382</v>
      </c>
      <c r="B65" s="16" t="s">
        <v>198</v>
      </c>
      <c r="C65" s="16" t="s">
        <v>383</v>
      </c>
      <c r="D65" s="16" t="s">
        <v>183</v>
      </c>
      <c r="E65" s="16" t="s">
        <v>384</v>
      </c>
    </row>
    <row r="66" spans="1:26">
      <c r="A66" s="18" t="s">
        <v>385</v>
      </c>
      <c r="B66" s="17" t="s">
        <v>386</v>
      </c>
      <c r="C66" s="17" t="s">
        <v>210</v>
      </c>
      <c r="D66" s="17" t="s">
        <v>387</v>
      </c>
      <c r="E66" s="17" t="s">
        <v>388</v>
      </c>
      <c r="F66" s="18"/>
      <c r="G66" s="18"/>
      <c r="H66" s="18"/>
      <c r="I66" s="18"/>
      <c r="J66" s="18"/>
      <c r="K66" s="18"/>
      <c r="L66" s="18"/>
      <c r="M66" s="18"/>
      <c r="N66" s="18"/>
      <c r="O66" s="18"/>
      <c r="P66" s="18"/>
      <c r="Q66" s="18"/>
      <c r="R66" s="18"/>
      <c r="S66" s="18"/>
      <c r="T66" s="18"/>
      <c r="U66" s="18"/>
      <c r="V66" s="18"/>
      <c r="W66" s="18"/>
      <c r="X66" s="18"/>
      <c r="Y66" s="18"/>
      <c r="Z66" s="18"/>
    </row>
    <row r="67" spans="1:26">
      <c r="A67" s="18" t="s">
        <v>389</v>
      </c>
      <c r="B67" s="17" t="s">
        <v>308</v>
      </c>
      <c r="C67" s="17" t="s">
        <v>390</v>
      </c>
      <c r="D67" s="17" t="s">
        <v>391</v>
      </c>
      <c r="E67" s="17" t="s">
        <v>392</v>
      </c>
      <c r="F67" s="18"/>
      <c r="G67" s="18"/>
      <c r="H67" s="18"/>
      <c r="I67" s="18"/>
      <c r="J67" s="18"/>
      <c r="K67" s="18"/>
      <c r="L67" s="18"/>
      <c r="M67" s="18"/>
      <c r="N67" s="18"/>
      <c r="O67" s="18"/>
      <c r="P67" s="18"/>
      <c r="Q67" s="18"/>
      <c r="R67" s="18"/>
      <c r="S67" s="18"/>
      <c r="T67" s="18"/>
      <c r="U67" s="18"/>
      <c r="V67" s="18"/>
      <c r="W67" s="18"/>
      <c r="X67" s="18"/>
      <c r="Y67" s="18"/>
      <c r="Z67" s="18"/>
    </row>
    <row r="68" spans="1:26">
      <c r="A68" s="18" t="s">
        <v>393</v>
      </c>
      <c r="B68" s="17" t="s">
        <v>262</v>
      </c>
      <c r="C68" s="17" t="s">
        <v>260</v>
      </c>
      <c r="D68" s="17" t="s">
        <v>251</v>
      </c>
      <c r="E68" s="17" t="s">
        <v>261</v>
      </c>
      <c r="F68" s="18"/>
      <c r="G68" s="18"/>
      <c r="H68" s="18"/>
      <c r="I68" s="18"/>
      <c r="J68" s="18"/>
      <c r="K68" s="18"/>
      <c r="L68" s="18"/>
      <c r="M68" s="18"/>
      <c r="N68" s="18"/>
      <c r="O68" s="18"/>
      <c r="P68" s="18"/>
      <c r="Q68" s="18"/>
      <c r="R68" s="18"/>
      <c r="S68" s="18"/>
      <c r="T68" s="18"/>
      <c r="U68" s="18"/>
      <c r="V68" s="18"/>
      <c r="W68" s="18"/>
      <c r="X68" s="18"/>
      <c r="Y68" s="18"/>
      <c r="Z68" s="18"/>
    </row>
    <row r="69" spans="1:26">
      <c r="A69" s="18" t="s">
        <v>394</v>
      </c>
      <c r="B69" s="17" t="s">
        <v>395</v>
      </c>
      <c r="C69" s="17" t="s">
        <v>396</v>
      </c>
      <c r="D69" s="17" t="s">
        <v>397</v>
      </c>
      <c r="E69" s="17" t="s">
        <v>398</v>
      </c>
      <c r="F69" s="18"/>
      <c r="G69" s="18"/>
      <c r="H69" s="18"/>
      <c r="I69" s="18"/>
      <c r="J69" s="18"/>
      <c r="K69" s="18"/>
      <c r="L69" s="18"/>
      <c r="M69" s="18"/>
      <c r="N69" s="18"/>
      <c r="O69" s="18"/>
      <c r="P69" s="18"/>
      <c r="Q69" s="18"/>
      <c r="R69" s="18"/>
      <c r="S69" s="18"/>
      <c r="T69" s="18"/>
      <c r="U69" s="18"/>
      <c r="V69" s="18"/>
      <c r="W69" s="18"/>
      <c r="X69" s="18"/>
      <c r="Y69" s="18"/>
      <c r="Z69" s="18"/>
    </row>
    <row r="70" spans="1:26">
      <c r="A70" s="18" t="s">
        <v>399</v>
      </c>
      <c r="B70" s="17" t="s">
        <v>400</v>
      </c>
      <c r="C70" s="17" t="s">
        <v>401</v>
      </c>
      <c r="D70" s="17" t="s">
        <v>402</v>
      </c>
      <c r="E70" s="17" t="s">
        <v>403</v>
      </c>
      <c r="F70" s="18"/>
      <c r="G70" s="18"/>
      <c r="H70" s="18"/>
      <c r="I70" s="18"/>
      <c r="J70" s="18"/>
      <c r="K70" s="18"/>
      <c r="L70" s="18"/>
      <c r="M70" s="18"/>
      <c r="N70" s="18"/>
      <c r="O70" s="18"/>
      <c r="P70" s="18"/>
      <c r="Q70" s="18"/>
      <c r="R70" s="18"/>
      <c r="S70" s="18"/>
      <c r="T70" s="18"/>
      <c r="U70" s="18"/>
      <c r="V70" s="18"/>
      <c r="W70" s="18"/>
      <c r="X70" s="18"/>
      <c r="Y70" s="18"/>
      <c r="Z70" s="18"/>
    </row>
    <row r="71" spans="1:26">
      <c r="A71" s="18" t="s">
        <v>404</v>
      </c>
      <c r="B71" s="17" t="s">
        <v>405</v>
      </c>
      <c r="C71" s="17" t="s">
        <v>406</v>
      </c>
      <c r="D71" s="17" t="s">
        <v>396</v>
      </c>
      <c r="E71" s="17" t="s">
        <v>407</v>
      </c>
      <c r="F71" s="18"/>
      <c r="G71" s="18"/>
      <c r="H71" s="18"/>
      <c r="I71" s="18"/>
      <c r="J71" s="18"/>
      <c r="K71" s="18"/>
      <c r="L71" s="18"/>
      <c r="M71" s="18"/>
      <c r="N71" s="18"/>
      <c r="O71" s="18"/>
      <c r="P71" s="18"/>
      <c r="Q71" s="18"/>
      <c r="R71" s="18"/>
      <c r="S71" s="18"/>
      <c r="T71" s="18"/>
      <c r="U71" s="18"/>
      <c r="V71" s="18"/>
      <c r="W71" s="18"/>
      <c r="X71" s="18"/>
      <c r="Y71" s="18"/>
      <c r="Z71" s="18"/>
    </row>
    <row r="72" spans="1:26">
      <c r="A72" s="15" t="s">
        <v>408</v>
      </c>
      <c r="B72" s="16" t="s">
        <v>409</v>
      </c>
      <c r="C72" s="16" t="s">
        <v>410</v>
      </c>
      <c r="D72" s="16" t="s">
        <v>411</v>
      </c>
      <c r="E72" s="16" t="s">
        <v>412</v>
      </c>
    </row>
    <row r="73" spans="1:26">
      <c r="A73" s="15" t="s">
        <v>413</v>
      </c>
      <c r="B73" s="16" t="s">
        <v>414</v>
      </c>
      <c r="C73" s="16" t="s">
        <v>184</v>
      </c>
      <c r="D73" s="16" t="s">
        <v>384</v>
      </c>
      <c r="E73" s="16" t="s">
        <v>183</v>
      </c>
    </row>
    <row r="74" spans="1:26">
      <c r="A74" s="18" t="s">
        <v>415</v>
      </c>
      <c r="B74" s="17" t="s">
        <v>416</v>
      </c>
      <c r="C74" s="17" t="s">
        <v>387</v>
      </c>
      <c r="D74" s="17" t="s">
        <v>204</v>
      </c>
      <c r="E74" s="17" t="s">
        <v>317</v>
      </c>
      <c r="F74" s="18"/>
      <c r="G74" s="18"/>
      <c r="H74" s="18"/>
      <c r="I74" s="18"/>
      <c r="J74" s="18"/>
      <c r="K74" s="18"/>
      <c r="L74" s="18"/>
      <c r="M74" s="18"/>
      <c r="N74" s="18"/>
      <c r="O74" s="18"/>
      <c r="P74" s="18"/>
      <c r="Q74" s="18"/>
      <c r="R74" s="18"/>
      <c r="S74" s="18"/>
      <c r="T74" s="18"/>
      <c r="U74" s="18"/>
      <c r="V74" s="18"/>
      <c r="W74" s="18"/>
      <c r="X74" s="18"/>
      <c r="Y74" s="18"/>
      <c r="Z74" s="18"/>
    </row>
    <row r="75" spans="1:26">
      <c r="A75" s="18" t="s">
        <v>417</v>
      </c>
      <c r="B75" s="17" t="s">
        <v>418</v>
      </c>
      <c r="C75" s="17" t="s">
        <v>223</v>
      </c>
      <c r="D75" s="17" t="s">
        <v>419</v>
      </c>
      <c r="E75" s="17" t="s">
        <v>224</v>
      </c>
      <c r="F75" s="18"/>
      <c r="G75" s="18"/>
      <c r="H75" s="18"/>
      <c r="I75" s="18"/>
      <c r="J75" s="18"/>
      <c r="K75" s="18"/>
      <c r="L75" s="18"/>
      <c r="M75" s="18"/>
      <c r="N75" s="18"/>
      <c r="O75" s="18"/>
      <c r="P75" s="18"/>
      <c r="Q75" s="18"/>
      <c r="R75" s="18"/>
      <c r="S75" s="18"/>
      <c r="T75" s="18"/>
      <c r="U75" s="18"/>
      <c r="V75" s="18"/>
      <c r="W75" s="18"/>
      <c r="X75" s="18"/>
      <c r="Y75" s="18"/>
      <c r="Z75" s="18"/>
    </row>
    <row r="76" spans="1:26">
      <c r="A76" s="15" t="s">
        <v>420</v>
      </c>
      <c r="B76" s="16" t="s">
        <v>421</v>
      </c>
      <c r="C76" s="16" t="s">
        <v>422</v>
      </c>
      <c r="D76" s="16" t="s">
        <v>423</v>
      </c>
      <c r="E76" s="16" t="s">
        <v>424</v>
      </c>
    </row>
    <row r="77" spans="1:26">
      <c r="A77" s="15" t="s">
        <v>425</v>
      </c>
      <c r="B77" s="16" t="s">
        <v>361</v>
      </c>
      <c r="C77" s="16" t="s">
        <v>359</v>
      </c>
      <c r="D77" s="16" t="s">
        <v>426</v>
      </c>
      <c r="E77" s="16" t="s">
        <v>345</v>
      </c>
    </row>
    <row r="78" spans="1:26">
      <c r="A78" s="15" t="s">
        <v>427</v>
      </c>
      <c r="B78" s="16" t="s">
        <v>428</v>
      </c>
      <c r="C78" s="16" t="s">
        <v>429</v>
      </c>
      <c r="D78" s="16" t="s">
        <v>430</v>
      </c>
      <c r="E78" s="16" t="s">
        <v>431</v>
      </c>
    </row>
    <row r="79" spans="1:26">
      <c r="A79" s="15" t="s">
        <v>432</v>
      </c>
      <c r="B79" s="16" t="s">
        <v>433</v>
      </c>
      <c r="C79" s="16" t="s">
        <v>434</v>
      </c>
      <c r="D79" s="16" t="s">
        <v>435</v>
      </c>
      <c r="E79" s="16" t="s">
        <v>436</v>
      </c>
    </row>
    <row r="80" spans="1:26">
      <c r="A80" s="15" t="s">
        <v>437</v>
      </c>
      <c r="B80" s="16" t="s">
        <v>438</v>
      </c>
      <c r="C80" s="16" t="s">
        <v>439</v>
      </c>
      <c r="D80" s="16" t="s">
        <v>440</v>
      </c>
      <c r="E80" s="16" t="s">
        <v>441</v>
      </c>
    </row>
    <row r="81" spans="1:26">
      <c r="A81" s="15" t="s">
        <v>442</v>
      </c>
      <c r="B81" s="16" t="s">
        <v>443</v>
      </c>
      <c r="C81" s="16" t="s">
        <v>444</v>
      </c>
      <c r="D81" s="16" t="s">
        <v>445</v>
      </c>
      <c r="E81" s="16" t="s">
        <v>446</v>
      </c>
    </row>
    <row r="82" spans="1:26">
      <c r="A82" s="15" t="s">
        <v>447</v>
      </c>
      <c r="B82" s="16" t="s">
        <v>448</v>
      </c>
      <c r="C82" s="16" t="s">
        <v>449</v>
      </c>
      <c r="D82" s="16" t="s">
        <v>450</v>
      </c>
      <c r="E82" s="16" t="s">
        <v>451</v>
      </c>
    </row>
    <row r="83" spans="1:26">
      <c r="A83" s="15" t="s">
        <v>452</v>
      </c>
      <c r="B83" s="16" t="s">
        <v>453</v>
      </c>
      <c r="C83" s="16" t="s">
        <v>454</v>
      </c>
      <c r="D83" s="16" t="s">
        <v>455</v>
      </c>
      <c r="E83" s="16" t="s">
        <v>456</v>
      </c>
    </row>
    <row r="84" spans="1:26">
      <c r="A84" s="15" t="s">
        <v>457</v>
      </c>
      <c r="B84" s="16" t="s">
        <v>458</v>
      </c>
      <c r="C84" s="16" t="s">
        <v>459</v>
      </c>
      <c r="D84" s="16" t="s">
        <v>460</v>
      </c>
      <c r="E84" s="16" t="s">
        <v>461</v>
      </c>
    </row>
    <row r="85" spans="1:26">
      <c r="A85" s="15" t="s">
        <v>462</v>
      </c>
      <c r="B85" s="16" t="s">
        <v>463</v>
      </c>
      <c r="C85" s="16" t="s">
        <v>464</v>
      </c>
      <c r="D85" s="16" t="s">
        <v>465</v>
      </c>
      <c r="E85" s="16" t="s">
        <v>466</v>
      </c>
    </row>
    <row r="86" spans="1:26">
      <c r="A86" s="15" t="s">
        <v>467</v>
      </c>
      <c r="B86" s="16" t="s">
        <v>463</v>
      </c>
      <c r="C86" s="16" t="s">
        <v>464</v>
      </c>
      <c r="D86" s="16" t="s">
        <v>465</v>
      </c>
      <c r="E86" s="16" t="s">
        <v>466</v>
      </c>
    </row>
    <row r="87" spans="1:26">
      <c r="A87" s="15" t="s">
        <v>468</v>
      </c>
      <c r="B87" s="16" t="s">
        <v>216</v>
      </c>
      <c r="C87" s="16" t="s">
        <v>215</v>
      </c>
      <c r="D87" s="16" t="s">
        <v>214</v>
      </c>
      <c r="E87" s="16" t="s">
        <v>213</v>
      </c>
    </row>
    <row r="88" spans="1:26">
      <c r="A88" s="15" t="s">
        <v>469</v>
      </c>
      <c r="B88" s="16" t="s">
        <v>214</v>
      </c>
      <c r="C88" s="16" t="s">
        <v>216</v>
      </c>
      <c r="D88" s="16" t="s">
        <v>215</v>
      </c>
      <c r="E88" s="16" t="s">
        <v>213</v>
      </c>
    </row>
    <row r="89" spans="1:26">
      <c r="A89" s="15" t="s">
        <v>470</v>
      </c>
      <c r="B89" s="16" t="s">
        <v>166</v>
      </c>
      <c r="C89" s="16" t="s">
        <v>165</v>
      </c>
      <c r="D89" s="16" t="s">
        <v>164</v>
      </c>
      <c r="E89" s="16" t="s">
        <v>471</v>
      </c>
    </row>
    <row r="90" spans="1:26">
      <c r="A90" s="15" t="s">
        <v>472</v>
      </c>
      <c r="B90" s="16" t="s">
        <v>473</v>
      </c>
      <c r="C90" s="16" t="s">
        <v>167</v>
      </c>
      <c r="D90" s="16" t="s">
        <v>474</v>
      </c>
      <c r="E90" s="16" t="s">
        <v>165</v>
      </c>
    </row>
    <row r="91" spans="1:26">
      <c r="A91" s="15" t="s">
        <v>475</v>
      </c>
      <c r="B91" s="16" t="s">
        <v>167</v>
      </c>
      <c r="C91" s="16" t="s">
        <v>473</v>
      </c>
      <c r="D91" s="16" t="s">
        <v>164</v>
      </c>
      <c r="E91" s="16" t="s">
        <v>474</v>
      </c>
    </row>
    <row r="92" spans="1:26">
      <c r="A92" s="15" t="s">
        <v>476</v>
      </c>
      <c r="B92" s="16" t="s">
        <v>272</v>
      </c>
      <c r="C92" s="16" t="s">
        <v>270</v>
      </c>
      <c r="D92" s="16" t="s">
        <v>198</v>
      </c>
      <c r="E92" s="16" t="s">
        <v>197</v>
      </c>
    </row>
    <row r="93" spans="1:26">
      <c r="A93" s="15" t="s">
        <v>477</v>
      </c>
      <c r="B93" s="16" t="s">
        <v>198</v>
      </c>
      <c r="C93" s="16" t="s">
        <v>272</v>
      </c>
      <c r="D93" s="16" t="s">
        <v>197</v>
      </c>
      <c r="E93" s="16" t="s">
        <v>199</v>
      </c>
    </row>
    <row r="94" spans="1:26">
      <c r="A94" s="15" t="s">
        <v>478</v>
      </c>
      <c r="B94" s="16" t="s">
        <v>199</v>
      </c>
      <c r="C94" s="16" t="s">
        <v>197</v>
      </c>
      <c r="D94" s="16" t="s">
        <v>200</v>
      </c>
      <c r="E94" s="16" t="s">
        <v>198</v>
      </c>
    </row>
    <row r="95" spans="1:26">
      <c r="A95" s="15" t="s">
        <v>479</v>
      </c>
      <c r="B95" s="16" t="s">
        <v>480</v>
      </c>
      <c r="C95" s="16" t="s">
        <v>481</v>
      </c>
      <c r="D95" s="16" t="s">
        <v>482</v>
      </c>
      <c r="E95" s="16" t="s">
        <v>483</v>
      </c>
    </row>
    <row r="96" spans="1:26">
      <c r="A96" s="18" t="s">
        <v>484</v>
      </c>
      <c r="B96" s="17" t="s">
        <v>485</v>
      </c>
      <c r="C96" s="17" t="s">
        <v>486</v>
      </c>
      <c r="D96" s="17" t="s">
        <v>487</v>
      </c>
      <c r="E96" s="17" t="s">
        <v>488</v>
      </c>
      <c r="F96" s="18"/>
      <c r="G96" s="18"/>
      <c r="H96" s="18"/>
      <c r="I96" s="18"/>
      <c r="J96" s="18"/>
      <c r="K96" s="18"/>
      <c r="L96" s="18"/>
      <c r="M96" s="18"/>
      <c r="N96" s="18"/>
      <c r="O96" s="18"/>
      <c r="P96" s="18"/>
      <c r="Q96" s="18"/>
      <c r="R96" s="18"/>
      <c r="S96" s="18"/>
      <c r="T96" s="18"/>
      <c r="U96" s="18"/>
      <c r="V96" s="18"/>
      <c r="W96" s="18"/>
      <c r="X96" s="18"/>
      <c r="Y96" s="18"/>
      <c r="Z96" s="18"/>
    </row>
    <row r="97" spans="1:26">
      <c r="A97" s="18" t="s">
        <v>489</v>
      </c>
      <c r="B97" s="17" t="s">
        <v>490</v>
      </c>
      <c r="C97" s="17" t="s">
        <v>491</v>
      </c>
      <c r="D97" s="17" t="s">
        <v>492</v>
      </c>
      <c r="E97" s="17" t="s">
        <v>493</v>
      </c>
      <c r="F97" s="18"/>
      <c r="G97" s="18"/>
      <c r="H97" s="18"/>
      <c r="I97" s="18"/>
      <c r="J97" s="18"/>
      <c r="K97" s="18"/>
      <c r="L97" s="18"/>
      <c r="M97" s="18"/>
      <c r="N97" s="18"/>
      <c r="O97" s="18"/>
      <c r="P97" s="18"/>
      <c r="Q97" s="18"/>
      <c r="R97" s="18"/>
      <c r="S97" s="18"/>
      <c r="T97" s="18"/>
      <c r="U97" s="18"/>
      <c r="V97" s="18"/>
      <c r="W97" s="18"/>
      <c r="X97" s="18"/>
      <c r="Y97" s="18"/>
      <c r="Z97" s="18"/>
    </row>
    <row r="98" spans="1:26">
      <c r="A98" s="15" t="s">
        <v>494</v>
      </c>
      <c r="B98" s="16" t="s">
        <v>495</v>
      </c>
      <c r="C98" s="16" t="s">
        <v>496</v>
      </c>
      <c r="D98" s="16" t="s">
        <v>497</v>
      </c>
      <c r="E98" s="16" t="s">
        <v>498</v>
      </c>
    </row>
    <row r="99" spans="1:26">
      <c r="A99" s="15" t="s">
        <v>499</v>
      </c>
      <c r="B99" s="16" t="s">
        <v>500</v>
      </c>
      <c r="C99" s="16" t="s">
        <v>501</v>
      </c>
      <c r="D99" s="16" t="s">
        <v>502</v>
      </c>
      <c r="E99" s="16" t="s">
        <v>503</v>
      </c>
    </row>
    <row r="100" spans="1:26">
      <c r="A100" s="15" t="s">
        <v>504</v>
      </c>
      <c r="B100" s="16" t="s">
        <v>505</v>
      </c>
      <c r="C100" s="16" t="s">
        <v>506</v>
      </c>
      <c r="D100" s="16" t="s">
        <v>507</v>
      </c>
      <c r="E100" s="16" t="s">
        <v>508</v>
      </c>
    </row>
    <row r="101" spans="1:26">
      <c r="A101" s="15" t="s">
        <v>509</v>
      </c>
      <c r="B101" s="16" t="s">
        <v>510</v>
      </c>
      <c r="C101" s="16" t="s">
        <v>511</v>
      </c>
      <c r="D101" s="16" t="s">
        <v>512</v>
      </c>
      <c r="E101" s="16" t="s">
        <v>513</v>
      </c>
    </row>
    <row r="102" spans="1:26">
      <c r="A102" s="15" t="s">
        <v>514</v>
      </c>
      <c r="B102" s="16" t="s">
        <v>515</v>
      </c>
      <c r="C102" s="16" t="s">
        <v>516</v>
      </c>
      <c r="D102" s="16" t="s">
        <v>517</v>
      </c>
      <c r="E102" s="16" t="s">
        <v>518</v>
      </c>
    </row>
    <row r="103" spans="1:26">
      <c r="A103" s="15" t="s">
        <v>519</v>
      </c>
      <c r="B103" s="16" t="s">
        <v>520</v>
      </c>
      <c r="C103" s="16" t="s">
        <v>521</v>
      </c>
      <c r="D103" s="16" t="s">
        <v>522</v>
      </c>
      <c r="E103" s="16" t="s">
        <v>523</v>
      </c>
    </row>
    <row r="104" spans="1:26">
      <c r="A104" s="15" t="s">
        <v>524</v>
      </c>
      <c r="B104" s="16" t="s">
        <v>525</v>
      </c>
      <c r="C104" s="16" t="s">
        <v>194</v>
      </c>
      <c r="D104" s="16" t="s">
        <v>193</v>
      </c>
      <c r="E104" s="16" t="s">
        <v>144</v>
      </c>
    </row>
    <row r="105" spans="1:26">
      <c r="A105" s="15" t="s">
        <v>526</v>
      </c>
      <c r="B105" s="16" t="s">
        <v>527</v>
      </c>
      <c r="C105" s="16" t="s">
        <v>525</v>
      </c>
      <c r="D105" s="16" t="s">
        <v>145</v>
      </c>
      <c r="E105" s="16" t="s">
        <v>194</v>
      </c>
    </row>
    <row r="106" spans="1:26">
      <c r="A106" s="15" t="s">
        <v>528</v>
      </c>
      <c r="B106" s="16" t="s">
        <v>529</v>
      </c>
      <c r="C106" s="16" t="s">
        <v>530</v>
      </c>
      <c r="D106" s="16" t="s">
        <v>531</v>
      </c>
      <c r="E106" s="16" t="s">
        <v>532</v>
      </c>
    </row>
    <row r="107" spans="1:26">
      <c r="B107" s="16"/>
      <c r="C107" s="16"/>
      <c r="D107" s="16"/>
      <c r="E107" s="16"/>
    </row>
    <row r="108" spans="1:26">
      <c r="B108" s="16"/>
      <c r="C108" s="16"/>
      <c r="D108" s="16"/>
      <c r="E108" s="16"/>
    </row>
    <row r="109" spans="1:26">
      <c r="B109" s="16"/>
      <c r="C109" s="16"/>
      <c r="D109" s="16"/>
      <c r="E109" s="16"/>
    </row>
    <row r="110" spans="1:26">
      <c r="B110" s="16"/>
      <c r="C110" s="16"/>
      <c r="D110" s="16"/>
      <c r="E110" s="16"/>
    </row>
    <row r="111" spans="1:26">
      <c r="B111" s="16"/>
      <c r="C111" s="16"/>
      <c r="D111" s="16"/>
      <c r="E111" s="16"/>
    </row>
    <row r="112" spans="1:26">
      <c r="B112" s="16"/>
      <c r="C112" s="16"/>
      <c r="D112" s="16"/>
      <c r="E112" s="16"/>
    </row>
    <row r="113" spans="2:5">
      <c r="B113" s="16"/>
      <c r="C113" s="16"/>
      <c r="D113" s="16"/>
      <c r="E113" s="16"/>
    </row>
    <row r="114" spans="2:5">
      <c r="B114" s="16"/>
      <c r="C114" s="16"/>
      <c r="D114" s="16"/>
      <c r="E114" s="16"/>
    </row>
    <row r="115" spans="2:5">
      <c r="B115" s="16"/>
      <c r="C115" s="16"/>
      <c r="D115" s="16"/>
      <c r="E115" s="16"/>
    </row>
    <row r="116" spans="2:5">
      <c r="B116" s="16"/>
      <c r="C116" s="16"/>
      <c r="D116" s="16"/>
      <c r="E116" s="16"/>
    </row>
    <row r="117" spans="2:5">
      <c r="B117" s="16"/>
      <c r="C117" s="16"/>
      <c r="D117" s="16"/>
      <c r="E117" s="16"/>
    </row>
    <row r="118" spans="2:5">
      <c r="B118" s="16"/>
      <c r="C118" s="16"/>
      <c r="D118" s="16"/>
      <c r="E118" s="16"/>
    </row>
    <row r="119" spans="2:5">
      <c r="B119" s="16"/>
      <c r="C119" s="16"/>
      <c r="D119" s="16"/>
      <c r="E119" s="16"/>
    </row>
    <row r="120" spans="2:5">
      <c r="B120" s="16"/>
      <c r="C120" s="16"/>
      <c r="D120" s="16"/>
      <c r="E120" s="16"/>
    </row>
    <row r="121" spans="2:5">
      <c r="B121" s="16"/>
      <c r="C121" s="16"/>
      <c r="D121" s="16"/>
      <c r="E121" s="16"/>
    </row>
    <row r="122" spans="2:5">
      <c r="B122" s="16"/>
      <c r="C122" s="16"/>
      <c r="D122" s="16"/>
      <c r="E122" s="16"/>
    </row>
    <row r="123" spans="2:5">
      <c r="B123" s="16"/>
      <c r="C123" s="16"/>
      <c r="D123" s="16"/>
      <c r="E123" s="16"/>
    </row>
    <row r="124" spans="2:5">
      <c r="B124" s="16"/>
      <c r="C124" s="16"/>
      <c r="D124" s="16"/>
      <c r="E124" s="16"/>
    </row>
    <row r="125" spans="2:5">
      <c r="B125" s="16"/>
      <c r="C125" s="16"/>
      <c r="D125" s="16"/>
      <c r="E125" s="16"/>
    </row>
    <row r="126" spans="2:5">
      <c r="B126" s="16"/>
      <c r="C126" s="16"/>
      <c r="D126" s="16"/>
      <c r="E126" s="16"/>
    </row>
    <row r="127" spans="2:5">
      <c r="B127" s="16"/>
      <c r="C127" s="16"/>
      <c r="D127" s="16"/>
      <c r="E127" s="16"/>
    </row>
    <row r="128" spans="2:5">
      <c r="B128" s="16"/>
      <c r="C128" s="16"/>
      <c r="D128" s="16"/>
      <c r="E128" s="16"/>
    </row>
    <row r="129" spans="2:5">
      <c r="B129" s="16"/>
      <c r="C129" s="16"/>
      <c r="D129" s="16"/>
      <c r="E129" s="16"/>
    </row>
    <row r="130" spans="2:5">
      <c r="B130" s="16"/>
      <c r="C130" s="16"/>
      <c r="D130" s="16"/>
      <c r="E130" s="16"/>
    </row>
    <row r="131" spans="2:5">
      <c r="B131" s="16"/>
      <c r="C131" s="16"/>
      <c r="D131" s="16"/>
      <c r="E131" s="16"/>
    </row>
    <row r="132" spans="2:5">
      <c r="B132" s="16"/>
      <c r="C132" s="16"/>
      <c r="D132" s="16"/>
      <c r="E132" s="16"/>
    </row>
    <row r="133" spans="2:5">
      <c r="B133" s="16"/>
      <c r="C133" s="16"/>
      <c r="D133" s="16"/>
      <c r="E133" s="16"/>
    </row>
    <row r="134" spans="2:5">
      <c r="B134" s="16"/>
      <c r="C134" s="16"/>
      <c r="D134" s="16"/>
      <c r="E134" s="16"/>
    </row>
    <row r="135" spans="2:5">
      <c r="B135" s="16"/>
      <c r="C135" s="16"/>
      <c r="D135" s="16"/>
      <c r="E135" s="16"/>
    </row>
    <row r="136" spans="2:5">
      <c r="B136" s="16"/>
      <c r="C136" s="16"/>
      <c r="D136" s="16"/>
      <c r="E136" s="16"/>
    </row>
    <row r="137" spans="2:5">
      <c r="B137" s="16"/>
      <c r="C137" s="16"/>
      <c r="D137" s="16"/>
      <c r="E137" s="16"/>
    </row>
    <row r="138" spans="2:5">
      <c r="B138" s="16"/>
      <c r="C138" s="16"/>
      <c r="D138" s="16"/>
      <c r="E138" s="16"/>
    </row>
    <row r="139" spans="2:5">
      <c r="B139" s="16"/>
      <c r="C139" s="16"/>
      <c r="D139" s="16"/>
      <c r="E139" s="16"/>
    </row>
    <row r="140" spans="2:5">
      <c r="B140" s="16"/>
      <c r="C140" s="16"/>
      <c r="D140" s="16"/>
      <c r="E140" s="16"/>
    </row>
    <row r="141" spans="2:5">
      <c r="B141" s="16"/>
      <c r="C141" s="16"/>
      <c r="D141" s="16"/>
      <c r="E141" s="16"/>
    </row>
    <row r="142" spans="2:5">
      <c r="B142" s="16"/>
      <c r="C142" s="16"/>
      <c r="D142" s="16"/>
      <c r="E142" s="16"/>
    </row>
    <row r="143" spans="2:5">
      <c r="B143" s="16"/>
      <c r="C143" s="16"/>
      <c r="D143" s="16"/>
      <c r="E143" s="16"/>
    </row>
    <row r="144" spans="2:5">
      <c r="B144" s="16"/>
      <c r="C144" s="16"/>
      <c r="D144" s="16"/>
      <c r="E144" s="16"/>
    </row>
    <row r="145" spans="2:5">
      <c r="B145" s="16"/>
      <c r="C145" s="16"/>
      <c r="D145" s="16"/>
      <c r="E145" s="16"/>
    </row>
    <row r="146" spans="2:5">
      <c r="B146" s="16"/>
      <c r="C146" s="16"/>
      <c r="D146" s="16"/>
      <c r="E146" s="16"/>
    </row>
    <row r="147" spans="2:5">
      <c r="B147" s="16"/>
      <c r="C147" s="16"/>
      <c r="D147" s="16"/>
      <c r="E147" s="16"/>
    </row>
    <row r="148" spans="2:5">
      <c r="B148" s="16"/>
      <c r="C148" s="16"/>
      <c r="D148" s="16"/>
      <c r="E148" s="16"/>
    </row>
    <row r="149" spans="2:5">
      <c r="B149" s="16"/>
      <c r="C149" s="16"/>
      <c r="D149" s="16"/>
      <c r="E149" s="16"/>
    </row>
    <row r="150" spans="2:5">
      <c r="B150" s="16"/>
      <c r="C150" s="16"/>
      <c r="D150" s="16"/>
      <c r="E150" s="16"/>
    </row>
    <row r="151" spans="2:5">
      <c r="B151" s="16"/>
      <c r="C151" s="16"/>
      <c r="D151" s="16"/>
      <c r="E151" s="16"/>
    </row>
    <row r="152" spans="2:5">
      <c r="B152" s="16"/>
      <c r="C152" s="16"/>
      <c r="D152" s="16"/>
      <c r="E152" s="16"/>
    </row>
    <row r="153" spans="2:5">
      <c r="B153" s="16"/>
      <c r="C153" s="16"/>
      <c r="D153" s="16"/>
      <c r="E153" s="16"/>
    </row>
    <row r="154" spans="2:5">
      <c r="B154" s="16"/>
      <c r="C154" s="16"/>
      <c r="D154" s="16"/>
      <c r="E154" s="16"/>
    </row>
    <row r="155" spans="2:5">
      <c r="B155" s="16"/>
      <c r="C155" s="16"/>
      <c r="D155" s="16"/>
      <c r="E155" s="16"/>
    </row>
    <row r="156" spans="2:5">
      <c r="B156" s="16"/>
      <c r="C156" s="16"/>
      <c r="D156" s="16"/>
      <c r="E156" s="16"/>
    </row>
    <row r="157" spans="2:5">
      <c r="B157" s="16"/>
      <c r="C157" s="16"/>
      <c r="D157" s="16"/>
      <c r="E157" s="16"/>
    </row>
    <row r="158" spans="2:5">
      <c r="B158" s="16"/>
      <c r="C158" s="16"/>
      <c r="D158" s="16"/>
      <c r="E158" s="16"/>
    </row>
    <row r="159" spans="2:5">
      <c r="B159" s="16"/>
      <c r="C159" s="16"/>
      <c r="D159" s="16"/>
      <c r="E159" s="16"/>
    </row>
    <row r="160" spans="2:5">
      <c r="B160" s="16"/>
      <c r="C160" s="16"/>
      <c r="D160" s="16"/>
      <c r="E160" s="16"/>
    </row>
    <row r="161" spans="2:5">
      <c r="B161" s="16"/>
      <c r="C161" s="16"/>
      <c r="D161" s="16"/>
      <c r="E161" s="16"/>
    </row>
    <row r="162" spans="2:5">
      <c r="B162" s="16"/>
      <c r="C162" s="16"/>
      <c r="D162" s="16"/>
      <c r="E162" s="16"/>
    </row>
    <row r="163" spans="2:5">
      <c r="B163" s="16"/>
      <c r="C163" s="16"/>
      <c r="D163" s="16"/>
      <c r="E163" s="16"/>
    </row>
    <row r="164" spans="2:5">
      <c r="B164" s="16"/>
      <c r="C164" s="16"/>
      <c r="D164" s="16"/>
      <c r="E164" s="16"/>
    </row>
    <row r="165" spans="2:5">
      <c r="B165" s="16"/>
      <c r="C165" s="16"/>
      <c r="D165" s="16"/>
      <c r="E165" s="16"/>
    </row>
    <row r="166" spans="2:5">
      <c r="B166" s="16"/>
      <c r="C166" s="16"/>
      <c r="D166" s="16"/>
      <c r="E166" s="16"/>
    </row>
    <row r="167" spans="2:5">
      <c r="B167" s="16"/>
      <c r="C167" s="16"/>
      <c r="D167" s="16"/>
      <c r="E167" s="16"/>
    </row>
    <row r="168" spans="2:5">
      <c r="B168" s="16"/>
      <c r="C168" s="16"/>
      <c r="D168" s="16"/>
      <c r="E168" s="16"/>
    </row>
    <row r="169" spans="2:5">
      <c r="B169" s="16"/>
      <c r="C169" s="16"/>
      <c r="D169" s="16"/>
      <c r="E169" s="16"/>
    </row>
    <row r="170" spans="2:5">
      <c r="B170" s="16"/>
      <c r="C170" s="16"/>
      <c r="D170" s="16"/>
      <c r="E170" s="16"/>
    </row>
    <row r="171" spans="2:5">
      <c r="B171" s="16"/>
      <c r="C171" s="16"/>
      <c r="D171" s="16"/>
      <c r="E171" s="16"/>
    </row>
    <row r="172" spans="2:5">
      <c r="B172" s="16"/>
      <c r="C172" s="16"/>
      <c r="D172" s="16"/>
      <c r="E172" s="16"/>
    </row>
    <row r="173" spans="2:5">
      <c r="B173" s="16"/>
      <c r="C173" s="16"/>
      <c r="D173" s="16"/>
      <c r="E173" s="16"/>
    </row>
    <row r="174" spans="2:5">
      <c r="B174" s="16"/>
      <c r="C174" s="16"/>
      <c r="D174" s="16"/>
      <c r="E174" s="16"/>
    </row>
    <row r="175" spans="2:5">
      <c r="B175" s="16"/>
      <c r="C175" s="16"/>
      <c r="D175" s="16"/>
      <c r="E175" s="16"/>
    </row>
    <row r="176" spans="2:5">
      <c r="B176" s="16"/>
      <c r="C176" s="16"/>
      <c r="D176" s="16"/>
      <c r="E176" s="16"/>
    </row>
    <row r="177" spans="2:5">
      <c r="B177" s="16"/>
      <c r="C177" s="16"/>
      <c r="D177" s="16"/>
      <c r="E177" s="16"/>
    </row>
    <row r="178" spans="2:5">
      <c r="B178" s="16"/>
      <c r="C178" s="16"/>
      <c r="D178" s="16"/>
      <c r="E178" s="16"/>
    </row>
    <row r="179" spans="2:5">
      <c r="B179" s="16"/>
      <c r="C179" s="16"/>
      <c r="D179" s="16"/>
      <c r="E179" s="16"/>
    </row>
    <row r="180" spans="2:5">
      <c r="B180" s="16"/>
      <c r="C180" s="16"/>
      <c r="D180" s="16"/>
      <c r="E180" s="16"/>
    </row>
    <row r="181" spans="2:5">
      <c r="B181" s="16"/>
      <c r="C181" s="16"/>
      <c r="D181" s="16"/>
      <c r="E181" s="16"/>
    </row>
    <row r="182" spans="2:5">
      <c r="B182" s="16"/>
      <c r="C182" s="16"/>
      <c r="D182" s="16"/>
      <c r="E182" s="16"/>
    </row>
    <row r="183" spans="2:5">
      <c r="B183" s="16"/>
      <c r="C183" s="16"/>
      <c r="D183" s="16"/>
      <c r="E183" s="16"/>
    </row>
    <row r="184" spans="2:5">
      <c r="B184" s="16"/>
      <c r="C184" s="16"/>
      <c r="D184" s="16"/>
      <c r="E184" s="16"/>
    </row>
    <row r="185" spans="2:5">
      <c r="B185" s="16"/>
      <c r="C185" s="16"/>
      <c r="D185" s="16"/>
      <c r="E185" s="16"/>
    </row>
    <row r="186" spans="2:5">
      <c r="B186" s="16"/>
      <c r="C186" s="16"/>
      <c r="D186" s="16"/>
      <c r="E186" s="16"/>
    </row>
    <row r="187" spans="2:5">
      <c r="B187" s="16"/>
      <c r="C187" s="16"/>
      <c r="D187" s="16"/>
      <c r="E187" s="16"/>
    </row>
    <row r="188" spans="2:5">
      <c r="B188" s="16"/>
      <c r="C188" s="16"/>
      <c r="D188" s="16"/>
      <c r="E188" s="16"/>
    </row>
    <row r="189" spans="2:5">
      <c r="B189" s="16"/>
      <c r="C189" s="16"/>
      <c r="D189" s="16"/>
      <c r="E189" s="16"/>
    </row>
    <row r="190" spans="2:5">
      <c r="B190" s="16"/>
      <c r="C190" s="16"/>
      <c r="D190" s="16"/>
      <c r="E190" s="16"/>
    </row>
    <row r="191" spans="2:5">
      <c r="B191" s="16"/>
      <c r="C191" s="16"/>
      <c r="D191" s="16"/>
      <c r="E191" s="16"/>
    </row>
    <row r="192" spans="2:5">
      <c r="B192" s="16"/>
      <c r="C192" s="16"/>
      <c r="D192" s="16"/>
      <c r="E192" s="16"/>
    </row>
    <row r="193" spans="2:5">
      <c r="B193" s="16"/>
      <c r="C193" s="16"/>
      <c r="D193" s="16"/>
      <c r="E193" s="16"/>
    </row>
    <row r="194" spans="2:5">
      <c r="B194" s="16"/>
      <c r="C194" s="16"/>
      <c r="D194" s="16"/>
      <c r="E194" s="16"/>
    </row>
    <row r="195" spans="2:5">
      <c r="B195" s="16"/>
      <c r="C195" s="16"/>
      <c r="D195" s="16"/>
      <c r="E195" s="16"/>
    </row>
    <row r="196" spans="2:5">
      <c r="B196" s="16"/>
      <c r="C196" s="16"/>
      <c r="D196" s="16"/>
      <c r="E196" s="16"/>
    </row>
    <row r="197" spans="2:5">
      <c r="B197" s="16"/>
      <c r="C197" s="16"/>
      <c r="D197" s="16"/>
      <c r="E197" s="16"/>
    </row>
    <row r="198" spans="2:5">
      <c r="B198" s="16"/>
      <c r="C198" s="16"/>
      <c r="D198" s="16"/>
      <c r="E198" s="16"/>
    </row>
    <row r="199" spans="2:5">
      <c r="B199" s="16"/>
      <c r="C199" s="16"/>
      <c r="D199" s="16"/>
      <c r="E199" s="16"/>
    </row>
    <row r="200" spans="2:5">
      <c r="B200" s="16"/>
      <c r="C200" s="16"/>
      <c r="D200" s="16"/>
      <c r="E200" s="16"/>
    </row>
    <row r="201" spans="2:5">
      <c r="B201" s="16"/>
      <c r="C201" s="16"/>
      <c r="D201" s="16"/>
      <c r="E201" s="16"/>
    </row>
    <row r="202" spans="2:5">
      <c r="B202" s="16"/>
      <c r="C202" s="16"/>
      <c r="D202" s="16"/>
      <c r="E202" s="16"/>
    </row>
    <row r="203" spans="2:5">
      <c r="B203" s="16"/>
      <c r="C203" s="16"/>
      <c r="D203" s="16"/>
      <c r="E203" s="16"/>
    </row>
    <row r="204" spans="2:5">
      <c r="B204" s="16"/>
      <c r="C204" s="16"/>
      <c r="D204" s="16"/>
      <c r="E204" s="16"/>
    </row>
    <row r="205" spans="2:5">
      <c r="B205" s="16"/>
      <c r="C205" s="16"/>
      <c r="D205" s="16"/>
      <c r="E205" s="16"/>
    </row>
    <row r="206" spans="2:5">
      <c r="B206" s="16"/>
      <c r="C206" s="16"/>
      <c r="D206" s="16"/>
      <c r="E206" s="16"/>
    </row>
    <row r="207" spans="2:5">
      <c r="B207" s="16"/>
      <c r="C207" s="16"/>
      <c r="D207" s="16"/>
      <c r="E207" s="16"/>
    </row>
    <row r="208" spans="2:5">
      <c r="B208" s="16"/>
      <c r="C208" s="16"/>
      <c r="D208" s="16"/>
      <c r="E208" s="16"/>
    </row>
    <row r="209" spans="2:5">
      <c r="B209" s="16"/>
      <c r="C209" s="16"/>
      <c r="D209" s="16"/>
      <c r="E209" s="16"/>
    </row>
    <row r="210" spans="2:5">
      <c r="B210" s="16"/>
      <c r="C210" s="16"/>
      <c r="D210" s="16"/>
      <c r="E210" s="16"/>
    </row>
    <row r="211" spans="2:5">
      <c r="B211" s="16"/>
      <c r="C211" s="16"/>
      <c r="D211" s="16"/>
      <c r="E211" s="16"/>
    </row>
    <row r="212" spans="2:5">
      <c r="B212" s="16"/>
      <c r="C212" s="16"/>
      <c r="D212" s="16"/>
      <c r="E212" s="16"/>
    </row>
    <row r="213" spans="2:5">
      <c r="B213" s="16"/>
      <c r="C213" s="16"/>
      <c r="D213" s="16"/>
      <c r="E213" s="16"/>
    </row>
    <row r="214" spans="2:5">
      <c r="B214" s="16"/>
      <c r="C214" s="16"/>
      <c r="D214" s="16"/>
      <c r="E214" s="16"/>
    </row>
    <row r="215" spans="2:5">
      <c r="B215" s="16"/>
      <c r="C215" s="16"/>
      <c r="D215" s="16"/>
      <c r="E215" s="16"/>
    </row>
    <row r="216" spans="2:5">
      <c r="B216" s="16"/>
      <c r="C216" s="16"/>
      <c r="D216" s="16"/>
      <c r="E216" s="16"/>
    </row>
    <row r="217" spans="2:5">
      <c r="B217" s="16"/>
      <c r="C217" s="16"/>
      <c r="D217" s="16"/>
      <c r="E217" s="16"/>
    </row>
    <row r="218" spans="2:5">
      <c r="B218" s="16"/>
      <c r="C218" s="16"/>
      <c r="D218" s="16"/>
      <c r="E218" s="16"/>
    </row>
    <row r="219" spans="2:5">
      <c r="B219" s="16"/>
      <c r="C219" s="16"/>
      <c r="D219" s="16"/>
      <c r="E219" s="16"/>
    </row>
    <row r="220" spans="2:5">
      <c r="B220" s="16"/>
      <c r="C220" s="16"/>
      <c r="D220" s="16"/>
      <c r="E220" s="16"/>
    </row>
    <row r="221" spans="2:5">
      <c r="B221" s="16"/>
      <c r="C221" s="16"/>
      <c r="D221" s="16"/>
      <c r="E221" s="16"/>
    </row>
    <row r="222" spans="2:5">
      <c r="B222" s="16"/>
      <c r="C222" s="16"/>
      <c r="D222" s="16"/>
      <c r="E222" s="16"/>
    </row>
    <row r="223" spans="2:5">
      <c r="B223" s="16"/>
      <c r="C223" s="16"/>
      <c r="D223" s="16"/>
      <c r="E223" s="16"/>
    </row>
    <row r="224" spans="2:5">
      <c r="B224" s="16"/>
      <c r="C224" s="16"/>
      <c r="D224" s="16"/>
      <c r="E224" s="16"/>
    </row>
    <row r="225" spans="2:5">
      <c r="B225" s="16"/>
      <c r="C225" s="16"/>
      <c r="D225" s="16"/>
      <c r="E225" s="16"/>
    </row>
    <row r="226" spans="2:5">
      <c r="B226" s="16"/>
      <c r="C226" s="16"/>
      <c r="D226" s="16"/>
      <c r="E226" s="16"/>
    </row>
    <row r="227" spans="2:5">
      <c r="B227" s="16"/>
      <c r="C227" s="16"/>
      <c r="D227" s="16"/>
      <c r="E227" s="16"/>
    </row>
    <row r="228" spans="2:5">
      <c r="B228" s="16"/>
      <c r="C228" s="16"/>
      <c r="D228" s="16"/>
      <c r="E228" s="16"/>
    </row>
    <row r="229" spans="2:5">
      <c r="B229" s="16"/>
      <c r="C229" s="16"/>
      <c r="D229" s="16"/>
      <c r="E229" s="16"/>
    </row>
    <row r="230" spans="2:5">
      <c r="B230" s="16"/>
      <c r="C230" s="16"/>
      <c r="D230" s="16"/>
      <c r="E230" s="16"/>
    </row>
    <row r="231" spans="2:5">
      <c r="B231" s="16"/>
      <c r="C231" s="16"/>
      <c r="D231" s="16"/>
      <c r="E231" s="16"/>
    </row>
    <row r="232" spans="2:5">
      <c r="B232" s="16"/>
      <c r="C232" s="16"/>
      <c r="D232" s="16"/>
      <c r="E232" s="16"/>
    </row>
    <row r="233" spans="2:5">
      <c r="B233" s="16"/>
      <c r="C233" s="16"/>
      <c r="D233" s="16"/>
      <c r="E233" s="16"/>
    </row>
    <row r="234" spans="2:5">
      <c r="B234" s="16"/>
      <c r="C234" s="16"/>
      <c r="D234" s="16"/>
      <c r="E234" s="16"/>
    </row>
    <row r="235" spans="2:5">
      <c r="B235" s="16"/>
      <c r="C235" s="16"/>
      <c r="D235" s="16"/>
      <c r="E235" s="16"/>
    </row>
    <row r="236" spans="2:5">
      <c r="B236" s="16"/>
      <c r="C236" s="16"/>
      <c r="D236" s="16"/>
      <c r="E236" s="16"/>
    </row>
    <row r="237" spans="2:5">
      <c r="B237" s="16"/>
      <c r="C237" s="16"/>
      <c r="D237" s="16"/>
      <c r="E237" s="16"/>
    </row>
    <row r="238" spans="2:5">
      <c r="B238" s="16"/>
      <c r="C238" s="16"/>
      <c r="D238" s="16"/>
      <c r="E238" s="16"/>
    </row>
    <row r="239" spans="2:5">
      <c r="B239" s="16"/>
      <c r="C239" s="16"/>
      <c r="D239" s="16"/>
      <c r="E239" s="16"/>
    </row>
    <row r="240" spans="2:5">
      <c r="B240" s="16"/>
      <c r="C240" s="16"/>
      <c r="D240" s="16"/>
      <c r="E240" s="16"/>
    </row>
    <row r="241" spans="2:5">
      <c r="B241" s="16"/>
      <c r="C241" s="16"/>
      <c r="D241" s="16"/>
      <c r="E241" s="16"/>
    </row>
    <row r="242" spans="2:5">
      <c r="B242" s="16"/>
      <c r="C242" s="16"/>
      <c r="D242" s="16"/>
      <c r="E242" s="16"/>
    </row>
    <row r="243" spans="2:5">
      <c r="B243" s="16"/>
      <c r="C243" s="16"/>
      <c r="D243" s="16"/>
      <c r="E243" s="16"/>
    </row>
    <row r="244" spans="2:5">
      <c r="B244" s="16"/>
      <c r="C244" s="16"/>
      <c r="D244" s="16"/>
      <c r="E244" s="16"/>
    </row>
    <row r="245" spans="2:5">
      <c r="B245" s="16"/>
      <c r="C245" s="16"/>
      <c r="D245" s="16"/>
      <c r="E245" s="16"/>
    </row>
    <row r="246" spans="2:5">
      <c r="B246" s="16"/>
      <c r="C246" s="16"/>
      <c r="D246" s="16"/>
      <c r="E246" s="16"/>
    </row>
    <row r="247" spans="2:5">
      <c r="B247" s="16"/>
      <c r="C247" s="16"/>
      <c r="D247" s="16"/>
      <c r="E247" s="16"/>
    </row>
    <row r="248" spans="2:5">
      <c r="B248" s="16"/>
      <c r="C248" s="16"/>
      <c r="D248" s="16"/>
      <c r="E248" s="16"/>
    </row>
    <row r="249" spans="2:5">
      <c r="B249" s="16"/>
      <c r="C249" s="16"/>
      <c r="D249" s="16"/>
      <c r="E249" s="16"/>
    </row>
    <row r="250" spans="2:5">
      <c r="B250" s="16"/>
      <c r="C250" s="16"/>
      <c r="D250" s="16"/>
      <c r="E250" s="16"/>
    </row>
    <row r="251" spans="2:5">
      <c r="B251" s="16"/>
      <c r="C251" s="16"/>
      <c r="D251" s="16"/>
      <c r="E251" s="16"/>
    </row>
    <row r="252" spans="2:5">
      <c r="B252" s="16"/>
      <c r="C252" s="16"/>
      <c r="D252" s="16"/>
      <c r="E252" s="16"/>
    </row>
    <row r="253" spans="2:5">
      <c r="B253" s="16"/>
      <c r="C253" s="16"/>
      <c r="D253" s="16"/>
      <c r="E253" s="16"/>
    </row>
    <row r="254" spans="2:5">
      <c r="B254" s="16"/>
      <c r="C254" s="16"/>
      <c r="D254" s="16"/>
      <c r="E254" s="16"/>
    </row>
    <row r="255" spans="2:5">
      <c r="B255" s="16"/>
      <c r="C255" s="16"/>
      <c r="D255" s="16"/>
      <c r="E255" s="16"/>
    </row>
    <row r="256" spans="2:5">
      <c r="B256" s="16"/>
      <c r="C256" s="16"/>
      <c r="D256" s="16"/>
      <c r="E256" s="16"/>
    </row>
    <row r="257" spans="2:5">
      <c r="B257" s="16"/>
      <c r="C257" s="16"/>
      <c r="D257" s="16"/>
      <c r="E257" s="16"/>
    </row>
    <row r="258" spans="2:5">
      <c r="B258" s="16"/>
      <c r="C258" s="16"/>
      <c r="D258" s="16"/>
      <c r="E258" s="16"/>
    </row>
    <row r="259" spans="2:5">
      <c r="B259" s="16"/>
      <c r="C259" s="16"/>
      <c r="D259" s="16"/>
      <c r="E259" s="16"/>
    </row>
    <row r="260" spans="2:5">
      <c r="B260" s="16"/>
      <c r="C260" s="16"/>
      <c r="D260" s="16"/>
      <c r="E260" s="16"/>
    </row>
    <row r="261" spans="2:5">
      <c r="B261" s="16"/>
      <c r="C261" s="16"/>
      <c r="D261" s="16"/>
      <c r="E261" s="16"/>
    </row>
    <row r="262" spans="2:5">
      <c r="B262" s="16"/>
      <c r="C262" s="16"/>
      <c r="D262" s="16"/>
      <c r="E262" s="16"/>
    </row>
    <row r="263" spans="2:5">
      <c r="B263" s="16"/>
      <c r="C263" s="16"/>
      <c r="D263" s="16"/>
      <c r="E263" s="16"/>
    </row>
    <row r="264" spans="2:5">
      <c r="B264" s="16"/>
      <c r="C264" s="16"/>
      <c r="D264" s="16"/>
      <c r="E264" s="16"/>
    </row>
    <row r="265" spans="2:5">
      <c r="B265" s="16"/>
      <c r="C265" s="16"/>
      <c r="D265" s="16"/>
      <c r="E265" s="16"/>
    </row>
    <row r="266" spans="2:5">
      <c r="B266" s="16"/>
      <c r="C266" s="16"/>
      <c r="D266" s="16"/>
      <c r="E266" s="16"/>
    </row>
    <row r="267" spans="2:5">
      <c r="B267" s="16"/>
      <c r="C267" s="16"/>
      <c r="D267" s="16"/>
      <c r="E267" s="16"/>
    </row>
    <row r="268" spans="2:5">
      <c r="B268" s="16"/>
      <c r="C268" s="16"/>
      <c r="D268" s="16"/>
      <c r="E268" s="16"/>
    </row>
    <row r="269" spans="2:5">
      <c r="B269" s="16"/>
      <c r="C269" s="16"/>
      <c r="D269" s="16"/>
      <c r="E269" s="16"/>
    </row>
    <row r="270" spans="2:5">
      <c r="B270" s="16"/>
      <c r="C270" s="16"/>
      <c r="D270" s="16"/>
      <c r="E270" s="16"/>
    </row>
    <row r="271" spans="2:5">
      <c r="B271" s="16"/>
      <c r="C271" s="16"/>
      <c r="D271" s="16"/>
      <c r="E271" s="16"/>
    </row>
    <row r="272" spans="2:5">
      <c r="B272" s="16"/>
      <c r="C272" s="16"/>
      <c r="D272" s="16"/>
      <c r="E272" s="16"/>
    </row>
    <row r="273" spans="2:5">
      <c r="B273" s="16"/>
      <c r="C273" s="16"/>
      <c r="D273" s="16"/>
      <c r="E273" s="16"/>
    </row>
    <row r="274" spans="2:5">
      <c r="B274" s="16"/>
      <c r="C274" s="16"/>
      <c r="D274" s="16"/>
      <c r="E274" s="16"/>
    </row>
    <row r="275" spans="2:5">
      <c r="B275" s="16"/>
      <c r="C275" s="16"/>
      <c r="D275" s="16"/>
      <c r="E275" s="16"/>
    </row>
    <row r="276" spans="2:5">
      <c r="B276" s="16"/>
      <c r="C276" s="16"/>
      <c r="D276" s="16"/>
      <c r="E276" s="16"/>
    </row>
    <row r="277" spans="2:5">
      <c r="B277" s="16"/>
      <c r="C277" s="16"/>
      <c r="D277" s="16"/>
      <c r="E277" s="16"/>
    </row>
    <row r="278" spans="2:5">
      <c r="B278" s="16"/>
      <c r="C278" s="16"/>
      <c r="D278" s="16"/>
      <c r="E278" s="16"/>
    </row>
    <row r="279" spans="2:5">
      <c r="B279" s="16"/>
      <c r="C279" s="16"/>
      <c r="D279" s="16"/>
      <c r="E279" s="16"/>
    </row>
    <row r="280" spans="2:5">
      <c r="B280" s="16"/>
      <c r="C280" s="16"/>
      <c r="D280" s="16"/>
      <c r="E280" s="16"/>
    </row>
    <row r="281" spans="2:5">
      <c r="B281" s="16"/>
      <c r="C281" s="16"/>
      <c r="D281" s="16"/>
      <c r="E281" s="16"/>
    </row>
    <row r="282" spans="2:5">
      <c r="B282" s="16"/>
      <c r="C282" s="16"/>
      <c r="D282" s="16"/>
      <c r="E282" s="16"/>
    </row>
    <row r="283" spans="2:5">
      <c r="B283" s="16"/>
      <c r="C283" s="16"/>
      <c r="D283" s="16"/>
      <c r="E283" s="16"/>
    </row>
    <row r="284" spans="2:5">
      <c r="B284" s="16"/>
      <c r="C284" s="16"/>
      <c r="D284" s="16"/>
      <c r="E284" s="16"/>
    </row>
    <row r="285" spans="2:5">
      <c r="B285" s="16"/>
      <c r="C285" s="16"/>
      <c r="D285" s="16"/>
      <c r="E285" s="16"/>
    </row>
    <row r="286" spans="2:5">
      <c r="B286" s="16"/>
      <c r="C286" s="16"/>
      <c r="D286" s="16"/>
      <c r="E286" s="16"/>
    </row>
    <row r="287" spans="2:5">
      <c r="B287" s="16"/>
      <c r="C287" s="16"/>
      <c r="D287" s="16"/>
      <c r="E287" s="16"/>
    </row>
    <row r="288" spans="2:5">
      <c r="B288" s="16"/>
      <c r="C288" s="16"/>
      <c r="D288" s="16"/>
      <c r="E288" s="16"/>
    </row>
    <row r="289" spans="2:5">
      <c r="B289" s="16"/>
      <c r="C289" s="16"/>
      <c r="D289" s="16"/>
      <c r="E289" s="16"/>
    </row>
    <row r="290" spans="2:5">
      <c r="B290" s="16"/>
      <c r="C290" s="16"/>
      <c r="D290" s="16"/>
      <c r="E290" s="16"/>
    </row>
    <row r="291" spans="2:5">
      <c r="B291" s="16"/>
      <c r="C291" s="16"/>
      <c r="D291" s="16"/>
      <c r="E291" s="16"/>
    </row>
    <row r="292" spans="2:5">
      <c r="B292" s="16"/>
      <c r="C292" s="16"/>
      <c r="D292" s="16"/>
      <c r="E292" s="16"/>
    </row>
    <row r="293" spans="2:5">
      <c r="B293" s="16"/>
      <c r="C293" s="16"/>
      <c r="D293" s="16"/>
      <c r="E293" s="16"/>
    </row>
    <row r="294" spans="2:5">
      <c r="B294" s="16"/>
      <c r="C294" s="16"/>
      <c r="D294" s="16"/>
      <c r="E294" s="16"/>
    </row>
    <row r="295" spans="2:5">
      <c r="B295" s="16"/>
      <c r="C295" s="16"/>
      <c r="D295" s="16"/>
      <c r="E295" s="16"/>
    </row>
    <row r="296" spans="2:5">
      <c r="B296" s="16"/>
      <c r="C296" s="16"/>
      <c r="D296" s="16"/>
      <c r="E296" s="16"/>
    </row>
    <row r="297" spans="2:5">
      <c r="B297" s="16"/>
      <c r="C297" s="16"/>
      <c r="D297" s="16"/>
      <c r="E297" s="16"/>
    </row>
    <row r="298" spans="2:5">
      <c r="B298" s="16"/>
      <c r="C298" s="16"/>
      <c r="D298" s="16"/>
      <c r="E298" s="16"/>
    </row>
    <row r="299" spans="2:5">
      <c r="B299" s="16"/>
      <c r="C299" s="16"/>
      <c r="D299" s="16"/>
      <c r="E299" s="16"/>
    </row>
    <row r="300" spans="2:5">
      <c r="B300" s="16"/>
      <c r="C300" s="16"/>
      <c r="D300" s="16"/>
      <c r="E300" s="16"/>
    </row>
    <row r="301" spans="2:5">
      <c r="B301" s="16"/>
      <c r="C301" s="16"/>
      <c r="D301" s="16"/>
      <c r="E301" s="16"/>
    </row>
    <row r="302" spans="2:5">
      <c r="B302" s="16"/>
      <c r="C302" s="16"/>
      <c r="D302" s="16"/>
      <c r="E302" s="16"/>
    </row>
    <row r="303" spans="2:5">
      <c r="B303" s="16"/>
      <c r="C303" s="16"/>
      <c r="D303" s="16"/>
      <c r="E303" s="16"/>
    </row>
    <row r="304" spans="2:5">
      <c r="B304" s="16"/>
      <c r="C304" s="16"/>
      <c r="D304" s="16"/>
      <c r="E304" s="16"/>
    </row>
    <row r="305" spans="2:5">
      <c r="B305" s="16"/>
      <c r="C305" s="16"/>
      <c r="D305" s="16"/>
      <c r="E305" s="16"/>
    </row>
    <row r="306" spans="2:5">
      <c r="B306" s="16"/>
      <c r="C306" s="16"/>
      <c r="D306" s="16"/>
      <c r="E306" s="16"/>
    </row>
    <row r="307" spans="2:5">
      <c r="B307" s="16"/>
      <c r="C307" s="16"/>
      <c r="D307" s="16"/>
      <c r="E307" s="16"/>
    </row>
    <row r="308" spans="2:5">
      <c r="B308" s="16"/>
      <c r="C308" s="16"/>
      <c r="D308" s="16"/>
      <c r="E308" s="16"/>
    </row>
    <row r="309" spans="2:5">
      <c r="B309" s="16"/>
      <c r="C309" s="16"/>
      <c r="D309" s="16"/>
      <c r="E309" s="16"/>
    </row>
    <row r="310" spans="2:5">
      <c r="B310" s="16"/>
      <c r="C310" s="16"/>
      <c r="D310" s="16"/>
      <c r="E310" s="16"/>
    </row>
    <row r="311" spans="2:5">
      <c r="B311" s="16"/>
      <c r="C311" s="16"/>
      <c r="D311" s="16"/>
      <c r="E311" s="16"/>
    </row>
    <row r="312" spans="2:5">
      <c r="B312" s="16"/>
      <c r="C312" s="16"/>
      <c r="D312" s="16"/>
      <c r="E312" s="16"/>
    </row>
    <row r="313" spans="2:5">
      <c r="B313" s="16"/>
      <c r="C313" s="16"/>
      <c r="D313" s="16"/>
      <c r="E313" s="16"/>
    </row>
    <row r="314" spans="2:5">
      <c r="B314" s="16"/>
      <c r="C314" s="16"/>
      <c r="D314" s="16"/>
      <c r="E314" s="16"/>
    </row>
    <row r="315" spans="2:5">
      <c r="B315" s="16"/>
      <c r="C315" s="16"/>
      <c r="D315" s="16"/>
      <c r="E315" s="16"/>
    </row>
    <row r="316" spans="2:5">
      <c r="B316" s="16"/>
      <c r="C316" s="16"/>
      <c r="D316" s="16"/>
      <c r="E316" s="16"/>
    </row>
    <row r="317" spans="2:5">
      <c r="B317" s="16"/>
      <c r="C317" s="16"/>
      <c r="D317" s="16"/>
      <c r="E317" s="16"/>
    </row>
    <row r="318" spans="2:5">
      <c r="B318" s="16"/>
      <c r="C318" s="16"/>
      <c r="D318" s="16"/>
      <c r="E318" s="16"/>
    </row>
    <row r="319" spans="2:5">
      <c r="B319" s="16"/>
      <c r="C319" s="16"/>
      <c r="D319" s="16"/>
      <c r="E319" s="16"/>
    </row>
    <row r="320" spans="2:5">
      <c r="B320" s="16"/>
      <c r="C320" s="16"/>
      <c r="D320" s="16"/>
      <c r="E320" s="16"/>
    </row>
    <row r="321" spans="2:5">
      <c r="B321" s="16"/>
      <c r="C321" s="16"/>
      <c r="D321" s="16"/>
      <c r="E321" s="16"/>
    </row>
    <row r="322" spans="2:5">
      <c r="B322" s="16"/>
      <c r="C322" s="16"/>
      <c r="D322" s="16"/>
      <c r="E322" s="16"/>
    </row>
    <row r="323" spans="2:5">
      <c r="B323" s="16"/>
      <c r="C323" s="16"/>
      <c r="D323" s="16"/>
      <c r="E323" s="16"/>
    </row>
    <row r="324" spans="2:5">
      <c r="B324" s="16"/>
      <c r="C324" s="16"/>
      <c r="D324" s="16"/>
      <c r="E324" s="16"/>
    </row>
    <row r="325" spans="2:5">
      <c r="B325" s="16"/>
      <c r="C325" s="16"/>
      <c r="D325" s="16"/>
      <c r="E325" s="16"/>
    </row>
    <row r="326" spans="2:5">
      <c r="B326" s="16"/>
      <c r="C326" s="16"/>
      <c r="D326" s="16"/>
      <c r="E326" s="16"/>
    </row>
    <row r="327" spans="2:5">
      <c r="B327" s="16"/>
      <c r="C327" s="16"/>
      <c r="D327" s="16"/>
      <c r="E327" s="16"/>
    </row>
    <row r="328" spans="2:5">
      <c r="B328" s="16"/>
      <c r="C328" s="16"/>
      <c r="D328" s="16"/>
      <c r="E328" s="16"/>
    </row>
    <row r="329" spans="2:5">
      <c r="B329" s="16"/>
      <c r="C329" s="16"/>
      <c r="D329" s="16"/>
      <c r="E329" s="16"/>
    </row>
    <row r="330" spans="2:5">
      <c r="B330" s="16"/>
      <c r="C330" s="16"/>
      <c r="D330" s="16"/>
      <c r="E330" s="16"/>
    </row>
    <row r="331" spans="2:5">
      <c r="B331" s="16"/>
      <c r="C331" s="16"/>
      <c r="D331" s="16"/>
      <c r="E331" s="16"/>
    </row>
    <row r="332" spans="2:5">
      <c r="B332" s="16"/>
      <c r="C332" s="16"/>
      <c r="D332" s="16"/>
      <c r="E332" s="16"/>
    </row>
    <row r="333" spans="2:5">
      <c r="B333" s="16"/>
      <c r="C333" s="16"/>
      <c r="D333" s="16"/>
      <c r="E333" s="16"/>
    </row>
    <row r="334" spans="2:5">
      <c r="B334" s="16"/>
      <c r="C334" s="16"/>
      <c r="D334" s="16"/>
      <c r="E334" s="16"/>
    </row>
    <row r="335" spans="2:5">
      <c r="B335" s="16"/>
      <c r="C335" s="16"/>
      <c r="D335" s="16"/>
      <c r="E335" s="16"/>
    </row>
    <row r="336" spans="2:5">
      <c r="B336" s="16"/>
      <c r="C336" s="16"/>
      <c r="D336" s="16"/>
      <c r="E336" s="16"/>
    </row>
    <row r="337" spans="2:5">
      <c r="B337" s="16"/>
      <c r="C337" s="16"/>
      <c r="D337" s="16"/>
      <c r="E337" s="16"/>
    </row>
    <row r="338" spans="2:5">
      <c r="B338" s="16"/>
      <c r="C338" s="16"/>
      <c r="D338" s="16"/>
      <c r="E338" s="16"/>
    </row>
    <row r="339" spans="2:5">
      <c r="B339" s="16"/>
      <c r="C339" s="16"/>
      <c r="D339" s="16"/>
      <c r="E339" s="16"/>
    </row>
    <row r="340" spans="2:5">
      <c r="B340" s="16"/>
      <c r="C340" s="16"/>
      <c r="D340" s="16"/>
      <c r="E340" s="16"/>
    </row>
    <row r="341" spans="2:5">
      <c r="B341" s="16"/>
      <c r="C341" s="16"/>
      <c r="D341" s="16"/>
      <c r="E341" s="16"/>
    </row>
    <row r="342" spans="2:5">
      <c r="B342" s="16"/>
      <c r="C342" s="16"/>
      <c r="D342" s="16"/>
      <c r="E342" s="16"/>
    </row>
    <row r="343" spans="2:5">
      <c r="B343" s="16"/>
      <c r="C343" s="16"/>
      <c r="D343" s="16"/>
      <c r="E343" s="16"/>
    </row>
    <row r="344" spans="2:5">
      <c r="B344" s="16"/>
      <c r="C344" s="16"/>
      <c r="D344" s="16"/>
      <c r="E344" s="16"/>
    </row>
    <row r="345" spans="2:5">
      <c r="B345" s="16"/>
      <c r="C345" s="16"/>
      <c r="D345" s="16"/>
      <c r="E345" s="16"/>
    </row>
    <row r="346" spans="2:5">
      <c r="B346" s="16"/>
      <c r="C346" s="16"/>
      <c r="D346" s="16"/>
      <c r="E346" s="16"/>
    </row>
    <row r="347" spans="2:5">
      <c r="B347" s="16"/>
      <c r="C347" s="16"/>
      <c r="D347" s="16"/>
      <c r="E347" s="16"/>
    </row>
    <row r="348" spans="2:5">
      <c r="B348" s="16"/>
      <c r="C348" s="16"/>
      <c r="D348" s="16"/>
      <c r="E348" s="16"/>
    </row>
    <row r="349" spans="2:5">
      <c r="B349" s="16"/>
      <c r="C349" s="16"/>
      <c r="D349" s="16"/>
      <c r="E349" s="16"/>
    </row>
    <row r="350" spans="2:5">
      <c r="B350" s="16"/>
      <c r="C350" s="16"/>
      <c r="D350" s="16"/>
      <c r="E350" s="16"/>
    </row>
    <row r="351" spans="2:5">
      <c r="B351" s="16"/>
      <c r="C351" s="16"/>
      <c r="D351" s="16"/>
      <c r="E351" s="16"/>
    </row>
    <row r="352" spans="2:5">
      <c r="B352" s="16"/>
      <c r="C352" s="16"/>
      <c r="D352" s="16"/>
      <c r="E352" s="16"/>
    </row>
    <row r="353" spans="2:5">
      <c r="B353" s="16"/>
      <c r="C353" s="16"/>
      <c r="D353" s="16"/>
      <c r="E353" s="16"/>
    </row>
    <row r="354" spans="2:5">
      <c r="B354" s="16"/>
      <c r="C354" s="16"/>
      <c r="D354" s="16"/>
      <c r="E354" s="16"/>
    </row>
    <row r="355" spans="2:5">
      <c r="B355" s="16"/>
      <c r="C355" s="16"/>
      <c r="D355" s="16"/>
      <c r="E355" s="16"/>
    </row>
    <row r="356" spans="2:5">
      <c r="B356" s="16"/>
      <c r="C356" s="16"/>
      <c r="D356" s="16"/>
      <c r="E356" s="16"/>
    </row>
    <row r="357" spans="2:5">
      <c r="B357" s="16"/>
      <c r="C357" s="16"/>
      <c r="D357" s="16"/>
      <c r="E357" s="16"/>
    </row>
    <row r="358" spans="2:5">
      <c r="B358" s="16"/>
      <c r="C358" s="16"/>
      <c r="D358" s="16"/>
      <c r="E358" s="16"/>
    </row>
    <row r="359" spans="2:5">
      <c r="B359" s="16"/>
      <c r="C359" s="16"/>
      <c r="D359" s="16"/>
      <c r="E359" s="16"/>
    </row>
    <row r="360" spans="2:5">
      <c r="B360" s="16"/>
      <c r="C360" s="16"/>
      <c r="D360" s="16"/>
      <c r="E360" s="16"/>
    </row>
    <row r="361" spans="2:5">
      <c r="B361" s="16"/>
      <c r="C361" s="16"/>
      <c r="D361" s="16"/>
      <c r="E361" s="16"/>
    </row>
    <row r="362" spans="2:5">
      <c r="B362" s="16"/>
      <c r="C362" s="16"/>
      <c r="D362" s="16"/>
      <c r="E362" s="16"/>
    </row>
    <row r="363" spans="2:5">
      <c r="B363" s="16"/>
      <c r="C363" s="16"/>
      <c r="D363" s="16"/>
      <c r="E363" s="16"/>
    </row>
    <row r="364" spans="2:5">
      <c r="B364" s="16"/>
      <c r="C364" s="16"/>
      <c r="D364" s="16"/>
      <c r="E364" s="16"/>
    </row>
    <row r="365" spans="2:5">
      <c r="B365" s="16"/>
      <c r="C365" s="16"/>
      <c r="D365" s="16"/>
      <c r="E365" s="16"/>
    </row>
    <row r="366" spans="2:5">
      <c r="B366" s="16"/>
      <c r="C366" s="16"/>
      <c r="D366" s="16"/>
      <c r="E366" s="16"/>
    </row>
    <row r="367" spans="2:5">
      <c r="B367" s="16"/>
      <c r="C367" s="16"/>
      <c r="D367" s="16"/>
      <c r="E367" s="16"/>
    </row>
    <row r="368" spans="2:5">
      <c r="B368" s="16"/>
      <c r="C368" s="16"/>
      <c r="D368" s="16"/>
      <c r="E368" s="16"/>
    </row>
    <row r="369" spans="2:5">
      <c r="B369" s="16"/>
      <c r="C369" s="16"/>
      <c r="D369" s="16"/>
      <c r="E369" s="16"/>
    </row>
    <row r="370" spans="2:5">
      <c r="B370" s="16"/>
      <c r="C370" s="16"/>
      <c r="D370" s="16"/>
      <c r="E370" s="16"/>
    </row>
    <row r="371" spans="2:5">
      <c r="B371" s="16"/>
      <c r="C371" s="16"/>
      <c r="D371" s="16"/>
      <c r="E371" s="16"/>
    </row>
    <row r="372" spans="2:5">
      <c r="B372" s="16"/>
      <c r="C372" s="16"/>
      <c r="D372" s="16"/>
      <c r="E372" s="16"/>
    </row>
    <row r="373" spans="2:5">
      <c r="B373" s="16"/>
      <c r="C373" s="16"/>
      <c r="D373" s="16"/>
      <c r="E373" s="16"/>
    </row>
    <row r="374" spans="2:5">
      <c r="B374" s="16"/>
      <c r="C374" s="16"/>
      <c r="D374" s="16"/>
      <c r="E374" s="16"/>
    </row>
    <row r="375" spans="2:5">
      <c r="B375" s="16"/>
      <c r="C375" s="16"/>
      <c r="D375" s="16"/>
      <c r="E375" s="16"/>
    </row>
    <row r="376" spans="2:5">
      <c r="B376" s="16"/>
      <c r="C376" s="16"/>
      <c r="D376" s="16"/>
      <c r="E376" s="16"/>
    </row>
    <row r="377" spans="2:5">
      <c r="B377" s="16"/>
      <c r="C377" s="16"/>
      <c r="D377" s="16"/>
      <c r="E377" s="16"/>
    </row>
    <row r="378" spans="2:5">
      <c r="B378" s="16"/>
      <c r="C378" s="16"/>
      <c r="D378" s="16"/>
      <c r="E378" s="16"/>
    </row>
    <row r="379" spans="2:5">
      <c r="B379" s="16"/>
      <c r="C379" s="16"/>
      <c r="D379" s="16"/>
      <c r="E379" s="16"/>
    </row>
    <row r="380" spans="2:5">
      <c r="B380" s="16"/>
      <c r="C380" s="16"/>
      <c r="D380" s="16"/>
      <c r="E380" s="16"/>
    </row>
    <row r="381" spans="2:5">
      <c r="B381" s="16"/>
      <c r="C381" s="16"/>
      <c r="D381" s="16"/>
      <c r="E381" s="16"/>
    </row>
    <row r="382" spans="2:5">
      <c r="B382" s="16"/>
      <c r="C382" s="16"/>
      <c r="D382" s="16"/>
      <c r="E382" s="16"/>
    </row>
    <row r="383" spans="2:5">
      <c r="B383" s="16"/>
      <c r="C383" s="16"/>
      <c r="D383" s="16"/>
      <c r="E383" s="16"/>
    </row>
    <row r="384" spans="2:5">
      <c r="B384" s="16"/>
      <c r="C384" s="16"/>
      <c r="D384" s="16"/>
      <c r="E384" s="16"/>
    </row>
    <row r="385" spans="2:5">
      <c r="B385" s="16"/>
      <c r="C385" s="16"/>
      <c r="D385" s="16"/>
      <c r="E385" s="16"/>
    </row>
    <row r="386" spans="2:5">
      <c r="B386" s="16"/>
      <c r="C386" s="16"/>
      <c r="D386" s="16"/>
      <c r="E386" s="16"/>
    </row>
    <row r="387" spans="2:5">
      <c r="B387" s="16"/>
      <c r="C387" s="16"/>
      <c r="D387" s="16"/>
      <c r="E387" s="16"/>
    </row>
    <row r="388" spans="2:5">
      <c r="B388" s="16"/>
      <c r="C388" s="16"/>
      <c r="D388" s="16"/>
      <c r="E388" s="16"/>
    </row>
    <row r="389" spans="2:5">
      <c r="B389" s="16"/>
      <c r="C389" s="16"/>
      <c r="D389" s="16"/>
      <c r="E389" s="16"/>
    </row>
    <row r="390" spans="2:5">
      <c r="B390" s="16"/>
      <c r="C390" s="16"/>
      <c r="D390" s="16"/>
      <c r="E390" s="16"/>
    </row>
    <row r="391" spans="2:5">
      <c r="B391" s="16"/>
      <c r="C391" s="16"/>
      <c r="D391" s="16"/>
      <c r="E391" s="16"/>
    </row>
    <row r="392" spans="2:5">
      <c r="B392" s="16"/>
      <c r="C392" s="16"/>
      <c r="D392" s="16"/>
      <c r="E392" s="16"/>
    </row>
    <row r="393" spans="2:5">
      <c r="B393" s="16"/>
      <c r="C393" s="16"/>
      <c r="D393" s="16"/>
      <c r="E393" s="16"/>
    </row>
    <row r="394" spans="2:5">
      <c r="B394" s="16"/>
      <c r="C394" s="16"/>
      <c r="D394" s="16"/>
      <c r="E394" s="16"/>
    </row>
    <row r="395" spans="2:5">
      <c r="B395" s="16"/>
      <c r="C395" s="16"/>
      <c r="D395" s="16"/>
      <c r="E395" s="16"/>
    </row>
    <row r="396" spans="2:5">
      <c r="B396" s="16"/>
      <c r="C396" s="16"/>
      <c r="D396" s="16"/>
      <c r="E396" s="16"/>
    </row>
    <row r="397" spans="2:5">
      <c r="B397" s="16"/>
      <c r="C397" s="16"/>
      <c r="D397" s="16"/>
      <c r="E397" s="16"/>
    </row>
    <row r="398" spans="2:5">
      <c r="B398" s="16"/>
      <c r="C398" s="16"/>
      <c r="D398" s="16"/>
      <c r="E398" s="16"/>
    </row>
    <row r="399" spans="2:5">
      <c r="B399" s="16"/>
      <c r="C399" s="16"/>
      <c r="D399" s="16"/>
      <c r="E399" s="16"/>
    </row>
    <row r="400" spans="2:5">
      <c r="B400" s="16"/>
      <c r="C400" s="16"/>
      <c r="D400" s="16"/>
      <c r="E400" s="16"/>
    </row>
    <row r="401" spans="2:5">
      <c r="B401" s="16"/>
      <c r="C401" s="16"/>
      <c r="D401" s="16"/>
      <c r="E401" s="16"/>
    </row>
    <row r="402" spans="2:5">
      <c r="B402" s="16"/>
      <c r="C402" s="16"/>
      <c r="D402" s="16"/>
      <c r="E402" s="16"/>
    </row>
    <row r="403" spans="2:5">
      <c r="B403" s="16"/>
      <c r="C403" s="16"/>
      <c r="D403" s="16"/>
      <c r="E403" s="16"/>
    </row>
    <row r="404" spans="2:5">
      <c r="B404" s="16"/>
      <c r="C404" s="16"/>
      <c r="D404" s="16"/>
      <c r="E404" s="16"/>
    </row>
    <row r="405" spans="2:5">
      <c r="B405" s="16"/>
      <c r="C405" s="16"/>
      <c r="D405" s="16"/>
      <c r="E405" s="16"/>
    </row>
    <row r="406" spans="2:5">
      <c r="B406" s="16"/>
      <c r="C406" s="16"/>
      <c r="D406" s="16"/>
      <c r="E406" s="16"/>
    </row>
    <row r="407" spans="2:5">
      <c r="B407" s="16"/>
      <c r="C407" s="16"/>
      <c r="D407" s="16"/>
      <c r="E407" s="16"/>
    </row>
    <row r="408" spans="2:5">
      <c r="B408" s="16"/>
      <c r="C408" s="16"/>
      <c r="D408" s="16"/>
      <c r="E408" s="16"/>
    </row>
    <row r="409" spans="2:5">
      <c r="B409" s="16"/>
      <c r="C409" s="16"/>
      <c r="D409" s="16"/>
      <c r="E409" s="16"/>
    </row>
    <row r="410" spans="2:5">
      <c r="B410" s="16"/>
      <c r="C410" s="16"/>
      <c r="D410" s="16"/>
      <c r="E410" s="16"/>
    </row>
    <row r="411" spans="2:5">
      <c r="B411" s="16"/>
      <c r="C411" s="16"/>
      <c r="D411" s="16"/>
      <c r="E411" s="16"/>
    </row>
    <row r="412" spans="2:5">
      <c r="B412" s="16"/>
      <c r="C412" s="16"/>
      <c r="D412" s="16"/>
      <c r="E412" s="16"/>
    </row>
    <row r="413" spans="2:5">
      <c r="B413" s="16"/>
      <c r="C413" s="16"/>
      <c r="D413" s="16"/>
      <c r="E413" s="16"/>
    </row>
    <row r="414" spans="2:5">
      <c r="B414" s="16"/>
      <c r="C414" s="16"/>
      <c r="D414" s="16"/>
      <c r="E414" s="16"/>
    </row>
    <row r="415" spans="2:5">
      <c r="B415" s="16"/>
      <c r="C415" s="16"/>
      <c r="D415" s="16"/>
      <c r="E415" s="16"/>
    </row>
    <row r="416" spans="2:5">
      <c r="B416" s="16"/>
      <c r="C416" s="16"/>
      <c r="D416" s="16"/>
      <c r="E416" s="16"/>
    </row>
    <row r="417" spans="2:5">
      <c r="B417" s="16"/>
      <c r="C417" s="16"/>
      <c r="D417" s="16"/>
      <c r="E417" s="16"/>
    </row>
    <row r="418" spans="2:5">
      <c r="B418" s="16"/>
      <c r="C418" s="16"/>
      <c r="D418" s="16"/>
      <c r="E418" s="16"/>
    </row>
    <row r="419" spans="2:5">
      <c r="B419" s="16"/>
      <c r="C419" s="16"/>
      <c r="D419" s="16"/>
      <c r="E419" s="16"/>
    </row>
    <row r="420" spans="2:5">
      <c r="B420" s="16"/>
      <c r="C420" s="16"/>
      <c r="D420" s="16"/>
      <c r="E420" s="16"/>
    </row>
    <row r="421" spans="2:5">
      <c r="B421" s="16"/>
      <c r="C421" s="16"/>
      <c r="D421" s="16"/>
      <c r="E421" s="16"/>
    </row>
    <row r="422" spans="2:5">
      <c r="B422" s="16"/>
      <c r="C422" s="16"/>
      <c r="D422" s="16"/>
      <c r="E422" s="16"/>
    </row>
    <row r="423" spans="2:5">
      <c r="B423" s="16"/>
      <c r="C423" s="16"/>
      <c r="D423" s="16"/>
      <c r="E423" s="16"/>
    </row>
    <row r="424" spans="2:5">
      <c r="B424" s="16"/>
      <c r="C424" s="16"/>
      <c r="D424" s="16"/>
      <c r="E424" s="16"/>
    </row>
    <row r="425" spans="2:5">
      <c r="B425" s="16"/>
      <c r="C425" s="16"/>
      <c r="D425" s="16"/>
      <c r="E425" s="16"/>
    </row>
    <row r="426" spans="2:5">
      <c r="B426" s="16"/>
      <c r="C426" s="16"/>
      <c r="D426" s="16"/>
      <c r="E426" s="16"/>
    </row>
    <row r="427" spans="2:5">
      <c r="B427" s="16"/>
      <c r="C427" s="16"/>
      <c r="D427" s="16"/>
      <c r="E427" s="16"/>
    </row>
    <row r="428" spans="2:5">
      <c r="B428" s="16"/>
      <c r="C428" s="16"/>
      <c r="D428" s="16"/>
      <c r="E428" s="16"/>
    </row>
    <row r="429" spans="2:5">
      <c r="B429" s="16"/>
      <c r="C429" s="16"/>
      <c r="D429" s="16"/>
      <c r="E429" s="16"/>
    </row>
    <row r="430" spans="2:5">
      <c r="B430" s="16"/>
      <c r="C430" s="16"/>
      <c r="D430" s="16"/>
      <c r="E430" s="16"/>
    </row>
    <row r="431" spans="2:5">
      <c r="B431" s="16"/>
      <c r="C431" s="16"/>
      <c r="D431" s="16"/>
      <c r="E431" s="16"/>
    </row>
    <row r="432" spans="2:5">
      <c r="B432" s="16"/>
      <c r="C432" s="16"/>
      <c r="D432" s="16"/>
      <c r="E432" s="16"/>
    </row>
    <row r="433" spans="2:5">
      <c r="B433" s="16"/>
      <c r="C433" s="16"/>
      <c r="D433" s="16"/>
      <c r="E433" s="16"/>
    </row>
    <row r="434" spans="2:5">
      <c r="B434" s="16"/>
      <c r="C434" s="16"/>
      <c r="D434" s="16"/>
      <c r="E434" s="16"/>
    </row>
    <row r="435" spans="2:5">
      <c r="B435" s="16"/>
      <c r="C435" s="16"/>
      <c r="D435" s="16"/>
      <c r="E435" s="16"/>
    </row>
    <row r="436" spans="2:5">
      <c r="B436" s="16"/>
      <c r="C436" s="16"/>
      <c r="D436" s="16"/>
      <c r="E436" s="16"/>
    </row>
    <row r="437" spans="2:5">
      <c r="B437" s="16"/>
      <c r="C437" s="16"/>
      <c r="D437" s="16"/>
      <c r="E437" s="16"/>
    </row>
    <row r="438" spans="2:5">
      <c r="B438" s="16"/>
      <c r="C438" s="16"/>
      <c r="D438" s="16"/>
      <c r="E438" s="16"/>
    </row>
    <row r="439" spans="2:5">
      <c r="B439" s="16"/>
      <c r="C439" s="16"/>
      <c r="D439" s="16"/>
      <c r="E439" s="16"/>
    </row>
    <row r="440" spans="2:5">
      <c r="B440" s="16"/>
      <c r="C440" s="16"/>
      <c r="D440" s="16"/>
      <c r="E440" s="16"/>
    </row>
    <row r="441" spans="2:5">
      <c r="B441" s="16"/>
      <c r="C441" s="16"/>
      <c r="D441" s="16"/>
      <c r="E441" s="16"/>
    </row>
    <row r="442" spans="2:5">
      <c r="B442" s="16"/>
      <c r="C442" s="16"/>
      <c r="D442" s="16"/>
      <c r="E442" s="16"/>
    </row>
    <row r="443" spans="2:5">
      <c r="B443" s="16"/>
      <c r="C443" s="16"/>
      <c r="D443" s="16"/>
      <c r="E443" s="16"/>
    </row>
    <row r="444" spans="2:5">
      <c r="B444" s="16"/>
      <c r="C444" s="16"/>
      <c r="D444" s="16"/>
      <c r="E444" s="16"/>
    </row>
    <row r="445" spans="2:5">
      <c r="B445" s="16"/>
      <c r="C445" s="16"/>
      <c r="D445" s="16"/>
      <c r="E445" s="16"/>
    </row>
    <row r="446" spans="2:5">
      <c r="B446" s="16"/>
      <c r="C446" s="16"/>
      <c r="D446" s="16"/>
      <c r="E446" s="16"/>
    </row>
    <row r="447" spans="2:5">
      <c r="B447" s="16"/>
      <c r="C447" s="16"/>
      <c r="D447" s="16"/>
      <c r="E447" s="16"/>
    </row>
    <row r="448" spans="2:5">
      <c r="B448" s="16"/>
      <c r="C448" s="16"/>
      <c r="D448" s="16"/>
      <c r="E448" s="16"/>
    </row>
    <row r="449" spans="2:5">
      <c r="B449" s="16"/>
      <c r="C449" s="16"/>
      <c r="D449" s="16"/>
      <c r="E449" s="16"/>
    </row>
    <row r="450" spans="2:5">
      <c r="B450" s="16"/>
      <c r="C450" s="16"/>
      <c r="D450" s="16"/>
      <c r="E450" s="16"/>
    </row>
    <row r="451" spans="2:5">
      <c r="B451" s="16"/>
      <c r="C451" s="16"/>
      <c r="D451" s="16"/>
      <c r="E451" s="16"/>
    </row>
    <row r="452" spans="2:5">
      <c r="B452" s="16"/>
      <c r="C452" s="16"/>
      <c r="D452" s="16"/>
      <c r="E452" s="16"/>
    </row>
    <row r="453" spans="2:5">
      <c r="B453" s="16"/>
      <c r="C453" s="16"/>
      <c r="D453" s="16"/>
      <c r="E453" s="16"/>
    </row>
    <row r="454" spans="2:5">
      <c r="B454" s="16"/>
      <c r="C454" s="16"/>
      <c r="D454" s="16"/>
      <c r="E454" s="16"/>
    </row>
    <row r="455" spans="2:5">
      <c r="B455" s="16"/>
      <c r="C455" s="16"/>
      <c r="D455" s="16"/>
      <c r="E455" s="16"/>
    </row>
    <row r="456" spans="2:5">
      <c r="B456" s="16"/>
      <c r="C456" s="16"/>
      <c r="D456" s="16"/>
      <c r="E456" s="16"/>
    </row>
    <row r="457" spans="2:5">
      <c r="B457" s="16"/>
      <c r="C457" s="16"/>
      <c r="D457" s="16"/>
      <c r="E457" s="16"/>
    </row>
    <row r="458" spans="2:5">
      <c r="B458" s="16"/>
      <c r="C458" s="16"/>
      <c r="D458" s="16"/>
      <c r="E458" s="16"/>
    </row>
    <row r="459" spans="2:5">
      <c r="B459" s="16"/>
      <c r="C459" s="16"/>
      <c r="D459" s="16"/>
      <c r="E459" s="16"/>
    </row>
    <row r="460" spans="2:5">
      <c r="B460" s="16"/>
      <c r="C460" s="16"/>
      <c r="D460" s="16"/>
      <c r="E460" s="16"/>
    </row>
    <row r="461" spans="2:5">
      <c r="B461" s="16"/>
      <c r="C461" s="16"/>
      <c r="D461" s="16"/>
      <c r="E461" s="16"/>
    </row>
    <row r="462" spans="2:5">
      <c r="B462" s="16"/>
      <c r="C462" s="16"/>
      <c r="D462" s="16"/>
      <c r="E462" s="16"/>
    </row>
    <row r="463" spans="2:5">
      <c r="B463" s="16"/>
      <c r="C463" s="16"/>
      <c r="D463" s="16"/>
      <c r="E463" s="16"/>
    </row>
    <row r="464" spans="2:5">
      <c r="B464" s="16"/>
      <c r="C464" s="16"/>
      <c r="D464" s="16"/>
      <c r="E464" s="16"/>
    </row>
    <row r="465" spans="2:5">
      <c r="B465" s="16"/>
      <c r="C465" s="16"/>
      <c r="D465" s="16"/>
      <c r="E465" s="16"/>
    </row>
    <row r="466" spans="2:5">
      <c r="B466" s="16"/>
      <c r="C466" s="16"/>
      <c r="D466" s="16"/>
      <c r="E466" s="16"/>
    </row>
    <row r="467" spans="2:5">
      <c r="B467" s="16"/>
      <c r="C467" s="16"/>
      <c r="D467" s="16"/>
      <c r="E467" s="16"/>
    </row>
    <row r="468" spans="2:5">
      <c r="B468" s="16"/>
      <c r="C468" s="16"/>
      <c r="D468" s="16"/>
      <c r="E468" s="16"/>
    </row>
    <row r="469" spans="2:5">
      <c r="B469" s="16"/>
      <c r="C469" s="16"/>
      <c r="D469" s="16"/>
      <c r="E469" s="16"/>
    </row>
    <row r="470" spans="2:5">
      <c r="B470" s="16"/>
      <c r="C470" s="16"/>
      <c r="D470" s="16"/>
      <c r="E470" s="16"/>
    </row>
    <row r="471" spans="2:5">
      <c r="B471" s="16"/>
      <c r="C471" s="16"/>
      <c r="D471" s="16"/>
      <c r="E471" s="16"/>
    </row>
    <row r="472" spans="2:5">
      <c r="B472" s="16"/>
      <c r="C472" s="16"/>
      <c r="D472" s="16"/>
      <c r="E472" s="16"/>
    </row>
    <row r="473" spans="2:5">
      <c r="B473" s="16"/>
      <c r="C473" s="16"/>
      <c r="D473" s="16"/>
      <c r="E473" s="16"/>
    </row>
    <row r="474" spans="2:5">
      <c r="B474" s="16"/>
      <c r="C474" s="16"/>
      <c r="D474" s="16"/>
      <c r="E474" s="16"/>
    </row>
    <row r="475" spans="2:5">
      <c r="B475" s="16"/>
      <c r="C475" s="16"/>
      <c r="D475" s="16"/>
      <c r="E475" s="16"/>
    </row>
    <row r="476" spans="2:5">
      <c r="B476" s="16"/>
      <c r="C476" s="16"/>
      <c r="D476" s="16"/>
      <c r="E476" s="16"/>
    </row>
    <row r="477" spans="2:5">
      <c r="B477" s="16"/>
      <c r="C477" s="16"/>
      <c r="D477" s="16"/>
      <c r="E477" s="16"/>
    </row>
    <row r="478" spans="2:5">
      <c r="B478" s="16"/>
      <c r="C478" s="16"/>
      <c r="D478" s="16"/>
      <c r="E478" s="16"/>
    </row>
    <row r="479" spans="2:5">
      <c r="B479" s="16"/>
      <c r="C479" s="16"/>
      <c r="D479" s="16"/>
      <c r="E479" s="16"/>
    </row>
    <row r="480" spans="2:5">
      <c r="B480" s="16"/>
      <c r="C480" s="16"/>
      <c r="D480" s="16"/>
      <c r="E480" s="16"/>
    </row>
    <row r="481" spans="2:5">
      <c r="B481" s="16"/>
      <c r="C481" s="16"/>
      <c r="D481" s="16"/>
      <c r="E481" s="16"/>
    </row>
    <row r="482" spans="2:5">
      <c r="B482" s="16"/>
      <c r="C482" s="16"/>
      <c r="D482" s="16"/>
      <c r="E482" s="16"/>
    </row>
    <row r="483" spans="2:5">
      <c r="B483" s="16"/>
      <c r="C483" s="16"/>
      <c r="D483" s="16"/>
      <c r="E483" s="16"/>
    </row>
    <row r="484" spans="2:5">
      <c r="B484" s="16"/>
      <c r="C484" s="16"/>
      <c r="D484" s="16"/>
      <c r="E484" s="16"/>
    </row>
    <row r="485" spans="2:5">
      <c r="B485" s="16"/>
      <c r="C485" s="16"/>
      <c r="D485" s="16"/>
      <c r="E485" s="16"/>
    </row>
    <row r="486" spans="2:5">
      <c r="B486" s="16"/>
      <c r="C486" s="16"/>
      <c r="D486" s="16"/>
      <c r="E486" s="16"/>
    </row>
    <row r="487" spans="2:5">
      <c r="B487" s="16"/>
      <c r="C487" s="16"/>
      <c r="D487" s="16"/>
      <c r="E487" s="16"/>
    </row>
    <row r="488" spans="2:5">
      <c r="B488" s="16"/>
      <c r="C488" s="16"/>
      <c r="D488" s="16"/>
      <c r="E488" s="16"/>
    </row>
    <row r="489" spans="2:5">
      <c r="B489" s="16"/>
      <c r="C489" s="16"/>
      <c r="D489" s="16"/>
      <c r="E489" s="16"/>
    </row>
    <row r="490" spans="2:5">
      <c r="B490" s="16"/>
      <c r="C490" s="16"/>
      <c r="D490" s="16"/>
      <c r="E490" s="16"/>
    </row>
    <row r="491" spans="2:5">
      <c r="B491" s="16"/>
      <c r="C491" s="16"/>
      <c r="D491" s="16"/>
      <c r="E491" s="16"/>
    </row>
    <row r="492" spans="2:5">
      <c r="B492" s="16"/>
      <c r="C492" s="16"/>
      <c r="D492" s="16"/>
      <c r="E492" s="16"/>
    </row>
    <row r="493" spans="2:5">
      <c r="B493" s="16"/>
      <c r="C493" s="16"/>
      <c r="D493" s="16"/>
      <c r="E493" s="16"/>
    </row>
    <row r="494" spans="2:5">
      <c r="B494" s="16"/>
      <c r="C494" s="16"/>
      <c r="D494" s="16"/>
      <c r="E494" s="16"/>
    </row>
    <row r="495" spans="2:5">
      <c r="B495" s="16"/>
      <c r="C495" s="16"/>
      <c r="D495" s="16"/>
      <c r="E495" s="16"/>
    </row>
    <row r="496" spans="2:5">
      <c r="B496" s="16"/>
      <c r="C496" s="16"/>
      <c r="D496" s="16"/>
      <c r="E496" s="16"/>
    </row>
    <row r="497" spans="2:5">
      <c r="B497" s="16"/>
      <c r="C497" s="16"/>
      <c r="D497" s="16"/>
      <c r="E497" s="16"/>
    </row>
    <row r="498" spans="2:5">
      <c r="B498" s="16"/>
      <c r="C498" s="16"/>
      <c r="D498" s="16"/>
      <c r="E498" s="16"/>
    </row>
    <row r="499" spans="2:5">
      <c r="B499" s="16"/>
      <c r="C499" s="16"/>
      <c r="D499" s="16"/>
      <c r="E499" s="16"/>
    </row>
    <row r="500" spans="2:5">
      <c r="B500" s="16"/>
      <c r="C500" s="16"/>
      <c r="D500" s="16"/>
      <c r="E500" s="16"/>
    </row>
    <row r="501" spans="2:5">
      <c r="B501" s="16"/>
      <c r="C501" s="16"/>
      <c r="D501" s="16"/>
      <c r="E501" s="16"/>
    </row>
    <row r="502" spans="2:5">
      <c r="B502" s="16"/>
      <c r="C502" s="16"/>
      <c r="D502" s="16"/>
      <c r="E502" s="16"/>
    </row>
    <row r="503" spans="2:5">
      <c r="B503" s="16"/>
      <c r="C503" s="16"/>
      <c r="D503" s="16"/>
      <c r="E503" s="16"/>
    </row>
    <row r="504" spans="2:5">
      <c r="B504" s="16"/>
      <c r="C504" s="16"/>
      <c r="D504" s="16"/>
      <c r="E504" s="16"/>
    </row>
    <row r="505" spans="2:5">
      <c r="B505" s="16"/>
      <c r="C505" s="16"/>
      <c r="D505" s="16"/>
      <c r="E505" s="16"/>
    </row>
    <row r="506" spans="2:5">
      <c r="B506" s="16"/>
      <c r="C506" s="16"/>
      <c r="D506" s="16"/>
      <c r="E506" s="16"/>
    </row>
    <row r="507" spans="2:5">
      <c r="B507" s="16"/>
      <c r="C507" s="16"/>
      <c r="D507" s="16"/>
      <c r="E507" s="16"/>
    </row>
    <row r="508" spans="2:5">
      <c r="B508" s="16"/>
      <c r="C508" s="16"/>
      <c r="D508" s="16"/>
      <c r="E508" s="16"/>
    </row>
    <row r="509" spans="2:5">
      <c r="B509" s="16"/>
      <c r="C509" s="16"/>
      <c r="D509" s="16"/>
      <c r="E509" s="16"/>
    </row>
    <row r="510" spans="2:5">
      <c r="B510" s="16"/>
      <c r="C510" s="16"/>
      <c r="D510" s="16"/>
      <c r="E510" s="16"/>
    </row>
    <row r="511" spans="2:5">
      <c r="B511" s="16"/>
      <c r="C511" s="16"/>
      <c r="D511" s="16"/>
      <c r="E511" s="16"/>
    </row>
    <row r="512" spans="2:5">
      <c r="B512" s="16"/>
      <c r="C512" s="16"/>
      <c r="D512" s="16"/>
      <c r="E512" s="16"/>
    </row>
    <row r="513" spans="2:5">
      <c r="B513" s="16"/>
      <c r="C513" s="16"/>
      <c r="D513" s="16"/>
      <c r="E513" s="16"/>
    </row>
    <row r="514" spans="2:5">
      <c r="B514" s="16"/>
      <c r="C514" s="16"/>
      <c r="D514" s="16"/>
      <c r="E514" s="16"/>
    </row>
    <row r="515" spans="2:5">
      <c r="B515" s="16"/>
      <c r="C515" s="16"/>
      <c r="D515" s="16"/>
      <c r="E515" s="16"/>
    </row>
    <row r="516" spans="2:5">
      <c r="B516" s="16"/>
      <c r="C516" s="16"/>
      <c r="D516" s="16"/>
      <c r="E516" s="16"/>
    </row>
    <row r="517" spans="2:5">
      <c r="B517" s="16"/>
      <c r="C517" s="16"/>
      <c r="D517" s="16"/>
      <c r="E517" s="16"/>
    </row>
    <row r="518" spans="2:5">
      <c r="B518" s="16"/>
      <c r="C518" s="16"/>
      <c r="D518" s="16"/>
      <c r="E518" s="16"/>
    </row>
    <row r="519" spans="2:5">
      <c r="B519" s="16"/>
      <c r="C519" s="16"/>
      <c r="D519" s="16"/>
      <c r="E519" s="16"/>
    </row>
    <row r="520" spans="2:5">
      <c r="B520" s="16"/>
      <c r="C520" s="16"/>
      <c r="D520" s="16"/>
      <c r="E520" s="16"/>
    </row>
    <row r="521" spans="2:5">
      <c r="B521" s="16"/>
      <c r="C521" s="16"/>
      <c r="D521" s="16"/>
      <c r="E521" s="16"/>
    </row>
    <row r="522" spans="2:5">
      <c r="B522" s="16"/>
      <c r="C522" s="16"/>
      <c r="D522" s="16"/>
      <c r="E522" s="16"/>
    </row>
    <row r="523" spans="2:5">
      <c r="B523" s="16"/>
      <c r="C523" s="16"/>
      <c r="D523" s="16"/>
      <c r="E523" s="16"/>
    </row>
    <row r="524" spans="2:5">
      <c r="B524" s="16"/>
      <c r="C524" s="16"/>
      <c r="D524" s="16"/>
      <c r="E524" s="16"/>
    </row>
    <row r="525" spans="2:5">
      <c r="B525" s="16"/>
      <c r="C525" s="16"/>
      <c r="D525" s="16"/>
      <c r="E525" s="16"/>
    </row>
    <row r="526" spans="2:5">
      <c r="B526" s="16"/>
      <c r="C526" s="16"/>
      <c r="D526" s="16"/>
      <c r="E526" s="16"/>
    </row>
    <row r="527" spans="2:5">
      <c r="B527" s="16"/>
      <c r="C527" s="16"/>
      <c r="D527" s="16"/>
      <c r="E527" s="16"/>
    </row>
    <row r="528" spans="2:5">
      <c r="B528" s="16"/>
      <c r="C528" s="16"/>
      <c r="D528" s="16"/>
      <c r="E528" s="16"/>
    </row>
    <row r="529" spans="2:5">
      <c r="B529" s="16"/>
      <c r="C529" s="16"/>
      <c r="D529" s="16"/>
      <c r="E529" s="16"/>
    </row>
    <row r="530" spans="2:5">
      <c r="B530" s="16"/>
      <c r="C530" s="16"/>
      <c r="D530" s="16"/>
      <c r="E530" s="16"/>
    </row>
    <row r="531" spans="2:5">
      <c r="B531" s="16"/>
      <c r="C531" s="16"/>
      <c r="D531" s="16"/>
      <c r="E531" s="16"/>
    </row>
    <row r="532" spans="2:5">
      <c r="B532" s="16"/>
      <c r="C532" s="16"/>
      <c r="D532" s="16"/>
      <c r="E532" s="16"/>
    </row>
    <row r="533" spans="2:5">
      <c r="B533" s="16"/>
      <c r="C533" s="16"/>
      <c r="D533" s="16"/>
      <c r="E533" s="16"/>
    </row>
    <row r="534" spans="2:5">
      <c r="B534" s="16"/>
      <c r="C534" s="16"/>
      <c r="D534" s="16"/>
      <c r="E534" s="16"/>
    </row>
    <row r="535" spans="2:5">
      <c r="B535" s="16"/>
      <c r="C535" s="16"/>
      <c r="D535" s="16"/>
      <c r="E535" s="16"/>
    </row>
    <row r="536" spans="2:5">
      <c r="B536" s="16"/>
      <c r="C536" s="16"/>
      <c r="D536" s="16"/>
      <c r="E536" s="16"/>
    </row>
    <row r="537" spans="2:5">
      <c r="B537" s="16"/>
      <c r="C537" s="16"/>
      <c r="D537" s="16"/>
      <c r="E537" s="16"/>
    </row>
    <row r="538" spans="2:5">
      <c r="B538" s="16"/>
      <c r="C538" s="16"/>
      <c r="D538" s="16"/>
      <c r="E538" s="16"/>
    </row>
    <row r="539" spans="2:5">
      <c r="B539" s="16"/>
      <c r="C539" s="16"/>
      <c r="D539" s="16"/>
      <c r="E539" s="16"/>
    </row>
    <row r="540" spans="2:5">
      <c r="B540" s="16"/>
      <c r="C540" s="16"/>
      <c r="D540" s="16"/>
      <c r="E540" s="16"/>
    </row>
    <row r="541" spans="2:5">
      <c r="B541" s="16"/>
      <c r="C541" s="16"/>
      <c r="D541" s="16"/>
      <c r="E541" s="16"/>
    </row>
    <row r="542" spans="2:5">
      <c r="B542" s="16"/>
      <c r="C542" s="16"/>
      <c r="D542" s="16"/>
      <c r="E542" s="16"/>
    </row>
    <row r="543" spans="2:5">
      <c r="B543" s="16"/>
      <c r="C543" s="16"/>
      <c r="D543" s="16"/>
      <c r="E543" s="16"/>
    </row>
    <row r="544" spans="2:5">
      <c r="B544" s="16"/>
      <c r="C544" s="16"/>
      <c r="D544" s="16"/>
      <c r="E544" s="16"/>
    </row>
    <row r="545" spans="2:5">
      <c r="B545" s="16"/>
      <c r="C545" s="16"/>
      <c r="D545" s="16"/>
      <c r="E545" s="16"/>
    </row>
    <row r="546" spans="2:5">
      <c r="B546" s="16"/>
      <c r="C546" s="16"/>
      <c r="D546" s="16"/>
      <c r="E546" s="16"/>
    </row>
    <row r="547" spans="2:5">
      <c r="B547" s="16"/>
      <c r="C547" s="16"/>
      <c r="D547" s="16"/>
      <c r="E547" s="16"/>
    </row>
    <row r="548" spans="2:5">
      <c r="B548" s="16"/>
      <c r="C548" s="16"/>
      <c r="D548" s="16"/>
      <c r="E548" s="16"/>
    </row>
    <row r="549" spans="2:5">
      <c r="B549" s="16"/>
      <c r="C549" s="16"/>
      <c r="D549" s="16"/>
      <c r="E549" s="16"/>
    </row>
    <row r="550" spans="2:5">
      <c r="B550" s="16"/>
      <c r="C550" s="16"/>
      <c r="D550" s="16"/>
      <c r="E550" s="16"/>
    </row>
    <row r="551" spans="2:5">
      <c r="B551" s="16"/>
      <c r="C551" s="16"/>
      <c r="D551" s="16"/>
      <c r="E551" s="16"/>
    </row>
    <row r="552" spans="2:5">
      <c r="B552" s="16"/>
      <c r="C552" s="16"/>
      <c r="D552" s="16"/>
      <c r="E552" s="16"/>
    </row>
    <row r="553" spans="2:5">
      <c r="B553" s="16"/>
      <c r="C553" s="16"/>
      <c r="D553" s="16"/>
      <c r="E553" s="16"/>
    </row>
    <row r="554" spans="2:5">
      <c r="B554" s="16"/>
      <c r="C554" s="16"/>
      <c r="D554" s="16"/>
      <c r="E554" s="16"/>
    </row>
    <row r="555" spans="2:5">
      <c r="B555" s="16"/>
      <c r="C555" s="16"/>
      <c r="D555" s="16"/>
      <c r="E555" s="16"/>
    </row>
    <row r="556" spans="2:5">
      <c r="B556" s="16"/>
      <c r="C556" s="16"/>
      <c r="D556" s="16"/>
      <c r="E556" s="16"/>
    </row>
    <row r="557" spans="2:5">
      <c r="B557" s="16"/>
      <c r="C557" s="16"/>
      <c r="D557" s="16"/>
      <c r="E557" s="16"/>
    </row>
    <row r="558" spans="2:5">
      <c r="B558" s="16"/>
      <c r="C558" s="16"/>
      <c r="D558" s="16"/>
      <c r="E558" s="16"/>
    </row>
    <row r="559" spans="2:5">
      <c r="B559" s="16"/>
      <c r="C559" s="16"/>
      <c r="D559" s="16"/>
      <c r="E559" s="16"/>
    </row>
    <row r="560" spans="2:5">
      <c r="B560" s="16"/>
      <c r="C560" s="16"/>
      <c r="D560" s="16"/>
      <c r="E560" s="16"/>
    </row>
    <row r="561" spans="2:5">
      <c r="B561" s="16"/>
      <c r="C561" s="16"/>
      <c r="D561" s="16"/>
      <c r="E561" s="16"/>
    </row>
    <row r="562" spans="2:5">
      <c r="B562" s="16"/>
      <c r="C562" s="16"/>
      <c r="D562" s="16"/>
      <c r="E562" s="16"/>
    </row>
    <row r="563" spans="2:5">
      <c r="B563" s="16"/>
      <c r="C563" s="16"/>
      <c r="D563" s="16"/>
      <c r="E563" s="16"/>
    </row>
    <row r="564" spans="2:5">
      <c r="B564" s="16"/>
      <c r="C564" s="16"/>
      <c r="D564" s="16"/>
      <c r="E564" s="16"/>
    </row>
    <row r="565" spans="2:5">
      <c r="B565" s="16"/>
      <c r="C565" s="16"/>
      <c r="D565" s="16"/>
      <c r="E565" s="16"/>
    </row>
    <row r="566" spans="2:5">
      <c r="B566" s="16"/>
      <c r="C566" s="16"/>
      <c r="D566" s="16"/>
      <c r="E566" s="16"/>
    </row>
    <row r="567" spans="2:5">
      <c r="B567" s="16"/>
      <c r="C567" s="16"/>
      <c r="D567" s="16"/>
      <c r="E567" s="16"/>
    </row>
    <row r="568" spans="2:5">
      <c r="B568" s="16"/>
      <c r="C568" s="16"/>
      <c r="D568" s="16"/>
      <c r="E568" s="16"/>
    </row>
    <row r="569" spans="2:5">
      <c r="B569" s="16"/>
      <c r="C569" s="16"/>
      <c r="D569" s="16"/>
      <c r="E569" s="16"/>
    </row>
    <row r="570" spans="2:5">
      <c r="B570" s="16"/>
      <c r="C570" s="16"/>
      <c r="D570" s="16"/>
      <c r="E570" s="16"/>
    </row>
    <row r="571" spans="2:5">
      <c r="B571" s="16"/>
      <c r="C571" s="16"/>
      <c r="D571" s="16"/>
      <c r="E571" s="16"/>
    </row>
    <row r="572" spans="2:5">
      <c r="B572" s="16"/>
      <c r="C572" s="16"/>
      <c r="D572" s="16"/>
      <c r="E572" s="16"/>
    </row>
    <row r="573" spans="2:5">
      <c r="B573" s="16"/>
      <c r="C573" s="16"/>
      <c r="D573" s="16"/>
      <c r="E573" s="16"/>
    </row>
    <row r="574" spans="2:5">
      <c r="B574" s="16"/>
      <c r="C574" s="16"/>
      <c r="D574" s="16"/>
      <c r="E574" s="16"/>
    </row>
    <row r="575" spans="2:5">
      <c r="B575" s="16"/>
      <c r="C575" s="16"/>
      <c r="D575" s="16"/>
      <c r="E575" s="16"/>
    </row>
    <row r="576" spans="2:5">
      <c r="B576" s="16"/>
      <c r="C576" s="16"/>
      <c r="D576" s="16"/>
      <c r="E576" s="16"/>
    </row>
    <row r="577" spans="2:5">
      <c r="B577" s="16"/>
      <c r="C577" s="16"/>
      <c r="D577" s="16"/>
      <c r="E577" s="16"/>
    </row>
    <row r="578" spans="2:5">
      <c r="B578" s="16"/>
      <c r="C578" s="16"/>
      <c r="D578" s="16"/>
      <c r="E578" s="16"/>
    </row>
    <row r="579" spans="2:5">
      <c r="B579" s="16"/>
      <c r="C579" s="16"/>
      <c r="D579" s="16"/>
      <c r="E579" s="16"/>
    </row>
    <row r="580" spans="2:5">
      <c r="B580" s="16"/>
      <c r="C580" s="16"/>
      <c r="D580" s="16"/>
      <c r="E580" s="16"/>
    </row>
    <row r="581" spans="2:5">
      <c r="B581" s="16"/>
      <c r="C581" s="16"/>
      <c r="D581" s="16"/>
      <c r="E581" s="16"/>
    </row>
    <row r="582" spans="2:5">
      <c r="B582" s="16"/>
      <c r="C582" s="16"/>
      <c r="D582" s="16"/>
      <c r="E582" s="16"/>
    </row>
    <row r="583" spans="2:5">
      <c r="B583" s="16"/>
      <c r="C583" s="16"/>
      <c r="D583" s="16"/>
      <c r="E583" s="16"/>
    </row>
    <row r="584" spans="2:5">
      <c r="B584" s="16"/>
      <c r="C584" s="16"/>
      <c r="D584" s="16"/>
      <c r="E584" s="16"/>
    </row>
    <row r="585" spans="2:5">
      <c r="B585" s="16"/>
      <c r="C585" s="16"/>
      <c r="D585" s="16"/>
      <c r="E585" s="16"/>
    </row>
    <row r="586" spans="2:5">
      <c r="B586" s="16"/>
      <c r="C586" s="16"/>
      <c r="D586" s="16"/>
      <c r="E586" s="16"/>
    </row>
    <row r="587" spans="2:5">
      <c r="B587" s="16"/>
      <c r="C587" s="16"/>
      <c r="D587" s="16"/>
      <c r="E587" s="16"/>
    </row>
    <row r="588" spans="2:5">
      <c r="B588" s="16"/>
      <c r="C588" s="16"/>
      <c r="D588" s="16"/>
      <c r="E588" s="16"/>
    </row>
    <row r="589" spans="2:5">
      <c r="B589" s="16"/>
      <c r="C589" s="16"/>
      <c r="D589" s="16"/>
      <c r="E589" s="16"/>
    </row>
    <row r="590" spans="2:5">
      <c r="B590" s="16"/>
      <c r="C590" s="16"/>
      <c r="D590" s="16"/>
      <c r="E590" s="16"/>
    </row>
    <row r="591" spans="2:5">
      <c r="B591" s="16"/>
      <c r="C591" s="16"/>
      <c r="D591" s="16"/>
      <c r="E591" s="16"/>
    </row>
    <row r="592" spans="2:5">
      <c r="B592" s="16"/>
      <c r="C592" s="16"/>
      <c r="D592" s="16"/>
      <c r="E592" s="16"/>
    </row>
    <row r="593" spans="2:5">
      <c r="B593" s="16"/>
      <c r="C593" s="16"/>
      <c r="D593" s="16"/>
      <c r="E593" s="16"/>
    </row>
    <row r="594" spans="2:5">
      <c r="B594" s="16"/>
      <c r="C594" s="16"/>
      <c r="D594" s="16"/>
      <c r="E594" s="16"/>
    </row>
    <row r="595" spans="2:5">
      <c r="B595" s="16"/>
      <c r="C595" s="16"/>
      <c r="D595" s="16"/>
      <c r="E595" s="16"/>
    </row>
    <row r="596" spans="2:5">
      <c r="B596" s="16"/>
      <c r="C596" s="16"/>
      <c r="D596" s="16"/>
      <c r="E596" s="16"/>
    </row>
    <row r="597" spans="2:5">
      <c r="B597" s="16"/>
      <c r="C597" s="16"/>
      <c r="D597" s="16"/>
      <c r="E597" s="16"/>
    </row>
    <row r="598" spans="2:5">
      <c r="B598" s="16"/>
      <c r="C598" s="16"/>
      <c r="D598" s="16"/>
      <c r="E598" s="16"/>
    </row>
    <row r="599" spans="2:5">
      <c r="B599" s="16"/>
      <c r="C599" s="16"/>
      <c r="D599" s="16"/>
      <c r="E599" s="16"/>
    </row>
    <row r="600" spans="2:5">
      <c r="B600" s="16"/>
      <c r="C600" s="16"/>
      <c r="D600" s="16"/>
      <c r="E600" s="16"/>
    </row>
    <row r="601" spans="2:5">
      <c r="B601" s="16"/>
      <c r="C601" s="16"/>
      <c r="D601" s="16"/>
      <c r="E601" s="16"/>
    </row>
    <row r="602" spans="2:5">
      <c r="B602" s="16"/>
      <c r="C602" s="16"/>
      <c r="D602" s="16"/>
      <c r="E602" s="16"/>
    </row>
    <row r="603" spans="2:5">
      <c r="B603" s="16"/>
      <c r="C603" s="16"/>
      <c r="D603" s="16"/>
      <c r="E603" s="16"/>
    </row>
    <row r="604" spans="2:5">
      <c r="B604" s="16"/>
      <c r="C604" s="16"/>
      <c r="D604" s="16"/>
      <c r="E604" s="16"/>
    </row>
    <row r="605" spans="2:5">
      <c r="B605" s="16"/>
      <c r="C605" s="16"/>
      <c r="D605" s="16"/>
      <c r="E605" s="16"/>
    </row>
    <row r="606" spans="2:5">
      <c r="B606" s="16"/>
      <c r="C606" s="16"/>
      <c r="D606" s="16"/>
      <c r="E606" s="16"/>
    </row>
    <row r="607" spans="2:5">
      <c r="B607" s="16"/>
      <c r="C607" s="16"/>
      <c r="D607" s="16"/>
      <c r="E607" s="16"/>
    </row>
    <row r="608" spans="2:5">
      <c r="B608" s="16"/>
      <c r="C608" s="16"/>
      <c r="D608" s="16"/>
      <c r="E608" s="16"/>
    </row>
    <row r="609" spans="2:5">
      <c r="B609" s="16"/>
      <c r="C609" s="16"/>
      <c r="D609" s="16"/>
      <c r="E609" s="16"/>
    </row>
    <row r="610" spans="2:5">
      <c r="B610" s="16"/>
      <c r="C610" s="16"/>
      <c r="D610" s="16"/>
      <c r="E610" s="16"/>
    </row>
    <row r="611" spans="2:5">
      <c r="B611" s="16"/>
      <c r="C611" s="16"/>
      <c r="D611" s="16"/>
      <c r="E611" s="16"/>
    </row>
    <row r="612" spans="2:5">
      <c r="B612" s="16"/>
      <c r="C612" s="16"/>
      <c r="D612" s="16"/>
      <c r="E612" s="16"/>
    </row>
    <row r="613" spans="2:5">
      <c r="B613" s="16"/>
      <c r="C613" s="16"/>
      <c r="D613" s="16"/>
      <c r="E613" s="16"/>
    </row>
    <row r="614" spans="2:5">
      <c r="B614" s="16"/>
      <c r="C614" s="16"/>
      <c r="D614" s="16"/>
      <c r="E614" s="16"/>
    </row>
    <row r="615" spans="2:5">
      <c r="B615" s="16"/>
      <c r="C615" s="16"/>
      <c r="D615" s="16"/>
      <c r="E615" s="16"/>
    </row>
    <row r="616" spans="2:5">
      <c r="B616" s="16"/>
      <c r="C616" s="16"/>
      <c r="D616" s="16"/>
      <c r="E616" s="16"/>
    </row>
    <row r="617" spans="2:5">
      <c r="B617" s="16"/>
      <c r="C617" s="16"/>
      <c r="D617" s="16"/>
      <c r="E617" s="16"/>
    </row>
    <row r="618" spans="2:5">
      <c r="B618" s="16"/>
      <c r="C618" s="16"/>
      <c r="D618" s="16"/>
      <c r="E618" s="16"/>
    </row>
    <row r="619" spans="2:5">
      <c r="B619" s="16"/>
      <c r="C619" s="16"/>
      <c r="D619" s="16"/>
      <c r="E619" s="16"/>
    </row>
    <row r="620" spans="2:5">
      <c r="B620" s="16"/>
      <c r="C620" s="16"/>
      <c r="D620" s="16"/>
      <c r="E620" s="16"/>
    </row>
    <row r="621" spans="2:5">
      <c r="B621" s="16"/>
      <c r="C621" s="16"/>
      <c r="D621" s="16"/>
      <c r="E621" s="16"/>
    </row>
    <row r="622" spans="2:5">
      <c r="B622" s="16"/>
      <c r="C622" s="16"/>
      <c r="D622" s="16"/>
      <c r="E622" s="16"/>
    </row>
    <row r="623" spans="2:5">
      <c r="B623" s="16"/>
      <c r="C623" s="16"/>
      <c r="D623" s="16"/>
      <c r="E623" s="16"/>
    </row>
    <row r="624" spans="2:5">
      <c r="B624" s="16"/>
      <c r="C624" s="16"/>
      <c r="D624" s="16"/>
      <c r="E624" s="16"/>
    </row>
    <row r="625" spans="2:5">
      <c r="B625" s="16"/>
      <c r="C625" s="16"/>
      <c r="D625" s="16"/>
      <c r="E625" s="16"/>
    </row>
    <row r="626" spans="2:5">
      <c r="B626" s="16"/>
      <c r="C626" s="16"/>
      <c r="D626" s="16"/>
      <c r="E626" s="16"/>
    </row>
    <row r="627" spans="2:5">
      <c r="B627" s="16"/>
      <c r="C627" s="16"/>
      <c r="D627" s="16"/>
      <c r="E627" s="16"/>
    </row>
    <row r="628" spans="2:5">
      <c r="B628" s="16"/>
      <c r="C628" s="16"/>
      <c r="D628" s="16"/>
      <c r="E628" s="16"/>
    </row>
    <row r="629" spans="2:5">
      <c r="B629" s="16"/>
      <c r="C629" s="16"/>
      <c r="D629" s="16"/>
      <c r="E629" s="16"/>
    </row>
    <row r="630" spans="2:5">
      <c r="B630" s="16"/>
      <c r="C630" s="16"/>
      <c r="D630" s="16"/>
      <c r="E630" s="16"/>
    </row>
    <row r="631" spans="2:5">
      <c r="B631" s="16"/>
      <c r="C631" s="16"/>
      <c r="D631" s="16"/>
      <c r="E631" s="16"/>
    </row>
    <row r="632" spans="2:5">
      <c r="B632" s="16"/>
      <c r="C632" s="16"/>
      <c r="D632" s="16"/>
      <c r="E632" s="16"/>
    </row>
    <row r="633" spans="2:5">
      <c r="B633" s="16"/>
      <c r="C633" s="16"/>
      <c r="D633" s="16"/>
      <c r="E633" s="16"/>
    </row>
    <row r="634" spans="2:5">
      <c r="B634" s="16"/>
      <c r="C634" s="16"/>
      <c r="D634" s="16"/>
      <c r="E634" s="16"/>
    </row>
    <row r="635" spans="2:5">
      <c r="B635" s="16"/>
      <c r="C635" s="16"/>
      <c r="D635" s="16"/>
      <c r="E635" s="16"/>
    </row>
    <row r="636" spans="2:5">
      <c r="B636" s="16"/>
      <c r="C636" s="16"/>
      <c r="D636" s="16"/>
      <c r="E636" s="16"/>
    </row>
    <row r="637" spans="2:5">
      <c r="B637" s="16"/>
      <c r="C637" s="16"/>
      <c r="D637" s="16"/>
      <c r="E637" s="16"/>
    </row>
    <row r="638" spans="2:5">
      <c r="B638" s="16"/>
      <c r="C638" s="16"/>
      <c r="D638" s="16"/>
      <c r="E638" s="16"/>
    </row>
    <row r="639" spans="2:5">
      <c r="B639" s="16"/>
      <c r="C639" s="16"/>
      <c r="D639" s="16"/>
      <c r="E639" s="16"/>
    </row>
    <row r="640" spans="2:5">
      <c r="B640" s="16"/>
      <c r="C640" s="16"/>
      <c r="D640" s="16"/>
      <c r="E640" s="16"/>
    </row>
    <row r="641" spans="2:5">
      <c r="B641" s="16"/>
      <c r="C641" s="16"/>
      <c r="D641" s="16"/>
      <c r="E641" s="16"/>
    </row>
    <row r="642" spans="2:5">
      <c r="B642" s="16"/>
      <c r="C642" s="16"/>
      <c r="D642" s="16"/>
      <c r="E642" s="16"/>
    </row>
    <row r="643" spans="2:5">
      <c r="B643" s="16"/>
      <c r="C643" s="16"/>
      <c r="D643" s="16"/>
      <c r="E643" s="16"/>
    </row>
    <row r="644" spans="2:5">
      <c r="B644" s="16"/>
      <c r="C644" s="16"/>
      <c r="D644" s="16"/>
      <c r="E644" s="16"/>
    </row>
    <row r="645" spans="2:5">
      <c r="B645" s="16"/>
      <c r="C645" s="16"/>
      <c r="D645" s="16"/>
      <c r="E645" s="16"/>
    </row>
    <row r="646" spans="2:5">
      <c r="B646" s="16"/>
      <c r="C646" s="16"/>
      <c r="D646" s="16"/>
      <c r="E646" s="16"/>
    </row>
    <row r="647" spans="2:5">
      <c r="B647" s="16"/>
      <c r="C647" s="16"/>
      <c r="D647" s="16"/>
      <c r="E647" s="16"/>
    </row>
    <row r="648" spans="2:5">
      <c r="B648" s="16"/>
      <c r="C648" s="16"/>
      <c r="D648" s="16"/>
      <c r="E648" s="16"/>
    </row>
    <row r="649" spans="2:5">
      <c r="B649" s="16"/>
      <c r="C649" s="16"/>
      <c r="D649" s="16"/>
      <c r="E649" s="16"/>
    </row>
    <row r="650" spans="2:5">
      <c r="B650" s="16"/>
      <c r="C650" s="16"/>
      <c r="D650" s="16"/>
      <c r="E650" s="16"/>
    </row>
    <row r="651" spans="2:5">
      <c r="B651" s="16"/>
      <c r="C651" s="16"/>
      <c r="D651" s="16"/>
      <c r="E651" s="16"/>
    </row>
    <row r="652" spans="2:5">
      <c r="B652" s="16"/>
      <c r="C652" s="16"/>
      <c r="D652" s="16"/>
      <c r="E652" s="16"/>
    </row>
    <row r="653" spans="2:5">
      <c r="B653" s="16"/>
      <c r="C653" s="16"/>
      <c r="D653" s="16"/>
      <c r="E653" s="16"/>
    </row>
    <row r="654" spans="2:5">
      <c r="B654" s="16"/>
      <c r="C654" s="16"/>
      <c r="D654" s="16"/>
      <c r="E654" s="16"/>
    </row>
    <row r="655" spans="2:5">
      <c r="B655" s="16"/>
      <c r="C655" s="16"/>
      <c r="D655" s="16"/>
      <c r="E655" s="16"/>
    </row>
    <row r="656" spans="2:5">
      <c r="B656" s="16"/>
      <c r="C656" s="16"/>
      <c r="D656" s="16"/>
      <c r="E656" s="16"/>
    </row>
    <row r="657" spans="2:5">
      <c r="B657" s="16"/>
      <c r="C657" s="16"/>
      <c r="D657" s="16"/>
      <c r="E657" s="16"/>
    </row>
    <row r="658" spans="2:5">
      <c r="B658" s="16"/>
      <c r="C658" s="16"/>
      <c r="D658" s="16"/>
      <c r="E658" s="16"/>
    </row>
    <row r="659" spans="2:5">
      <c r="B659" s="16"/>
      <c r="C659" s="16"/>
      <c r="D659" s="16"/>
      <c r="E659" s="16"/>
    </row>
    <row r="660" spans="2:5">
      <c r="B660" s="16"/>
      <c r="C660" s="16"/>
      <c r="D660" s="16"/>
      <c r="E660" s="16"/>
    </row>
    <row r="661" spans="2:5">
      <c r="B661" s="16"/>
      <c r="C661" s="16"/>
      <c r="D661" s="16"/>
      <c r="E661" s="16"/>
    </row>
    <row r="662" spans="2:5">
      <c r="B662" s="16"/>
      <c r="C662" s="16"/>
      <c r="D662" s="16"/>
      <c r="E662" s="16"/>
    </row>
    <row r="663" spans="2:5">
      <c r="B663" s="16"/>
      <c r="C663" s="16"/>
      <c r="D663" s="16"/>
      <c r="E663" s="16"/>
    </row>
    <row r="664" spans="2:5">
      <c r="B664" s="16"/>
      <c r="C664" s="16"/>
      <c r="D664" s="16"/>
      <c r="E664" s="16"/>
    </row>
    <row r="665" spans="2:5">
      <c r="B665" s="16"/>
      <c r="C665" s="16"/>
      <c r="D665" s="16"/>
      <c r="E665" s="16"/>
    </row>
    <row r="666" spans="2:5">
      <c r="B666" s="16"/>
      <c r="C666" s="16"/>
      <c r="D666" s="16"/>
      <c r="E666" s="16"/>
    </row>
    <row r="667" spans="2:5">
      <c r="B667" s="16"/>
      <c r="C667" s="16"/>
      <c r="D667" s="16"/>
      <c r="E667" s="16"/>
    </row>
    <row r="668" spans="2:5">
      <c r="B668" s="16"/>
      <c r="C668" s="16"/>
      <c r="D668" s="16"/>
      <c r="E668" s="16"/>
    </row>
    <row r="669" spans="2:5">
      <c r="B669" s="16"/>
      <c r="C669" s="16"/>
      <c r="D669" s="16"/>
      <c r="E669" s="16"/>
    </row>
    <row r="670" spans="2:5">
      <c r="B670" s="16"/>
      <c r="C670" s="16"/>
      <c r="D670" s="16"/>
      <c r="E670" s="16"/>
    </row>
    <row r="671" spans="2:5">
      <c r="B671" s="16"/>
      <c r="C671" s="16"/>
      <c r="D671" s="16"/>
      <c r="E671" s="16"/>
    </row>
    <row r="672" spans="2:5">
      <c r="B672" s="16"/>
      <c r="C672" s="16"/>
      <c r="D672" s="16"/>
      <c r="E672" s="16"/>
    </row>
    <row r="673" spans="2:5">
      <c r="B673" s="16"/>
      <c r="C673" s="16"/>
      <c r="D673" s="16"/>
      <c r="E673" s="16"/>
    </row>
    <row r="674" spans="2:5">
      <c r="B674" s="16"/>
      <c r="C674" s="16"/>
      <c r="D674" s="16"/>
      <c r="E674" s="16"/>
    </row>
    <row r="675" spans="2:5">
      <c r="B675" s="16"/>
      <c r="C675" s="16"/>
      <c r="D675" s="16"/>
      <c r="E675" s="16"/>
    </row>
    <row r="676" spans="2:5">
      <c r="B676" s="16"/>
      <c r="C676" s="16"/>
      <c r="D676" s="16"/>
      <c r="E676" s="16"/>
    </row>
    <row r="677" spans="2:5">
      <c r="B677" s="16"/>
      <c r="C677" s="16"/>
      <c r="D677" s="16"/>
      <c r="E677" s="16"/>
    </row>
    <row r="678" spans="2:5">
      <c r="B678" s="16"/>
      <c r="C678" s="16"/>
      <c r="D678" s="16"/>
      <c r="E678" s="16"/>
    </row>
    <row r="679" spans="2:5">
      <c r="B679" s="16"/>
      <c r="C679" s="16"/>
      <c r="D679" s="16"/>
      <c r="E679" s="16"/>
    </row>
    <row r="680" spans="2:5">
      <c r="B680" s="16"/>
      <c r="C680" s="16"/>
      <c r="D680" s="16"/>
      <c r="E680" s="16"/>
    </row>
    <row r="681" spans="2:5">
      <c r="B681" s="16"/>
      <c r="C681" s="16"/>
      <c r="D681" s="16"/>
      <c r="E681" s="16"/>
    </row>
    <row r="682" spans="2:5">
      <c r="B682" s="16"/>
      <c r="C682" s="16"/>
      <c r="D682" s="16"/>
      <c r="E682" s="16"/>
    </row>
    <row r="683" spans="2:5">
      <c r="B683" s="16"/>
      <c r="C683" s="16"/>
      <c r="D683" s="16"/>
      <c r="E683" s="16"/>
    </row>
    <row r="684" spans="2:5">
      <c r="B684" s="16"/>
      <c r="C684" s="16"/>
      <c r="D684" s="16"/>
      <c r="E684" s="16"/>
    </row>
    <row r="685" spans="2:5">
      <c r="B685" s="16"/>
      <c r="C685" s="16"/>
      <c r="D685" s="16"/>
      <c r="E685" s="16"/>
    </row>
    <row r="686" spans="2:5">
      <c r="B686" s="16"/>
      <c r="C686" s="16"/>
      <c r="D686" s="16"/>
      <c r="E686" s="16"/>
    </row>
    <row r="687" spans="2:5">
      <c r="B687" s="16"/>
      <c r="C687" s="16"/>
      <c r="D687" s="16"/>
      <c r="E687" s="16"/>
    </row>
    <row r="688" spans="2:5">
      <c r="B688" s="16"/>
      <c r="C688" s="16"/>
      <c r="D688" s="16"/>
      <c r="E688" s="16"/>
    </row>
    <row r="689" spans="2:5">
      <c r="B689" s="16"/>
      <c r="C689" s="16"/>
      <c r="D689" s="16"/>
      <c r="E689" s="16"/>
    </row>
    <row r="690" spans="2:5">
      <c r="B690" s="16"/>
      <c r="C690" s="16"/>
      <c r="D690" s="16"/>
      <c r="E690" s="16"/>
    </row>
    <row r="691" spans="2:5">
      <c r="B691" s="16"/>
      <c r="C691" s="16"/>
      <c r="D691" s="16"/>
      <c r="E691" s="16"/>
    </row>
    <row r="692" spans="2:5">
      <c r="B692" s="16"/>
      <c r="C692" s="16"/>
      <c r="D692" s="16"/>
      <c r="E692" s="16"/>
    </row>
    <row r="693" spans="2:5">
      <c r="B693" s="16"/>
      <c r="C693" s="16"/>
      <c r="D693" s="16"/>
      <c r="E693" s="16"/>
    </row>
    <row r="694" spans="2:5">
      <c r="B694" s="16"/>
      <c r="C694" s="16"/>
      <c r="D694" s="16"/>
      <c r="E694" s="16"/>
    </row>
    <row r="695" spans="2:5">
      <c r="B695" s="16"/>
      <c r="C695" s="16"/>
      <c r="D695" s="16"/>
      <c r="E695" s="16"/>
    </row>
    <row r="696" spans="2:5">
      <c r="B696" s="16"/>
      <c r="C696" s="16"/>
      <c r="D696" s="16"/>
      <c r="E696" s="16"/>
    </row>
    <row r="697" spans="2:5">
      <c r="B697" s="16"/>
      <c r="C697" s="16"/>
      <c r="D697" s="16"/>
      <c r="E697" s="16"/>
    </row>
    <row r="698" spans="2:5">
      <c r="B698" s="16"/>
      <c r="C698" s="16"/>
      <c r="D698" s="16"/>
      <c r="E698" s="16"/>
    </row>
    <row r="699" spans="2:5">
      <c r="B699" s="16"/>
      <c r="C699" s="16"/>
      <c r="D699" s="16"/>
      <c r="E699" s="16"/>
    </row>
    <row r="700" spans="2:5">
      <c r="B700" s="16"/>
      <c r="C700" s="16"/>
      <c r="D700" s="16"/>
      <c r="E700" s="16"/>
    </row>
    <row r="701" spans="2:5">
      <c r="B701" s="16"/>
      <c r="C701" s="16"/>
      <c r="D701" s="16"/>
      <c r="E701" s="16"/>
    </row>
    <row r="702" spans="2:5">
      <c r="B702" s="16"/>
      <c r="C702" s="16"/>
      <c r="D702" s="16"/>
      <c r="E702" s="16"/>
    </row>
    <row r="703" spans="2:5">
      <c r="B703" s="16"/>
      <c r="C703" s="16"/>
      <c r="D703" s="16"/>
      <c r="E703" s="16"/>
    </row>
    <row r="704" spans="2:5">
      <c r="B704" s="16"/>
      <c r="C704" s="16"/>
      <c r="D704" s="16"/>
      <c r="E704" s="16"/>
    </row>
    <row r="705" spans="2:5">
      <c r="B705" s="16"/>
      <c r="C705" s="16"/>
      <c r="D705" s="16"/>
      <c r="E705" s="16"/>
    </row>
    <row r="706" spans="2:5">
      <c r="B706" s="16"/>
      <c r="C706" s="16"/>
      <c r="D706" s="16"/>
      <c r="E706" s="16"/>
    </row>
    <row r="707" spans="2:5">
      <c r="B707" s="16"/>
      <c r="C707" s="16"/>
      <c r="D707" s="16"/>
      <c r="E707" s="16"/>
    </row>
    <row r="708" spans="2:5">
      <c r="B708" s="16"/>
      <c r="C708" s="16"/>
      <c r="D708" s="16"/>
      <c r="E708" s="16"/>
    </row>
    <row r="709" spans="2:5">
      <c r="B709" s="16"/>
      <c r="C709" s="16"/>
      <c r="D709" s="16"/>
      <c r="E709" s="16"/>
    </row>
    <row r="710" spans="2:5">
      <c r="B710" s="16"/>
      <c r="C710" s="16"/>
      <c r="D710" s="16"/>
      <c r="E710" s="16"/>
    </row>
    <row r="711" spans="2:5">
      <c r="B711" s="16"/>
      <c r="C711" s="16"/>
      <c r="D711" s="16"/>
      <c r="E711" s="16"/>
    </row>
    <row r="712" spans="2:5">
      <c r="B712" s="16"/>
      <c r="C712" s="16"/>
      <c r="D712" s="16"/>
      <c r="E712" s="16"/>
    </row>
    <row r="713" spans="2:5">
      <c r="B713" s="16"/>
      <c r="C713" s="16"/>
      <c r="D713" s="16"/>
      <c r="E713" s="16"/>
    </row>
    <row r="714" spans="2:5">
      <c r="B714" s="16"/>
      <c r="C714" s="16"/>
      <c r="D714" s="16"/>
      <c r="E714" s="16"/>
    </row>
    <row r="715" spans="2:5">
      <c r="B715" s="16"/>
      <c r="C715" s="16"/>
      <c r="D715" s="16"/>
      <c r="E715" s="16"/>
    </row>
    <row r="716" spans="2:5">
      <c r="B716" s="16"/>
      <c r="C716" s="16"/>
      <c r="D716" s="16"/>
      <c r="E716" s="16"/>
    </row>
    <row r="717" spans="2:5">
      <c r="B717" s="16"/>
      <c r="C717" s="16"/>
      <c r="D717" s="16"/>
      <c r="E717" s="16"/>
    </row>
    <row r="718" spans="2:5">
      <c r="B718" s="16"/>
      <c r="C718" s="16"/>
      <c r="D718" s="16"/>
      <c r="E718" s="16"/>
    </row>
    <row r="719" spans="2:5">
      <c r="B719" s="16"/>
      <c r="C719" s="16"/>
      <c r="D719" s="16"/>
      <c r="E719" s="16"/>
    </row>
    <row r="720" spans="2:5">
      <c r="B720" s="16"/>
      <c r="C720" s="16"/>
      <c r="D720" s="16"/>
      <c r="E720" s="16"/>
    </row>
    <row r="721" spans="2:5">
      <c r="B721" s="16"/>
      <c r="C721" s="16"/>
      <c r="D721" s="16"/>
      <c r="E721" s="16"/>
    </row>
    <row r="722" spans="2:5">
      <c r="B722" s="16"/>
      <c r="C722" s="16"/>
      <c r="D722" s="16"/>
      <c r="E722" s="16"/>
    </row>
    <row r="723" spans="2:5">
      <c r="B723" s="16"/>
      <c r="C723" s="16"/>
      <c r="D723" s="16"/>
      <c r="E723" s="16"/>
    </row>
    <row r="724" spans="2:5">
      <c r="B724" s="16"/>
      <c r="C724" s="16"/>
      <c r="D724" s="16"/>
      <c r="E724" s="16"/>
    </row>
    <row r="725" spans="2:5">
      <c r="B725" s="16"/>
      <c r="C725" s="16"/>
      <c r="D725" s="16"/>
      <c r="E725" s="16"/>
    </row>
    <row r="726" spans="2:5">
      <c r="B726" s="16"/>
      <c r="C726" s="16"/>
      <c r="D726" s="16"/>
      <c r="E726" s="16"/>
    </row>
    <row r="727" spans="2:5">
      <c r="B727" s="16"/>
      <c r="C727" s="16"/>
      <c r="D727" s="16"/>
      <c r="E727" s="16"/>
    </row>
    <row r="728" spans="2:5">
      <c r="B728" s="16"/>
      <c r="C728" s="16"/>
      <c r="D728" s="16"/>
      <c r="E728" s="16"/>
    </row>
    <row r="729" spans="2:5">
      <c r="B729" s="16"/>
      <c r="C729" s="16"/>
      <c r="D729" s="16"/>
      <c r="E729" s="16"/>
    </row>
    <row r="730" spans="2:5">
      <c r="B730" s="16"/>
      <c r="C730" s="16"/>
      <c r="D730" s="16"/>
      <c r="E730" s="16"/>
    </row>
    <row r="731" spans="2:5">
      <c r="B731" s="16"/>
      <c r="C731" s="16"/>
      <c r="D731" s="16"/>
      <c r="E731" s="16"/>
    </row>
    <row r="732" spans="2:5">
      <c r="B732" s="16"/>
      <c r="C732" s="16"/>
      <c r="D732" s="16"/>
      <c r="E732" s="16"/>
    </row>
    <row r="733" spans="2:5">
      <c r="B733" s="16"/>
      <c r="C733" s="16"/>
      <c r="D733" s="16"/>
      <c r="E733" s="16"/>
    </row>
    <row r="734" spans="2:5">
      <c r="B734" s="16"/>
      <c r="C734" s="16"/>
      <c r="D734" s="16"/>
      <c r="E734" s="16"/>
    </row>
    <row r="735" spans="2:5">
      <c r="B735" s="16"/>
      <c r="C735" s="16"/>
      <c r="D735" s="16"/>
      <c r="E735" s="16"/>
    </row>
    <row r="736" spans="2:5">
      <c r="B736" s="16"/>
      <c r="C736" s="16"/>
      <c r="D736" s="16"/>
      <c r="E736" s="16"/>
    </row>
    <row r="737" spans="2:5">
      <c r="B737" s="16"/>
      <c r="C737" s="16"/>
      <c r="D737" s="16"/>
      <c r="E737" s="16"/>
    </row>
    <row r="738" spans="2:5">
      <c r="B738" s="16"/>
      <c r="C738" s="16"/>
      <c r="D738" s="16"/>
      <c r="E738" s="16"/>
    </row>
    <row r="739" spans="2:5">
      <c r="B739" s="16"/>
      <c r="C739" s="16"/>
      <c r="D739" s="16"/>
      <c r="E739" s="16"/>
    </row>
    <row r="740" spans="2:5">
      <c r="B740" s="16"/>
      <c r="C740" s="16"/>
      <c r="D740" s="16"/>
      <c r="E740" s="16"/>
    </row>
    <row r="741" spans="2:5">
      <c r="B741" s="16"/>
      <c r="C741" s="16"/>
      <c r="D741" s="16"/>
      <c r="E741" s="16"/>
    </row>
    <row r="742" spans="2:5">
      <c r="B742" s="16"/>
      <c r="C742" s="16"/>
      <c r="D742" s="16"/>
      <c r="E742" s="16"/>
    </row>
    <row r="743" spans="2:5">
      <c r="B743" s="16"/>
      <c r="C743" s="16"/>
      <c r="D743" s="16"/>
      <c r="E743" s="16"/>
    </row>
    <row r="744" spans="2:5">
      <c r="B744" s="16"/>
      <c r="C744" s="16"/>
      <c r="D744" s="16"/>
      <c r="E744" s="16"/>
    </row>
    <row r="745" spans="2:5">
      <c r="B745" s="16"/>
      <c r="C745" s="16"/>
      <c r="D745" s="16"/>
      <c r="E745" s="16"/>
    </row>
    <row r="746" spans="2:5">
      <c r="B746" s="16"/>
      <c r="C746" s="16"/>
      <c r="D746" s="16"/>
      <c r="E746" s="16"/>
    </row>
    <row r="747" spans="2:5">
      <c r="B747" s="16"/>
      <c r="C747" s="16"/>
      <c r="D747" s="16"/>
      <c r="E747" s="16"/>
    </row>
    <row r="748" spans="2:5">
      <c r="B748" s="16"/>
      <c r="C748" s="16"/>
      <c r="D748" s="16"/>
      <c r="E748" s="16"/>
    </row>
    <row r="749" spans="2:5">
      <c r="B749" s="16"/>
      <c r="C749" s="16"/>
      <c r="D749" s="16"/>
      <c r="E749" s="16"/>
    </row>
    <row r="750" spans="2:5">
      <c r="B750" s="16"/>
      <c r="C750" s="16"/>
      <c r="D750" s="16"/>
      <c r="E750" s="16"/>
    </row>
    <row r="751" spans="2:5">
      <c r="B751" s="16"/>
      <c r="C751" s="16"/>
      <c r="D751" s="16"/>
      <c r="E751" s="16"/>
    </row>
    <row r="752" spans="2:5">
      <c r="B752" s="16"/>
      <c r="C752" s="16"/>
      <c r="D752" s="16"/>
      <c r="E752" s="16"/>
    </row>
    <row r="753" spans="2:5">
      <c r="B753" s="16"/>
      <c r="C753" s="16"/>
      <c r="D753" s="16"/>
      <c r="E753" s="16"/>
    </row>
    <row r="754" spans="2:5">
      <c r="B754" s="16"/>
      <c r="C754" s="16"/>
      <c r="D754" s="16"/>
      <c r="E754" s="16"/>
    </row>
    <row r="755" spans="2:5">
      <c r="B755" s="16"/>
      <c r="C755" s="16"/>
      <c r="D755" s="16"/>
      <c r="E755" s="16"/>
    </row>
    <row r="756" spans="2:5">
      <c r="B756" s="16"/>
      <c r="C756" s="16"/>
      <c r="D756" s="16"/>
      <c r="E756" s="16"/>
    </row>
    <row r="757" spans="2:5">
      <c r="B757" s="16"/>
      <c r="C757" s="16"/>
      <c r="D757" s="16"/>
      <c r="E757" s="16"/>
    </row>
    <row r="758" spans="2:5">
      <c r="B758" s="16"/>
      <c r="C758" s="16"/>
      <c r="D758" s="16"/>
      <c r="E758" s="16"/>
    </row>
    <row r="759" spans="2:5">
      <c r="B759" s="16"/>
      <c r="C759" s="16"/>
      <c r="D759" s="16"/>
      <c r="E759" s="16"/>
    </row>
    <row r="760" spans="2:5">
      <c r="B760" s="16"/>
      <c r="C760" s="16"/>
      <c r="D760" s="16"/>
      <c r="E760" s="16"/>
    </row>
    <row r="761" spans="2:5">
      <c r="B761" s="16"/>
      <c r="C761" s="16"/>
      <c r="D761" s="16"/>
      <c r="E761" s="16"/>
    </row>
    <row r="762" spans="2:5">
      <c r="B762" s="16"/>
      <c r="C762" s="16"/>
      <c r="D762" s="16"/>
      <c r="E762" s="16"/>
    </row>
    <row r="763" spans="2:5">
      <c r="B763" s="16"/>
      <c r="C763" s="16"/>
      <c r="D763" s="16"/>
      <c r="E763" s="16"/>
    </row>
    <row r="764" spans="2:5">
      <c r="B764" s="16"/>
      <c r="C764" s="16"/>
      <c r="D764" s="16"/>
      <c r="E764" s="16"/>
    </row>
    <row r="765" spans="2:5">
      <c r="B765" s="16"/>
      <c r="C765" s="16"/>
      <c r="D765" s="16"/>
      <c r="E765" s="16"/>
    </row>
    <row r="766" spans="2:5">
      <c r="B766" s="16"/>
      <c r="C766" s="16"/>
      <c r="D766" s="16"/>
      <c r="E766" s="16"/>
    </row>
    <row r="767" spans="2:5">
      <c r="B767" s="16"/>
      <c r="C767" s="16"/>
      <c r="D767" s="16"/>
      <c r="E767" s="16"/>
    </row>
    <row r="768" spans="2:5">
      <c r="B768" s="16"/>
      <c r="C768" s="16"/>
      <c r="D768" s="16"/>
      <c r="E768" s="16"/>
    </row>
    <row r="769" spans="2:5">
      <c r="B769" s="16"/>
      <c r="C769" s="16"/>
      <c r="D769" s="16"/>
      <c r="E769" s="16"/>
    </row>
    <row r="770" spans="2:5">
      <c r="B770" s="16"/>
      <c r="C770" s="16"/>
      <c r="D770" s="16"/>
      <c r="E770" s="16"/>
    </row>
    <row r="771" spans="2:5">
      <c r="B771" s="16"/>
      <c r="C771" s="16"/>
      <c r="D771" s="16"/>
      <c r="E771" s="16"/>
    </row>
    <row r="772" spans="2:5">
      <c r="B772" s="16"/>
      <c r="C772" s="16"/>
      <c r="D772" s="16"/>
      <c r="E772" s="16"/>
    </row>
    <row r="773" spans="2:5">
      <c r="B773" s="16"/>
      <c r="C773" s="16"/>
      <c r="D773" s="16"/>
      <c r="E773" s="16"/>
    </row>
    <row r="774" spans="2:5">
      <c r="B774" s="16"/>
      <c r="C774" s="16"/>
      <c r="D774" s="16"/>
      <c r="E774" s="16"/>
    </row>
    <row r="775" spans="2:5">
      <c r="B775" s="16"/>
      <c r="C775" s="16"/>
      <c r="D775" s="16"/>
      <c r="E775" s="16"/>
    </row>
    <row r="776" spans="2:5">
      <c r="B776" s="16"/>
      <c r="C776" s="16"/>
      <c r="D776" s="16"/>
      <c r="E776" s="16"/>
    </row>
    <row r="777" spans="2:5">
      <c r="B777" s="16"/>
      <c r="C777" s="16"/>
      <c r="D777" s="16"/>
      <c r="E777" s="16"/>
    </row>
    <row r="778" spans="2:5">
      <c r="B778" s="16"/>
      <c r="C778" s="16"/>
      <c r="D778" s="16"/>
      <c r="E778" s="16"/>
    </row>
    <row r="779" spans="2:5">
      <c r="B779" s="16"/>
      <c r="C779" s="16"/>
      <c r="D779" s="16"/>
      <c r="E779" s="16"/>
    </row>
    <row r="780" spans="2:5">
      <c r="B780" s="16"/>
      <c r="C780" s="16"/>
      <c r="D780" s="16"/>
      <c r="E780" s="16"/>
    </row>
    <row r="781" spans="2:5">
      <c r="B781" s="16"/>
      <c r="C781" s="16"/>
      <c r="D781" s="16"/>
      <c r="E781" s="16"/>
    </row>
    <row r="782" spans="2:5">
      <c r="B782" s="16"/>
      <c r="C782" s="16"/>
      <c r="D782" s="16"/>
      <c r="E782" s="16"/>
    </row>
    <row r="783" spans="2:5">
      <c r="B783" s="16"/>
      <c r="C783" s="16"/>
      <c r="D783" s="16"/>
      <c r="E783" s="16"/>
    </row>
    <row r="784" spans="2:5">
      <c r="B784" s="16"/>
      <c r="C784" s="16"/>
      <c r="D784" s="16"/>
      <c r="E784" s="16"/>
    </row>
    <row r="785" spans="2:5">
      <c r="B785" s="16"/>
      <c r="C785" s="16"/>
      <c r="D785" s="16"/>
      <c r="E785" s="16"/>
    </row>
    <row r="786" spans="2:5">
      <c r="B786" s="16"/>
      <c r="C786" s="16"/>
      <c r="D786" s="16"/>
      <c r="E786" s="16"/>
    </row>
    <row r="787" spans="2:5">
      <c r="B787" s="16"/>
      <c r="C787" s="16"/>
      <c r="D787" s="16"/>
      <c r="E787" s="16"/>
    </row>
    <row r="788" spans="2:5">
      <c r="B788" s="16"/>
      <c r="C788" s="16"/>
      <c r="D788" s="16"/>
      <c r="E788" s="16"/>
    </row>
    <row r="789" spans="2:5">
      <c r="B789" s="16"/>
      <c r="C789" s="16"/>
      <c r="D789" s="16"/>
      <c r="E789" s="16"/>
    </row>
    <row r="790" spans="2:5">
      <c r="B790" s="16"/>
      <c r="C790" s="16"/>
      <c r="D790" s="16"/>
      <c r="E790" s="16"/>
    </row>
    <row r="791" spans="2:5">
      <c r="B791" s="16"/>
      <c r="C791" s="16"/>
      <c r="D791" s="16"/>
      <c r="E791" s="16"/>
    </row>
    <row r="792" spans="2:5">
      <c r="B792" s="16"/>
      <c r="C792" s="16"/>
      <c r="D792" s="16"/>
      <c r="E792" s="16"/>
    </row>
    <row r="793" spans="2:5">
      <c r="B793" s="16"/>
      <c r="C793" s="16"/>
      <c r="D793" s="16"/>
      <c r="E793" s="16"/>
    </row>
    <row r="794" spans="2:5">
      <c r="B794" s="16"/>
      <c r="C794" s="16"/>
      <c r="D794" s="16"/>
      <c r="E794" s="16"/>
    </row>
    <row r="795" spans="2:5">
      <c r="B795" s="16"/>
      <c r="C795" s="16"/>
      <c r="D795" s="16"/>
      <c r="E795" s="16"/>
    </row>
    <row r="796" spans="2:5">
      <c r="B796" s="16"/>
      <c r="C796" s="16"/>
      <c r="D796" s="16"/>
      <c r="E796" s="16"/>
    </row>
    <row r="797" spans="2:5">
      <c r="B797" s="16"/>
      <c r="C797" s="16"/>
      <c r="D797" s="16"/>
      <c r="E797" s="16"/>
    </row>
    <row r="798" spans="2:5">
      <c r="B798" s="16"/>
      <c r="C798" s="16"/>
      <c r="D798" s="16"/>
      <c r="E798" s="16"/>
    </row>
    <row r="799" spans="2:5">
      <c r="B799" s="16"/>
      <c r="C799" s="16"/>
      <c r="D799" s="16"/>
      <c r="E799" s="16"/>
    </row>
    <row r="800" spans="2:5">
      <c r="B800" s="16"/>
      <c r="C800" s="16"/>
      <c r="D800" s="16"/>
      <c r="E800" s="16"/>
    </row>
    <row r="801" spans="2:5">
      <c r="B801" s="16"/>
      <c r="C801" s="16"/>
      <c r="D801" s="16"/>
      <c r="E801" s="16"/>
    </row>
    <row r="802" spans="2:5">
      <c r="B802" s="16"/>
      <c r="C802" s="16"/>
      <c r="D802" s="16"/>
      <c r="E802" s="16"/>
    </row>
    <row r="803" spans="2:5">
      <c r="B803" s="16"/>
      <c r="C803" s="16"/>
      <c r="D803" s="16"/>
      <c r="E803" s="16"/>
    </row>
    <row r="804" spans="2:5">
      <c r="B804" s="16"/>
      <c r="C804" s="16"/>
      <c r="D804" s="16"/>
      <c r="E804" s="16"/>
    </row>
    <row r="805" spans="2:5">
      <c r="B805" s="16"/>
      <c r="C805" s="16"/>
      <c r="D805" s="16"/>
      <c r="E805" s="16"/>
    </row>
    <row r="806" spans="2:5">
      <c r="B806" s="16"/>
      <c r="C806" s="16"/>
      <c r="D806" s="16"/>
      <c r="E806" s="16"/>
    </row>
    <row r="807" spans="2:5">
      <c r="B807" s="16"/>
      <c r="C807" s="16"/>
      <c r="D807" s="16"/>
      <c r="E807" s="16"/>
    </row>
    <row r="808" spans="2:5">
      <c r="B808" s="16"/>
      <c r="C808" s="16"/>
      <c r="D808" s="16"/>
      <c r="E808" s="16"/>
    </row>
    <row r="809" spans="2:5">
      <c r="B809" s="16"/>
      <c r="C809" s="16"/>
      <c r="D809" s="16"/>
      <c r="E809" s="16"/>
    </row>
    <row r="810" spans="2:5">
      <c r="B810" s="16"/>
      <c r="C810" s="16"/>
      <c r="D810" s="16"/>
      <c r="E810" s="16"/>
    </row>
    <row r="811" spans="2:5">
      <c r="B811" s="16"/>
      <c r="C811" s="16"/>
      <c r="D811" s="16"/>
      <c r="E811" s="16"/>
    </row>
    <row r="812" spans="2:5">
      <c r="B812" s="16"/>
      <c r="C812" s="16"/>
      <c r="D812" s="16"/>
      <c r="E812" s="16"/>
    </row>
    <row r="813" spans="2:5">
      <c r="B813" s="16"/>
      <c r="C813" s="16"/>
      <c r="D813" s="16"/>
      <c r="E813" s="16"/>
    </row>
    <row r="814" spans="2:5">
      <c r="B814" s="16"/>
      <c r="C814" s="16"/>
      <c r="D814" s="16"/>
      <c r="E814" s="16"/>
    </row>
    <row r="815" spans="2:5">
      <c r="B815" s="16"/>
      <c r="C815" s="16"/>
      <c r="D815" s="16"/>
      <c r="E815" s="16"/>
    </row>
    <row r="816" spans="2:5">
      <c r="B816" s="16"/>
      <c r="C816" s="16"/>
      <c r="D816" s="16"/>
      <c r="E816" s="16"/>
    </row>
    <row r="817" spans="2:5">
      <c r="B817" s="16"/>
      <c r="C817" s="16"/>
      <c r="D817" s="16"/>
      <c r="E817" s="16"/>
    </row>
    <row r="818" spans="2:5">
      <c r="B818" s="16"/>
      <c r="C818" s="16"/>
      <c r="D818" s="16"/>
      <c r="E818" s="16"/>
    </row>
    <row r="819" spans="2:5">
      <c r="B819" s="16"/>
      <c r="C819" s="16"/>
      <c r="D819" s="16"/>
      <c r="E819" s="16"/>
    </row>
    <row r="820" spans="2:5">
      <c r="B820" s="16"/>
      <c r="C820" s="16"/>
      <c r="D820" s="16"/>
      <c r="E820" s="16"/>
    </row>
    <row r="821" spans="2:5">
      <c r="B821" s="16"/>
      <c r="C821" s="16"/>
      <c r="D821" s="16"/>
      <c r="E821" s="16"/>
    </row>
    <row r="822" spans="2:5">
      <c r="B822" s="16"/>
      <c r="C822" s="16"/>
      <c r="D822" s="16"/>
      <c r="E822" s="16"/>
    </row>
    <row r="823" spans="2:5">
      <c r="B823" s="16"/>
      <c r="C823" s="16"/>
      <c r="D823" s="16"/>
      <c r="E823" s="16"/>
    </row>
    <row r="824" spans="2:5">
      <c r="B824" s="16"/>
      <c r="C824" s="16"/>
      <c r="D824" s="16"/>
      <c r="E824" s="16"/>
    </row>
    <row r="825" spans="2:5">
      <c r="B825" s="16"/>
      <c r="C825" s="16"/>
      <c r="D825" s="16"/>
      <c r="E825" s="16"/>
    </row>
    <row r="826" spans="2:5">
      <c r="B826" s="16"/>
      <c r="C826" s="16"/>
      <c r="D826" s="16"/>
      <c r="E826" s="16"/>
    </row>
    <row r="827" spans="2:5">
      <c r="B827" s="16"/>
      <c r="C827" s="16"/>
      <c r="D827" s="16"/>
      <c r="E827" s="16"/>
    </row>
    <row r="828" spans="2:5">
      <c r="B828" s="16"/>
      <c r="C828" s="16"/>
      <c r="D828" s="16"/>
      <c r="E828" s="16"/>
    </row>
    <row r="829" spans="2:5">
      <c r="B829" s="16"/>
      <c r="C829" s="16"/>
      <c r="D829" s="16"/>
      <c r="E829" s="16"/>
    </row>
    <row r="830" spans="2:5">
      <c r="B830" s="16"/>
      <c r="C830" s="16"/>
      <c r="D830" s="16"/>
      <c r="E830" s="16"/>
    </row>
    <row r="831" spans="2:5">
      <c r="B831" s="16"/>
      <c r="C831" s="16"/>
      <c r="D831" s="16"/>
      <c r="E831" s="16"/>
    </row>
    <row r="832" spans="2:5">
      <c r="B832" s="16"/>
      <c r="C832" s="16"/>
      <c r="D832" s="16"/>
      <c r="E832" s="16"/>
    </row>
    <row r="833" spans="2:5">
      <c r="B833" s="16"/>
      <c r="C833" s="16"/>
      <c r="D833" s="16"/>
      <c r="E833" s="16"/>
    </row>
    <row r="834" spans="2:5">
      <c r="B834" s="16"/>
      <c r="C834" s="16"/>
      <c r="D834" s="16"/>
      <c r="E834" s="16"/>
    </row>
    <row r="835" spans="2:5">
      <c r="B835" s="16"/>
      <c r="C835" s="16"/>
      <c r="D835" s="16"/>
      <c r="E835" s="16"/>
    </row>
    <row r="836" spans="2:5">
      <c r="B836" s="16"/>
      <c r="C836" s="16"/>
      <c r="D836" s="16"/>
      <c r="E836" s="16"/>
    </row>
    <row r="837" spans="2:5">
      <c r="B837" s="16"/>
      <c r="C837" s="16"/>
      <c r="D837" s="16"/>
      <c r="E837" s="16"/>
    </row>
    <row r="838" spans="2:5">
      <c r="B838" s="16"/>
      <c r="C838" s="16"/>
      <c r="D838" s="16"/>
      <c r="E838" s="16"/>
    </row>
    <row r="839" spans="2:5">
      <c r="B839" s="16"/>
      <c r="C839" s="16"/>
      <c r="D839" s="16"/>
      <c r="E839" s="16"/>
    </row>
    <row r="840" spans="2:5">
      <c r="B840" s="16"/>
      <c r="C840" s="16"/>
      <c r="D840" s="16"/>
      <c r="E840" s="16"/>
    </row>
    <row r="841" spans="2:5">
      <c r="B841" s="16"/>
      <c r="C841" s="16"/>
      <c r="D841" s="16"/>
      <c r="E841" s="16"/>
    </row>
    <row r="842" spans="2:5">
      <c r="B842" s="16"/>
      <c r="C842" s="16"/>
      <c r="D842" s="16"/>
      <c r="E842" s="16"/>
    </row>
    <row r="843" spans="2:5">
      <c r="B843" s="16"/>
      <c r="C843" s="16"/>
      <c r="D843" s="16"/>
      <c r="E843" s="16"/>
    </row>
    <row r="844" spans="2:5">
      <c r="B844" s="16"/>
      <c r="C844" s="16"/>
      <c r="D844" s="16"/>
      <c r="E844" s="16"/>
    </row>
    <row r="845" spans="2:5">
      <c r="B845" s="16"/>
      <c r="C845" s="16"/>
      <c r="D845" s="16"/>
      <c r="E845" s="16"/>
    </row>
    <row r="846" spans="2:5">
      <c r="B846" s="16"/>
      <c r="C846" s="16"/>
      <c r="D846" s="16"/>
      <c r="E846" s="16"/>
    </row>
    <row r="847" spans="2:5">
      <c r="B847" s="16"/>
      <c r="C847" s="16"/>
      <c r="D847" s="16"/>
      <c r="E847" s="16"/>
    </row>
    <row r="848" spans="2:5">
      <c r="B848" s="16"/>
      <c r="C848" s="16"/>
      <c r="D848" s="16"/>
      <c r="E848" s="16"/>
    </row>
    <row r="849" spans="2:5">
      <c r="B849" s="16"/>
      <c r="C849" s="16"/>
      <c r="D849" s="16"/>
      <c r="E849" s="16"/>
    </row>
    <row r="850" spans="2:5">
      <c r="B850" s="16"/>
      <c r="C850" s="16"/>
      <c r="D850" s="16"/>
      <c r="E850" s="16"/>
    </row>
    <row r="851" spans="2:5">
      <c r="B851" s="16"/>
      <c r="C851" s="16"/>
      <c r="D851" s="16"/>
      <c r="E851" s="16"/>
    </row>
    <row r="852" spans="2:5">
      <c r="B852" s="16"/>
      <c r="C852" s="16"/>
      <c r="D852" s="16"/>
      <c r="E852" s="16"/>
    </row>
    <row r="853" spans="2:5">
      <c r="B853" s="16"/>
      <c r="C853" s="16"/>
      <c r="D853" s="16"/>
      <c r="E853" s="16"/>
    </row>
    <row r="854" spans="2:5">
      <c r="B854" s="16"/>
      <c r="C854" s="16"/>
      <c r="D854" s="16"/>
      <c r="E854" s="16"/>
    </row>
    <row r="855" spans="2:5">
      <c r="B855" s="16"/>
      <c r="C855" s="16"/>
      <c r="D855" s="16"/>
      <c r="E855" s="16"/>
    </row>
    <row r="856" spans="2:5">
      <c r="B856" s="16"/>
      <c r="C856" s="16"/>
      <c r="D856" s="16"/>
      <c r="E856" s="16"/>
    </row>
    <row r="857" spans="2:5">
      <c r="B857" s="16"/>
      <c r="C857" s="16"/>
      <c r="D857" s="16"/>
      <c r="E857" s="16"/>
    </row>
    <row r="858" spans="2:5">
      <c r="B858" s="16"/>
      <c r="C858" s="16"/>
      <c r="D858" s="16"/>
      <c r="E858" s="16"/>
    </row>
    <row r="859" spans="2:5">
      <c r="B859" s="16"/>
      <c r="C859" s="16"/>
      <c r="D859" s="16"/>
      <c r="E859" s="16"/>
    </row>
    <row r="860" spans="2:5">
      <c r="B860" s="16"/>
      <c r="C860" s="16"/>
      <c r="D860" s="16"/>
      <c r="E860" s="16"/>
    </row>
    <row r="861" spans="2:5">
      <c r="B861" s="16"/>
      <c r="C861" s="16"/>
      <c r="D861" s="16"/>
      <c r="E861" s="16"/>
    </row>
    <row r="862" spans="2:5">
      <c r="B862" s="16"/>
      <c r="C862" s="16"/>
      <c r="D862" s="16"/>
      <c r="E862" s="16"/>
    </row>
    <row r="863" spans="2:5">
      <c r="B863" s="16"/>
      <c r="C863" s="16"/>
      <c r="D863" s="16"/>
      <c r="E863" s="16"/>
    </row>
    <row r="864" spans="2:5">
      <c r="B864" s="16"/>
      <c r="C864" s="16"/>
      <c r="D864" s="16"/>
      <c r="E864" s="16"/>
    </row>
    <row r="865" spans="2:5">
      <c r="B865" s="16"/>
      <c r="C865" s="16"/>
      <c r="D865" s="16"/>
      <c r="E865" s="16"/>
    </row>
    <row r="866" spans="2:5">
      <c r="B866" s="16"/>
      <c r="C866" s="16"/>
      <c r="D866" s="16"/>
      <c r="E866" s="16"/>
    </row>
    <row r="867" spans="2:5">
      <c r="B867" s="16"/>
      <c r="C867" s="16"/>
      <c r="D867" s="16"/>
      <c r="E867" s="16"/>
    </row>
    <row r="868" spans="2:5">
      <c r="B868" s="16"/>
      <c r="C868" s="16"/>
      <c r="D868" s="16"/>
      <c r="E868" s="16"/>
    </row>
    <row r="869" spans="2:5">
      <c r="B869" s="16"/>
      <c r="C869" s="16"/>
      <c r="D869" s="16"/>
      <c r="E869" s="16"/>
    </row>
    <row r="870" spans="2:5">
      <c r="B870" s="16"/>
      <c r="C870" s="16"/>
      <c r="D870" s="16"/>
      <c r="E870" s="16"/>
    </row>
    <row r="871" spans="2:5">
      <c r="B871" s="16"/>
      <c r="C871" s="16"/>
      <c r="D871" s="16"/>
      <c r="E871" s="16"/>
    </row>
    <row r="872" spans="2:5">
      <c r="B872" s="16"/>
      <c r="C872" s="16"/>
      <c r="D872" s="16"/>
      <c r="E872" s="16"/>
    </row>
    <row r="873" spans="2:5">
      <c r="B873" s="16"/>
      <c r="C873" s="16"/>
      <c r="D873" s="16"/>
      <c r="E873" s="16"/>
    </row>
    <row r="874" spans="2:5">
      <c r="B874" s="16"/>
      <c r="C874" s="16"/>
      <c r="D874" s="16"/>
      <c r="E874" s="16"/>
    </row>
    <row r="875" spans="2:5">
      <c r="B875" s="16"/>
      <c r="C875" s="16"/>
      <c r="D875" s="16"/>
      <c r="E875" s="16"/>
    </row>
    <row r="876" spans="2:5">
      <c r="B876" s="16"/>
      <c r="C876" s="16"/>
      <c r="D876" s="16"/>
      <c r="E876" s="16"/>
    </row>
    <row r="877" spans="2:5">
      <c r="B877" s="16"/>
      <c r="C877" s="16"/>
      <c r="D877" s="16"/>
      <c r="E877" s="16"/>
    </row>
    <row r="878" spans="2:5">
      <c r="B878" s="16"/>
      <c r="C878" s="16"/>
      <c r="D878" s="16"/>
      <c r="E878" s="16"/>
    </row>
    <row r="879" spans="2:5">
      <c r="B879" s="16"/>
      <c r="C879" s="16"/>
      <c r="D879" s="16"/>
      <c r="E879" s="16"/>
    </row>
    <row r="880" spans="2:5">
      <c r="B880" s="16"/>
      <c r="C880" s="16"/>
      <c r="D880" s="16"/>
      <c r="E880" s="16"/>
    </row>
    <row r="881" spans="2:5">
      <c r="B881" s="16"/>
      <c r="C881" s="16"/>
      <c r="D881" s="16"/>
      <c r="E881" s="16"/>
    </row>
    <row r="882" spans="2:5">
      <c r="B882" s="16"/>
      <c r="C882" s="16"/>
      <c r="D882" s="16"/>
      <c r="E882" s="16"/>
    </row>
    <row r="883" spans="2:5">
      <c r="B883" s="16"/>
      <c r="C883" s="16"/>
      <c r="D883" s="16"/>
      <c r="E883" s="16"/>
    </row>
    <row r="884" spans="2:5">
      <c r="B884" s="16"/>
      <c r="C884" s="16"/>
      <c r="D884" s="16"/>
      <c r="E884" s="16"/>
    </row>
    <row r="885" spans="2:5">
      <c r="B885" s="16"/>
      <c r="C885" s="16"/>
      <c r="D885" s="16"/>
      <c r="E885" s="16"/>
    </row>
    <row r="886" spans="2:5">
      <c r="B886" s="16"/>
      <c r="C886" s="16"/>
      <c r="D886" s="16"/>
      <c r="E886" s="16"/>
    </row>
    <row r="887" spans="2:5">
      <c r="B887" s="16"/>
      <c r="C887" s="16"/>
      <c r="D887" s="16"/>
      <c r="E887" s="16"/>
    </row>
    <row r="888" spans="2:5">
      <c r="B888" s="16"/>
      <c r="C888" s="16"/>
      <c r="D888" s="16"/>
      <c r="E888" s="16"/>
    </row>
    <row r="889" spans="2:5">
      <c r="B889" s="16"/>
      <c r="C889" s="16"/>
      <c r="D889" s="16"/>
      <c r="E889" s="16"/>
    </row>
    <row r="890" spans="2:5">
      <c r="B890" s="16"/>
      <c r="C890" s="16"/>
      <c r="D890" s="16"/>
      <c r="E890" s="16"/>
    </row>
    <row r="891" spans="2:5">
      <c r="B891" s="16"/>
      <c r="C891" s="16"/>
      <c r="D891" s="16"/>
      <c r="E891" s="16"/>
    </row>
    <row r="892" spans="2:5">
      <c r="B892" s="16"/>
      <c r="C892" s="16"/>
      <c r="D892" s="16"/>
      <c r="E892" s="16"/>
    </row>
    <row r="893" spans="2:5">
      <c r="B893" s="16"/>
      <c r="C893" s="16"/>
      <c r="D893" s="16"/>
      <c r="E893" s="16"/>
    </row>
    <row r="894" spans="2:5">
      <c r="B894" s="16"/>
      <c r="C894" s="16"/>
      <c r="D894" s="16"/>
      <c r="E894" s="16"/>
    </row>
    <row r="895" spans="2:5">
      <c r="B895" s="16"/>
      <c r="C895" s="16"/>
      <c r="D895" s="16"/>
      <c r="E895" s="16"/>
    </row>
    <row r="896" spans="2:5">
      <c r="B896" s="16"/>
      <c r="C896" s="16"/>
      <c r="D896" s="16"/>
      <c r="E896" s="16"/>
    </row>
    <row r="897" spans="2:5">
      <c r="B897" s="16"/>
      <c r="C897" s="16"/>
      <c r="D897" s="16"/>
      <c r="E897" s="16"/>
    </row>
    <row r="898" spans="2:5">
      <c r="B898" s="16"/>
      <c r="C898" s="16"/>
      <c r="D898" s="16"/>
      <c r="E898" s="16"/>
    </row>
    <row r="899" spans="2:5">
      <c r="B899" s="16"/>
      <c r="C899" s="16"/>
      <c r="D899" s="16"/>
      <c r="E899" s="16"/>
    </row>
    <row r="900" spans="2:5">
      <c r="B900" s="16"/>
      <c r="C900" s="16"/>
      <c r="D900" s="16"/>
      <c r="E900" s="16"/>
    </row>
    <row r="901" spans="2:5">
      <c r="B901" s="16"/>
      <c r="C901" s="16"/>
      <c r="D901" s="16"/>
      <c r="E901" s="16"/>
    </row>
    <row r="902" spans="2:5">
      <c r="B902" s="16"/>
      <c r="C902" s="16"/>
      <c r="D902" s="16"/>
      <c r="E902" s="16"/>
    </row>
    <row r="903" spans="2:5">
      <c r="B903" s="16"/>
      <c r="C903" s="16"/>
      <c r="D903" s="16"/>
      <c r="E903" s="16"/>
    </row>
    <row r="904" spans="2:5">
      <c r="B904" s="16"/>
      <c r="C904" s="16"/>
      <c r="D904" s="16"/>
      <c r="E904" s="16"/>
    </row>
    <row r="905" spans="2:5">
      <c r="B905" s="16"/>
      <c r="C905" s="16"/>
      <c r="D905" s="16"/>
      <c r="E905" s="16"/>
    </row>
    <row r="906" spans="2:5">
      <c r="B906" s="16"/>
      <c r="C906" s="16"/>
      <c r="D906" s="16"/>
      <c r="E906" s="16"/>
    </row>
    <row r="907" spans="2:5">
      <c r="B907" s="16"/>
      <c r="C907" s="16"/>
      <c r="D907" s="16"/>
      <c r="E907" s="16"/>
    </row>
    <row r="908" spans="2:5">
      <c r="B908" s="16"/>
      <c r="C908" s="16"/>
      <c r="D908" s="16"/>
      <c r="E908" s="16"/>
    </row>
    <row r="909" spans="2:5">
      <c r="B909" s="16"/>
      <c r="C909" s="16"/>
      <c r="D909" s="16"/>
      <c r="E909" s="16"/>
    </row>
    <row r="910" spans="2:5">
      <c r="B910" s="16"/>
      <c r="C910" s="16"/>
      <c r="D910" s="16"/>
      <c r="E910" s="16"/>
    </row>
    <row r="911" spans="2:5">
      <c r="B911" s="16"/>
      <c r="C911" s="16"/>
      <c r="D911" s="16"/>
      <c r="E911" s="16"/>
    </row>
    <row r="912" spans="2:5">
      <c r="B912" s="16"/>
      <c r="C912" s="16"/>
      <c r="D912" s="16"/>
      <c r="E912" s="16"/>
    </row>
    <row r="913" spans="2:5">
      <c r="B913" s="16"/>
      <c r="C913" s="16"/>
      <c r="D913" s="16"/>
      <c r="E913" s="16"/>
    </row>
    <row r="914" spans="2:5">
      <c r="B914" s="16"/>
      <c r="C914" s="16"/>
      <c r="D914" s="16"/>
      <c r="E914" s="16"/>
    </row>
    <row r="915" spans="2:5">
      <c r="B915" s="16"/>
      <c r="C915" s="16"/>
      <c r="D915" s="16"/>
      <c r="E915" s="16"/>
    </row>
    <row r="916" spans="2:5">
      <c r="B916" s="16"/>
      <c r="C916" s="16"/>
      <c r="D916" s="16"/>
      <c r="E916" s="16"/>
    </row>
    <row r="917" spans="2:5">
      <c r="B917" s="16"/>
      <c r="C917" s="16"/>
      <c r="D917" s="16"/>
      <c r="E917" s="16"/>
    </row>
    <row r="918" spans="2:5">
      <c r="B918" s="16"/>
      <c r="C918" s="16"/>
      <c r="D918" s="16"/>
      <c r="E918" s="16"/>
    </row>
    <row r="919" spans="2:5">
      <c r="B919" s="16"/>
      <c r="C919" s="16"/>
      <c r="D919" s="16"/>
      <c r="E919" s="16"/>
    </row>
    <row r="920" spans="2:5">
      <c r="B920" s="16"/>
      <c r="C920" s="16"/>
      <c r="D920" s="16"/>
      <c r="E920" s="16"/>
    </row>
    <row r="921" spans="2:5">
      <c r="B921" s="16"/>
      <c r="C921" s="16"/>
      <c r="D921" s="16"/>
      <c r="E921" s="16"/>
    </row>
    <row r="922" spans="2:5">
      <c r="B922" s="16"/>
      <c r="C922" s="16"/>
      <c r="D922" s="16"/>
      <c r="E922" s="16"/>
    </row>
    <row r="923" spans="2:5">
      <c r="B923" s="16"/>
      <c r="C923" s="16"/>
      <c r="D923" s="16"/>
      <c r="E923" s="16"/>
    </row>
    <row r="924" spans="2:5">
      <c r="B924" s="16"/>
      <c r="C924" s="16"/>
      <c r="D924" s="16"/>
      <c r="E924" s="16"/>
    </row>
    <row r="925" spans="2:5">
      <c r="B925" s="16"/>
      <c r="C925" s="16"/>
      <c r="D925" s="16"/>
      <c r="E925" s="16"/>
    </row>
    <row r="926" spans="2:5">
      <c r="B926" s="16"/>
      <c r="C926" s="16"/>
      <c r="D926" s="16"/>
      <c r="E926" s="16"/>
    </row>
    <row r="927" spans="2:5">
      <c r="B927" s="16"/>
      <c r="C927" s="16"/>
      <c r="D927" s="16"/>
      <c r="E927" s="16"/>
    </row>
    <row r="928" spans="2:5">
      <c r="B928" s="16"/>
      <c r="C928" s="16"/>
      <c r="D928" s="16"/>
      <c r="E928" s="16"/>
    </row>
    <row r="929" spans="2:5">
      <c r="B929" s="16"/>
      <c r="C929" s="16"/>
      <c r="D929" s="16"/>
      <c r="E929" s="16"/>
    </row>
    <row r="930" spans="2:5">
      <c r="B930" s="16"/>
      <c r="C930" s="16"/>
      <c r="D930" s="16"/>
      <c r="E930" s="16"/>
    </row>
    <row r="931" spans="2:5">
      <c r="B931" s="16"/>
      <c r="C931" s="16"/>
      <c r="D931" s="16"/>
      <c r="E931" s="16"/>
    </row>
    <row r="932" spans="2:5">
      <c r="B932" s="16"/>
      <c r="C932" s="16"/>
      <c r="D932" s="16"/>
      <c r="E932" s="16"/>
    </row>
    <row r="933" spans="2:5">
      <c r="B933" s="16"/>
      <c r="C933" s="16"/>
      <c r="D933" s="16"/>
      <c r="E933" s="16"/>
    </row>
    <row r="934" spans="2:5">
      <c r="B934" s="16"/>
      <c r="C934" s="16"/>
      <c r="D934" s="16"/>
      <c r="E934" s="16"/>
    </row>
    <row r="935" spans="2:5">
      <c r="B935" s="16"/>
      <c r="C935" s="16"/>
      <c r="D935" s="16"/>
      <c r="E935" s="16"/>
    </row>
    <row r="936" spans="2:5">
      <c r="B936" s="16"/>
      <c r="C936" s="16"/>
      <c r="D936" s="16"/>
      <c r="E936" s="16"/>
    </row>
    <row r="937" spans="2:5">
      <c r="B937" s="16"/>
      <c r="C937" s="16"/>
      <c r="D937" s="16"/>
      <c r="E937" s="16"/>
    </row>
    <row r="938" spans="2:5">
      <c r="B938" s="16"/>
      <c r="C938" s="16"/>
      <c r="D938" s="16"/>
      <c r="E938" s="16"/>
    </row>
    <row r="939" spans="2:5">
      <c r="B939" s="16"/>
      <c r="C939" s="16"/>
      <c r="D939" s="16"/>
      <c r="E939" s="16"/>
    </row>
    <row r="940" spans="2:5">
      <c r="B940" s="16"/>
      <c r="C940" s="16"/>
      <c r="D940" s="16"/>
      <c r="E940" s="16"/>
    </row>
    <row r="941" spans="2:5">
      <c r="B941" s="16"/>
      <c r="C941" s="16"/>
      <c r="D941" s="16"/>
      <c r="E941" s="16"/>
    </row>
    <row r="942" spans="2:5">
      <c r="B942" s="16"/>
      <c r="C942" s="16"/>
      <c r="D942" s="16"/>
      <c r="E942" s="16"/>
    </row>
    <row r="943" spans="2:5">
      <c r="B943" s="16"/>
      <c r="C943" s="16"/>
      <c r="D943" s="16"/>
      <c r="E943" s="16"/>
    </row>
    <row r="944" spans="2:5">
      <c r="B944" s="16"/>
      <c r="C944" s="16"/>
      <c r="D944" s="16"/>
      <c r="E944" s="16"/>
    </row>
    <row r="945" spans="2:5">
      <c r="B945" s="16"/>
      <c r="C945" s="16"/>
      <c r="D945" s="16"/>
      <c r="E945" s="16"/>
    </row>
    <row r="946" spans="2:5">
      <c r="B946" s="16"/>
      <c r="C946" s="16"/>
      <c r="D946" s="16"/>
      <c r="E946" s="16"/>
    </row>
    <row r="947" spans="2:5">
      <c r="B947" s="16"/>
      <c r="C947" s="16"/>
      <c r="D947" s="16"/>
      <c r="E947" s="16"/>
    </row>
    <row r="948" spans="2:5">
      <c r="B948" s="16"/>
      <c r="C948" s="16"/>
      <c r="D948" s="16"/>
      <c r="E948" s="16"/>
    </row>
    <row r="949" spans="2:5">
      <c r="B949" s="16"/>
      <c r="C949" s="16"/>
      <c r="D949" s="16"/>
      <c r="E949" s="16"/>
    </row>
    <row r="950" spans="2:5">
      <c r="B950" s="16"/>
      <c r="C950" s="16"/>
      <c r="D950" s="16"/>
      <c r="E950" s="16"/>
    </row>
    <row r="951" spans="2:5">
      <c r="B951" s="16"/>
      <c r="C951" s="16"/>
      <c r="D951" s="16"/>
      <c r="E951" s="16"/>
    </row>
    <row r="952" spans="2:5">
      <c r="B952" s="16"/>
      <c r="C952" s="16"/>
      <c r="D952" s="16"/>
      <c r="E952" s="16"/>
    </row>
    <row r="953" spans="2:5">
      <c r="B953" s="16"/>
      <c r="C953" s="16"/>
      <c r="D953" s="16"/>
      <c r="E953" s="16"/>
    </row>
    <row r="954" spans="2:5">
      <c r="B954" s="16"/>
      <c r="C954" s="16"/>
      <c r="D954" s="16"/>
      <c r="E954" s="16"/>
    </row>
    <row r="955" spans="2:5">
      <c r="B955" s="16"/>
      <c r="C955" s="16"/>
      <c r="D955" s="16"/>
      <c r="E955" s="16"/>
    </row>
    <row r="956" spans="2:5">
      <c r="B956" s="16"/>
      <c r="C956" s="16"/>
      <c r="D956" s="16"/>
      <c r="E956" s="16"/>
    </row>
    <row r="957" spans="2:5">
      <c r="B957" s="16"/>
      <c r="C957" s="16"/>
      <c r="D957" s="16"/>
      <c r="E957" s="16"/>
    </row>
    <row r="958" spans="2:5">
      <c r="B958" s="16"/>
      <c r="C958" s="16"/>
      <c r="D958" s="16"/>
      <c r="E958" s="16"/>
    </row>
    <row r="959" spans="2:5">
      <c r="B959" s="16"/>
      <c r="C959" s="16"/>
      <c r="D959" s="16"/>
      <c r="E959" s="16"/>
    </row>
    <row r="960" spans="2:5">
      <c r="B960" s="16"/>
      <c r="C960" s="16"/>
      <c r="D960" s="16"/>
      <c r="E960" s="16"/>
    </row>
    <row r="961" spans="2:5">
      <c r="B961" s="16"/>
      <c r="C961" s="16"/>
      <c r="D961" s="16"/>
      <c r="E961" s="16"/>
    </row>
    <row r="962" spans="2:5">
      <c r="B962" s="16"/>
      <c r="C962" s="16"/>
      <c r="D962" s="16"/>
      <c r="E962" s="16"/>
    </row>
    <row r="963" spans="2:5">
      <c r="B963" s="16"/>
      <c r="C963" s="16"/>
      <c r="D963" s="16"/>
      <c r="E963" s="16"/>
    </row>
    <row r="964" spans="2:5">
      <c r="B964" s="16"/>
      <c r="C964" s="16"/>
      <c r="D964" s="16"/>
      <c r="E964" s="16"/>
    </row>
    <row r="965" spans="2:5">
      <c r="B965" s="16"/>
      <c r="C965" s="16"/>
      <c r="D965" s="16"/>
      <c r="E965" s="16"/>
    </row>
    <row r="966" spans="2:5">
      <c r="B966" s="16"/>
      <c r="C966" s="16"/>
      <c r="D966" s="16"/>
      <c r="E966" s="16"/>
    </row>
    <row r="967" spans="2:5">
      <c r="B967" s="16"/>
      <c r="C967" s="16"/>
      <c r="D967" s="16"/>
      <c r="E967" s="16"/>
    </row>
    <row r="968" spans="2:5">
      <c r="B968" s="16"/>
      <c r="C968" s="16"/>
      <c r="D968" s="16"/>
      <c r="E968" s="16"/>
    </row>
    <row r="969" spans="2:5">
      <c r="B969" s="16"/>
      <c r="C969" s="16"/>
      <c r="D969" s="16"/>
      <c r="E969" s="16"/>
    </row>
    <row r="970" spans="2:5">
      <c r="B970" s="16"/>
      <c r="C970" s="16"/>
      <c r="D970" s="16"/>
      <c r="E970" s="16"/>
    </row>
    <row r="971" spans="2:5">
      <c r="B971" s="16"/>
      <c r="C971" s="16"/>
      <c r="D971" s="16"/>
      <c r="E971" s="16"/>
    </row>
    <row r="972" spans="2:5">
      <c r="B972" s="16"/>
      <c r="C972" s="16"/>
      <c r="D972" s="16"/>
      <c r="E972" s="16"/>
    </row>
    <row r="973" spans="2:5">
      <c r="B973" s="16"/>
      <c r="C973" s="16"/>
      <c r="D973" s="16"/>
      <c r="E973" s="16"/>
    </row>
    <row r="974" spans="2:5">
      <c r="B974" s="16"/>
      <c r="C974" s="16"/>
      <c r="D974" s="16"/>
      <c r="E974" s="16"/>
    </row>
    <row r="975" spans="2:5">
      <c r="B975" s="16"/>
      <c r="C975" s="16"/>
      <c r="D975" s="16"/>
      <c r="E975" s="16"/>
    </row>
    <row r="976" spans="2:5">
      <c r="B976" s="16"/>
      <c r="C976" s="16"/>
      <c r="D976" s="16"/>
      <c r="E976" s="16"/>
    </row>
    <row r="977" spans="2:5">
      <c r="B977" s="16"/>
      <c r="C977" s="16"/>
      <c r="D977" s="16"/>
      <c r="E977" s="16"/>
    </row>
    <row r="978" spans="2:5">
      <c r="B978" s="16"/>
      <c r="C978" s="16"/>
      <c r="D978" s="16"/>
      <c r="E978" s="16"/>
    </row>
    <row r="979" spans="2:5">
      <c r="B979" s="16"/>
      <c r="C979" s="16"/>
      <c r="D979" s="16"/>
      <c r="E979" s="16"/>
    </row>
    <row r="980" spans="2:5">
      <c r="B980" s="16"/>
      <c r="C980" s="16"/>
      <c r="D980" s="16"/>
      <c r="E980" s="16"/>
    </row>
    <row r="981" spans="2:5">
      <c r="B981" s="16"/>
      <c r="C981" s="16"/>
      <c r="D981" s="16"/>
      <c r="E981" s="16"/>
    </row>
    <row r="982" spans="2:5">
      <c r="B982" s="16"/>
      <c r="C982" s="16"/>
      <c r="D982" s="16"/>
      <c r="E982" s="16"/>
    </row>
    <row r="983" spans="2:5">
      <c r="B983" s="16"/>
      <c r="C983" s="16"/>
      <c r="D983" s="16"/>
      <c r="E983" s="16"/>
    </row>
    <row r="984" spans="2:5">
      <c r="B984" s="16"/>
      <c r="C984" s="16"/>
      <c r="D984" s="16"/>
      <c r="E984" s="16"/>
    </row>
    <row r="985" spans="2:5">
      <c r="B985" s="16"/>
      <c r="C985" s="16"/>
      <c r="D985" s="16"/>
      <c r="E985" s="16"/>
    </row>
    <row r="986" spans="2:5">
      <c r="B986" s="16"/>
      <c r="C986" s="16"/>
      <c r="D986" s="16"/>
      <c r="E986" s="16"/>
    </row>
    <row r="987" spans="2:5">
      <c r="B987" s="16"/>
      <c r="C987" s="16"/>
      <c r="D987" s="16"/>
      <c r="E987" s="16"/>
    </row>
    <row r="988" spans="2:5">
      <c r="B988" s="16"/>
      <c r="C988" s="16"/>
      <c r="D988" s="16"/>
      <c r="E988" s="16"/>
    </row>
    <row r="989" spans="2:5">
      <c r="B989" s="16"/>
      <c r="C989" s="16"/>
      <c r="D989" s="16"/>
      <c r="E989" s="16"/>
    </row>
    <row r="990" spans="2:5">
      <c r="B990" s="16"/>
      <c r="C990" s="16"/>
      <c r="D990" s="16"/>
      <c r="E990" s="16"/>
    </row>
    <row r="991" spans="2:5">
      <c r="B991" s="16"/>
      <c r="C991" s="16"/>
      <c r="D991" s="16"/>
      <c r="E991" s="16"/>
    </row>
    <row r="992" spans="2:5">
      <c r="B992" s="16"/>
      <c r="C992" s="16"/>
      <c r="D992" s="16"/>
      <c r="E992" s="16"/>
    </row>
    <row r="993" spans="2:5">
      <c r="B993" s="16"/>
      <c r="C993" s="16"/>
      <c r="D993" s="16"/>
      <c r="E993" s="16"/>
    </row>
    <row r="994" spans="2:5">
      <c r="B994" s="16"/>
      <c r="C994" s="16"/>
      <c r="D994" s="16"/>
      <c r="E994" s="16"/>
    </row>
    <row r="995" spans="2:5">
      <c r="B995" s="16"/>
      <c r="C995" s="16"/>
      <c r="D995" s="16"/>
      <c r="E995" s="16"/>
    </row>
    <row r="996" spans="2:5">
      <c r="B996" s="16"/>
      <c r="C996" s="16"/>
      <c r="D996" s="16"/>
      <c r="E996" s="16"/>
    </row>
    <row r="997" spans="2:5">
      <c r="B997" s="16"/>
      <c r="C997" s="16"/>
      <c r="D997" s="16"/>
      <c r="E997" s="16"/>
    </row>
    <row r="998" spans="2:5">
      <c r="B998" s="16"/>
      <c r="C998" s="16"/>
      <c r="D998" s="16"/>
      <c r="E998" s="16"/>
    </row>
    <row r="999" spans="2:5">
      <c r="B999" s="16"/>
      <c r="C999" s="16"/>
      <c r="D999" s="16"/>
      <c r="E999" s="16"/>
    </row>
    <row r="1000" spans="2:5">
      <c r="B1000" s="16"/>
      <c r="C1000" s="16"/>
      <c r="D1000" s="16"/>
      <c r="E1000"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workbookViewId="0"/>
  </sheetViews>
  <sheetFormatPr defaultColWidth="12.5703125" defaultRowHeight="15.75" customHeight="1"/>
  <cols>
    <col min="1" max="1" width="114.5703125" customWidth="1"/>
    <col min="2" max="2" width="38.85546875" customWidth="1"/>
    <col min="3" max="5" width="25.85546875" customWidth="1"/>
  </cols>
  <sheetData>
    <row r="1" spans="1:26">
      <c r="A1" s="13" t="s">
        <v>0</v>
      </c>
      <c r="B1" s="14" t="s">
        <v>1</v>
      </c>
      <c r="C1" s="14" t="s">
        <v>2</v>
      </c>
      <c r="D1" s="14" t="s">
        <v>3</v>
      </c>
      <c r="E1" s="14" t="s">
        <v>4</v>
      </c>
      <c r="F1" s="13"/>
      <c r="G1" s="13"/>
      <c r="H1" s="13"/>
      <c r="I1" s="13"/>
      <c r="J1" s="13"/>
      <c r="K1" s="13"/>
      <c r="L1" s="13"/>
      <c r="M1" s="13"/>
      <c r="N1" s="13"/>
      <c r="O1" s="13"/>
      <c r="P1" s="13"/>
      <c r="Q1" s="13"/>
      <c r="R1" s="13"/>
      <c r="S1" s="13"/>
      <c r="T1" s="13"/>
      <c r="U1" s="13"/>
      <c r="V1" s="13"/>
      <c r="W1" s="13"/>
      <c r="X1" s="13"/>
      <c r="Y1" s="13"/>
      <c r="Z1" s="13"/>
    </row>
    <row r="2" spans="1:26">
      <c r="A2" s="15" t="str">
        <f ca="1">IFERROR(__xludf.DUMMYFUNCTION("GOOGLETRANSLATE('Brawl Stars'!A2,""ru"",""en"")"),"Which fighter rarity was removed from the game in December 2023?")</f>
        <v>Which fighter rarity was removed from the game in December 2023?</v>
      </c>
      <c r="B2" s="15" t="str">
        <f ca="1">IFERROR(__xludf.DUMMYFUNCTION("GOOGLETRANSLATE('Brawl Stars'!B2,""ru"",""en"")"),"Chromatic")</f>
        <v>Chromatic</v>
      </c>
      <c r="C2" s="15" t="str">
        <f ca="1">IFERROR(__xludf.DUMMYFUNCTION("GOOGLETRANSLATE('Brawl Stars'!C2,""ru"",""en"")"),"Temporary")</f>
        <v>Temporary</v>
      </c>
      <c r="D2" s="15" t="str">
        <f ca="1">IFERROR(__xludf.DUMMYFUNCTION("GOOGLETRANSLATE('Brawl Stars'!D2,""ru"",""en"")"),"Reward on the Path to Glory")</f>
        <v>Reward on the Path to Glory</v>
      </c>
      <c r="E2" s="16"/>
    </row>
    <row r="3" spans="1:26">
      <c r="A3" s="15" t="str">
        <f ca="1">IFERROR(__xludf.DUMMYFUNCTION("GOOGLETRANSLATE('Brawl Stars'!A3,""ru"",""en"")"),"How many brawler rarities are there in Brawl Stars at the moment?")</f>
        <v>How many brawler rarities are there in Brawl Stars at the moment?</v>
      </c>
      <c r="B3" s="15" t="str">
        <f ca="1">IFERROR(__xludf.DUMMYFUNCTION("GOOGLETRANSLATE('Brawl Stars'!B3,""ru"",""en"")"),"7")</f>
        <v>7</v>
      </c>
      <c r="C3" s="15" t="str">
        <f ca="1">IFERROR(__xludf.DUMMYFUNCTION("GOOGLETRANSLATE('Brawl Stars'!C3,""ru"",""en"")"),"6")</f>
        <v>6</v>
      </c>
      <c r="D3" s="15" t="str">
        <f ca="1">IFERROR(__xludf.DUMMYFUNCTION("GOOGLETRANSLATE('Brawl Stars'!D3,""ru"",""en"")"),"8")</f>
        <v>8</v>
      </c>
      <c r="E3" s="16"/>
    </row>
    <row r="4" spans="1:26">
      <c r="A4" s="15" t="str">
        <f ca="1">IFERROR(__xludf.DUMMYFUNCTION("GOOGLETRANSLATE('Brawl Stars'!A4,""ru"",""en"")"),"What is the only fighter that has an Ultra Legendary rarity?")</f>
        <v>What is the only fighter that has an Ultra Legendary rarity?</v>
      </c>
      <c r="B4" s="15" t="str">
        <f ca="1">IFERROR(__xludf.DUMMYFUNCTION("GOOGLETRANSLATE('Brawl Stars'!B4,""ru"",""en"")"),"Kaze")</f>
        <v>Kaze</v>
      </c>
      <c r="C4" s="15" t="str">
        <f ca="1">IFERROR(__xludf.DUMMYFUNCTION("GOOGLETRANSLATE('Brawl Stars'!C4,""ru"",""en"")"),"Spike")</f>
        <v>Spike</v>
      </c>
      <c r="D4" s="15" t="str">
        <f ca="1">IFERROR(__xludf.DUMMYFUNCTION("GOOGLETRANSLATE('Brawl Stars'!D4,""ru"",""en"")"),"Kenji")</f>
        <v>Kenji</v>
      </c>
      <c r="E4" s="16"/>
    </row>
    <row r="5" spans="1:26">
      <c r="A5" s="15" t="str">
        <f ca="1">IFERROR(__xludf.DUMMYFUNCTION("GOOGLETRANSLATE('Brawl Stars'!A5,""ru"",""en"")"),"How many credits does it cost to buy a mythical fighter?")</f>
        <v>How many credits does it cost to buy a mythical fighter?</v>
      </c>
      <c r="B5" s="15" t="str">
        <f ca="1">IFERROR(__xludf.DUMMYFUNCTION("GOOGLETRANSLATE('Brawl Stars'!B5,""ru"",""en"")"),"1900")</f>
        <v>1900</v>
      </c>
      <c r="C5" s="15" t="str">
        <f ca="1">IFERROR(__xludf.DUMMYFUNCTION("GOOGLETRANSLATE('Brawl Stars'!C5,""ru"",""en"")"),"925")</f>
        <v>925</v>
      </c>
      <c r="D5" s="15" t="str">
        <f ca="1">IFERROR(__xludf.DUMMYFUNCTION("GOOGLETRANSLATE('Brawl Stars'!D5,""ru"",""en"")"),"3800")</f>
        <v>3800</v>
      </c>
      <c r="E5" s="16"/>
    </row>
    <row r="6" spans="1:26">
      <c r="A6" s="15" t="str">
        <f ca="1">IFERROR(__xludf.DUMMYFUNCTION("GOOGLETRANSLATE('Brawl Stars'!A6,""ru"",""en"")"),"What color indicates the epic rarity of fighters?")</f>
        <v>What color indicates the epic rarity of fighters?</v>
      </c>
      <c r="B6" s="15" t="str">
        <f ca="1">IFERROR(__xludf.DUMMYFUNCTION("GOOGLETRANSLATE('Brawl Stars'!B6,""ru"",""en"")"),"Violet")</f>
        <v>Violet</v>
      </c>
      <c r="C6" s="15" t="str">
        <f ca="1">IFERROR(__xludf.DUMMYFUNCTION("GOOGLETRANSLATE('Brawl Stars'!C6,""ru"",""en"")"),"Red")</f>
        <v>Red</v>
      </c>
      <c r="D6" s="15" t="str">
        <f ca="1">IFERROR(__xludf.DUMMYFUNCTION("GOOGLETRANSLATE('Brawl Stars'!D6,""ru"",""en"")"),"Yellow")</f>
        <v>Yellow</v>
      </c>
      <c r="E6" s="16"/>
    </row>
    <row r="7" spans="1:26">
      <c r="A7" s="15" t="str">
        <f ca="1">IFERROR(__xludf.DUMMYFUNCTION("GOOGLETRANSLATE('Brawl Stars'!A7,""ru"",""en"")"),"At what fighter level do gadgets become available?")</f>
        <v>At what fighter level do gadgets become available?</v>
      </c>
      <c r="B7" s="15" t="str">
        <f ca="1">IFERROR(__xludf.DUMMYFUNCTION("GOOGLETRANSLATE('Brawl Stars'!B7,""ru"",""en"")"),"7")</f>
        <v>7</v>
      </c>
      <c r="C7" s="15" t="str">
        <f ca="1">IFERROR(__xludf.DUMMYFUNCTION("GOOGLETRANSLATE('Brawl Stars'!C7,""ru"",""en"")"),"9")</f>
        <v>9</v>
      </c>
      <c r="D7" s="15" t="str">
        <f ca="1">IFERROR(__xludf.DUMMYFUNCTION("GOOGLETRANSLATE('Brawl Stars'!D7,""ru"",""en"")"),"5")</f>
        <v>5</v>
      </c>
      <c r="E7" s="16"/>
    </row>
    <row r="8" spans="1:26">
      <c r="A8" s="15" t="str">
        <f ca="1">IFERROR(__xludf.DUMMYFUNCTION("GOOGLETRANSLATE('Brawl Stars'!A8,""ru"",""en"")"),"How many different gadgets does each fighter have?")</f>
        <v>How many different gadgets does each fighter have?</v>
      </c>
      <c r="B8" s="15" t="str">
        <f ca="1">IFERROR(__xludf.DUMMYFUNCTION("GOOGLETRANSLATE('Brawl Stars'!B8,""ru"",""en"")"),"2")</f>
        <v>2</v>
      </c>
      <c r="C8" s="15" t="str">
        <f ca="1">IFERROR(__xludf.DUMMYFUNCTION("GOOGLETRANSLATE('Brawl Stars'!C8,""ru"",""en"")"),"1")</f>
        <v>1</v>
      </c>
      <c r="D8" s="15" t="str">
        <f ca="1">IFERROR(__xludf.DUMMYFUNCTION("GOOGLETRANSLATE('Brawl Stars'!D8,""ru"",""en"")"),"3")</f>
        <v>3</v>
      </c>
      <c r="E8" s="16"/>
    </row>
    <row r="9" spans="1:26">
      <c r="A9" s="15" t="str">
        <f ca="1">IFERROR(__xludf.DUMMYFUNCTION("GOOGLETRANSLATE('Brawl Stars'!A9,""ru"",""en"")"),"What year were gadgets added to the game?")</f>
        <v>What year were gadgets added to the game?</v>
      </c>
      <c r="B9" s="15" t="str">
        <f ca="1">IFERROR(__xludf.DUMMYFUNCTION("GOOGLETRANSLATE('Brawl Stars'!B9,""ru"",""en"")"),"2020")</f>
        <v>2020</v>
      </c>
      <c r="C9" s="15" t="str">
        <f ca="1">IFERROR(__xludf.DUMMYFUNCTION("GOOGLETRANSLATE('Brawl Stars'!C9,""ru"",""en"")"),"2019")</f>
        <v>2019</v>
      </c>
      <c r="D9" s="15" t="str">
        <f ca="1">IFERROR(__xludf.DUMMYFUNCTION("GOOGLETRANSLATE('Brawl Stars'!D9,""ru"",""en"")"),"2021")</f>
        <v>2021</v>
      </c>
      <c r="E9" s="16"/>
    </row>
    <row r="10" spans="1:26">
      <c r="A10" s="15" t="str">
        <f ca="1">IFERROR(__xludf.DUMMYFUNCTION("GOOGLETRANSLATE('Brawl Stars'!A10,""ru"",""en"")"),"How many coins does it cost to buy star power?")</f>
        <v>How many coins does it cost to buy star power?</v>
      </c>
      <c r="B10" s="15" t="str">
        <f ca="1">IFERROR(__xludf.DUMMYFUNCTION("GOOGLETRANSLATE('Brawl Stars'!B10,""ru"",""en"")"),"2000")</f>
        <v>2000</v>
      </c>
      <c r="C10" s="15" t="str">
        <f ca="1">IFERROR(__xludf.DUMMYFUNCTION("GOOGLETRANSLATE('Brawl Stars'!C10,""ru"",""en"")"),"1000")</f>
        <v>1000</v>
      </c>
      <c r="D10" s="15" t="str">
        <f ca="1">IFERROR(__xludf.DUMMYFUNCTION("GOOGLETRANSLATE('Brawl Stars'!D10,""ru"",""en"")"),"1500")</f>
        <v>1500</v>
      </c>
      <c r="E10" s="16"/>
    </row>
    <row r="11" spans="1:26">
      <c r="A11" s="15" t="str">
        <f ca="1">IFERROR(__xludf.DUMMYFUNCTION("GOOGLETRANSLATE('Brawl Stars'!A11,""ru"",""en"")"),"How many star powers can each fighter have?")</f>
        <v>How many star powers can each fighter have?</v>
      </c>
      <c r="B11" s="15" t="str">
        <f ca="1">IFERROR(__xludf.DUMMYFUNCTION("GOOGLETRANSLATE('Brawl Stars'!B11,""ru"",""en"")"),"2")</f>
        <v>2</v>
      </c>
      <c r="C11" s="15" t="str">
        <f ca="1">IFERROR(__xludf.DUMMYFUNCTION("GOOGLETRANSLATE('Brawl Stars'!C11,""ru"",""en"")"),"1")</f>
        <v>1</v>
      </c>
      <c r="D11" s="15" t="str">
        <f ca="1">IFERROR(__xludf.DUMMYFUNCTION("GOOGLETRANSLATE('Brawl Stars'!D11,""ru"",""en"")"),"3")</f>
        <v>3</v>
      </c>
      <c r="E11" s="16"/>
    </row>
    <row r="12" spans="1:26">
      <c r="A12" s="15" t="str">
        <f ca="1">IFERROR(__xludf.DUMMYFUNCTION("GOOGLETRANSLATE('Brawl Stars'!A12,""ru"",""en"")"),"Which fighter was the only one with a temporary rarity?")</f>
        <v>Which fighter was the only one with a temporary rarity?</v>
      </c>
      <c r="B12" s="15" t="str">
        <f ca="1">IFERROR(__xludf.DUMMYFUNCTION("GOOGLETRANSLATE('Brawl Stars'!B12,""ru"",""en"")"),"Buzz Lightyear")</f>
        <v>Buzz Lightyear</v>
      </c>
      <c r="C12" s="15" t="str">
        <f ca="1">IFERROR(__xludf.DUMMYFUNCTION("GOOGLETRANSLATE('Brawl Stars'!C12,""ru"",""en"")"),"Kaze")</f>
        <v>Kaze</v>
      </c>
      <c r="D12" s="15" t="str">
        <f ca="1">IFERROR(__xludf.DUMMYFUNCTION("GOOGLETRANSLATE('Brawl Stars'!D12,""ru"",""en"")"),"Meeple")</f>
        <v>Meeple</v>
      </c>
      <c r="E12" s="16"/>
    </row>
    <row r="13" spans="1:26">
      <c r="A13" s="15" t="str">
        <f ca="1">IFERROR(__xludf.DUMMYFUNCTION("GOOGLETRANSLATE('Brawl Stars'!A13,""ru"",""en"")"),"Which rarity has the most fighters?")</f>
        <v>Which rarity has the most fighters?</v>
      </c>
      <c r="B13" s="15" t="str">
        <f ca="1">IFERROR(__xludf.DUMMYFUNCTION("GOOGLETRANSLATE('Brawl Stars'!B13,""ru"",""en"")"),"Epic")</f>
        <v>Epic</v>
      </c>
      <c r="C13" s="15" t="str">
        <f ca="1">IFERROR(__xludf.DUMMYFUNCTION("GOOGLETRANSLATE('Brawl Stars'!C13,""ru"",""en"")"),"Mythical")</f>
        <v>Mythical</v>
      </c>
      <c r="D13" s="15" t="str">
        <f ca="1">IFERROR(__xludf.DUMMYFUNCTION("GOOGLETRANSLATE('Brawl Stars'!D13,""ru"",""en"")"),"Legendary")</f>
        <v>Legendary</v>
      </c>
      <c r="E13" s="16"/>
    </row>
    <row r="14" spans="1:26">
      <c r="A14" s="15" t="str">
        <f ca="1">IFERROR(__xludf.DUMMYFUNCTION("GOOGLETRANSLATE('Brawl Stars'!A14,""ru"",""en"")"),"How many trophies in Path to Glory do you need to get a Rose?")</f>
        <v>How many trophies in Path to Glory do you need to get a Rose?</v>
      </c>
      <c r="B14" s="15" t="str">
        <f ca="1">IFERROR(__xludf.DUMMYFUNCTION("GOOGLETRANSLATE('Brawl Stars'!B14,""ru"",""en"")"),"1300")</f>
        <v>1300</v>
      </c>
      <c r="C14" s="15" t="str">
        <f ca="1">IFERROR(__xludf.DUMMYFUNCTION("GOOGLETRANSLATE('Brawl Stars'!C14,""ru"",""en"")"),"960")</f>
        <v>960</v>
      </c>
      <c r="D14" s="15" t="str">
        <f ca="1">IFERROR(__xludf.DUMMYFUNCTION("GOOGLETRANSLATE('Brawl Stars'!D14,""ru"",""en"")"),"1850")</f>
        <v>1850</v>
      </c>
      <c r="E14" s="16"/>
    </row>
    <row r="15" spans="1:26">
      <c r="A15" s="15" t="str">
        <f ca="1">IFERROR(__xludf.DUMMYFUNCTION("GOOGLETRANSLATE('Brawl Stars'!A15,""ru"",""en"")"),"Which rare fighter is the last to unlock based on the number of trophies?")</f>
        <v>Which rare fighter is the last to unlock based on the number of trophies?</v>
      </c>
      <c r="B15" s="15" t="str">
        <f ca="1">IFERROR(__xludf.DUMMYFUNCTION("GOOGLETRANSLATE('Brawl Stars'!B15,""ru"",""en"")"),"Bull")</f>
        <v>Bull</v>
      </c>
      <c r="C15" s="15" t="str">
        <f ca="1">IFERROR(__xludf.DUMMYFUNCTION("GOOGLETRANSLATE('Brawl Stars'!C15,""ru"",""en"")"),"Brock")</f>
        <v>Brock</v>
      </c>
      <c r="D15" s="15" t="str">
        <f ca="1">IFERROR(__xludf.DUMMYFUNCTION("GOOGLETRANSLATE('Brawl Stars'!D15,""ru"",""en"")"),"Rose")</f>
        <v>Rose</v>
      </c>
      <c r="E15" s="16"/>
    </row>
    <row r="16" spans="1:26">
      <c r="A16" s="15" t="str">
        <f ca="1">IFERROR(__xludf.DUMMYFUNCTION("GOOGLETRANSLATE('Brawl Stars'!A16,""ru"",""en"")"),"How many mythical fighters were released in 2023?")</f>
        <v>How many mythical fighters were released in 2023?</v>
      </c>
      <c r="B16" s="15" t="str">
        <f ca="1">IFERROR(__xludf.DUMMYFUNCTION("GOOGLETRANSLATE('Brawl Stars'!B16,""ru"",""en"")"),"4")</f>
        <v>4</v>
      </c>
      <c r="C16" s="15" t="str">
        <f ca="1">IFERROR(__xludf.DUMMYFUNCTION("GOOGLETRANSLATE('Brawl Stars'!C16,""ru"",""en"")"),"3")</f>
        <v>3</v>
      </c>
      <c r="D16" s="15" t="str">
        <f ca="1">IFERROR(__xludf.DUMMYFUNCTION("GOOGLETRANSLATE('Brawl Stars'!D16,""ru"",""en"")"),"5")</f>
        <v>5</v>
      </c>
      <c r="E16" s="16"/>
    </row>
    <row r="17" spans="1:5">
      <c r="A17" s="15" t="str">
        <f ca="1">IFERROR(__xludf.DUMMYFUNCTION("GOOGLETRANSLATE('Brawl Stars'!A17,""ru"",""en"")"),"Which fighter was moved from Epic to Mythic rarity?")</f>
        <v>Which fighter was moved from Epic to Mythic rarity?</v>
      </c>
      <c r="B17" s="15" t="str">
        <f ca="1">IFERROR(__xludf.DUMMYFUNCTION("GOOGLETRANSLATE('Brawl Stars'!B17,""ru"",""en"")"),"Mortis")</f>
        <v>Mortis</v>
      </c>
      <c r="C17" s="15" t="str">
        <f ca="1">IFERROR(__xludf.DUMMYFUNCTION("GOOGLETRANSLATE('Brawl Stars'!C17,""ru"",""en"")"),"Tara")</f>
        <v>Tara</v>
      </c>
      <c r="D17" s="15" t="str">
        <f ca="1">IFERROR(__xludf.DUMMYFUNCTION("GOOGLETRANSLATE('Brawl Stars'!D17,""ru"",""en"")"),"Bo")</f>
        <v>Bo</v>
      </c>
      <c r="E17" s="16"/>
    </row>
    <row r="18" spans="1:5">
      <c r="A18" s="15" t="str">
        <f ca="1">IFERROR(__xludf.DUMMYFUNCTION("GOOGLETRANSLATE('Brawl Stars'!A18,""ru"",""en"")"),"How many crystals does it cost to buy an ultra-legendary fighter?")</f>
        <v>How many crystals does it cost to buy an ultra-legendary fighter?</v>
      </c>
      <c r="B18" s="15" t="str">
        <f ca="1">IFERROR(__xludf.DUMMYFUNCTION("GOOGLETRANSLATE('Brawl Stars'!B18,""ru"",""en"")"),"999")</f>
        <v>999</v>
      </c>
      <c r="C18" s="15" t="str">
        <f ca="1">IFERROR(__xludf.DUMMYFUNCTION("GOOGLETRANSLATE('Brawl Stars'!C18,""ru"",""en"")"),"699")</f>
        <v>699</v>
      </c>
      <c r="D18" s="15" t="str">
        <f ca="1">IFERROR(__xludf.DUMMYFUNCTION("GOOGLETRANSLATE('Brawl Stars'!D18,""ru"",""en"")"),"349")</f>
        <v>349</v>
      </c>
      <c r="E18" s="16"/>
    </row>
    <row r="19" spans="1:5">
      <c r="A19" s="15" t="str">
        <f ca="1">IFERROR(__xludf.DUMMYFUNCTION("GOOGLETRANSLATE('Brawl Stars'!A19,""ru"",""en"")"),"What system replaced Power Race in 2021?")</f>
        <v>What system replaced Power Race in 2021?</v>
      </c>
      <c r="B19" s="15" t="str">
        <f ca="1">IFERROR(__xludf.DUMMYFUNCTION("GOOGLETRANSLATE('Brawl Stars'!B19,""ru"",""en"")"),"Power League")</f>
        <v>Power League</v>
      </c>
      <c r="C19" s="15" t="str">
        <f ca="1">IFERROR(__xludf.DUMMYFUNCTION("GOOGLETRANSLATE('Brawl Stars'!C19,""ru"",""en"")"),"League of Clubs")</f>
        <v>League of Clubs</v>
      </c>
      <c r="D19" s="15" t="str">
        <f ca="1">IFERROR(__xludf.DUMMYFUNCTION("GOOGLETRANSLATE('Brawl Stars'!D19,""ru"",""en"")"),"Championship")</f>
        <v>Championship</v>
      </c>
      <c r="E19" s="16"/>
    </row>
    <row r="20" spans="1:5">
      <c r="A20" s="15" t="str">
        <f ca="1">IFERROR(__xludf.DUMMYFUNCTION("GOOGLETRANSLATE('Brawl Stars'!A20,""ru"",""en"")"),"How many crystals does a team need to collect to win in Crystal Capture mode?")</f>
        <v>How many crystals does a team need to collect to win in Crystal Capture mode?</v>
      </c>
      <c r="B20" s="15" t="str">
        <f ca="1">IFERROR(__xludf.DUMMYFUNCTION("GOOGLETRANSLATE('Brawl Stars'!B20,""ru"",""en"")"),"10")</f>
        <v>10</v>
      </c>
      <c r="C20" s="15" t="str">
        <f ca="1">IFERROR(__xludf.DUMMYFUNCTION("GOOGLETRANSLATE('Brawl Stars'!C20,""ru"",""en"")"),"15")</f>
        <v>15</v>
      </c>
      <c r="D20" s="15" t="str">
        <f ca="1">IFERROR(__xludf.DUMMYFUNCTION("GOOGLETRANSLATE('Brawl Stars'!D20,""ru"",""en"")"),"8")</f>
        <v>8</v>
      </c>
      <c r="E20" s="16"/>
    </row>
    <row r="21" spans="1:5">
      <c r="A21" s="15" t="str">
        <f ca="1">IFERROR(__xludf.DUMMYFUNCTION("GOOGLETRANSLATE('Brawl Stars'!A21,""ru"",""en"")"),"What is the minimum fighter level required for Star Powers to become available?")</f>
        <v>What is the minimum fighter level required for Star Powers to become available?</v>
      </c>
      <c r="B21" s="15" t="str">
        <f ca="1">IFERROR(__xludf.DUMMYFUNCTION("GOOGLETRANSLATE('Brawl Stars'!B21,""ru"",""en"")"),"9")</f>
        <v>9</v>
      </c>
      <c r="C21" s="15" t="str">
        <f ca="1">IFERROR(__xludf.DUMMYFUNCTION("GOOGLETRANSLATE('Brawl Stars'!C21,""ru"",""en"")"),"7")</f>
        <v>7</v>
      </c>
      <c r="D21" s="15" t="str">
        <f ca="1">IFERROR(__xludf.DUMMYFUNCTION("GOOGLETRANSLATE('Brawl Stars'!D21,""ru"",""en"")"),"8")</f>
        <v>8</v>
      </c>
      <c r="E21" s="16"/>
    </row>
    <row r="22" spans="1:5">
      <c r="A22" s="15" t="str">
        <f ca="1">IFERROR(__xludf.DUMMYFUNCTION("GOOGLETRANSLATE('Brawl Stars'!A22,""ru"",""en"")"),"Which game mode replaced another mode in Brawl Stars history?")</f>
        <v>Which game mode replaced another mode in Brawl Stars history?</v>
      </c>
      <c r="B22" s="15" t="str">
        <f ca="1">IFERROR(__xludf.DUMMYFUNCTION("GOOGLETRANSLATE('Brawl Stars'!B22,""ru"",""en"")"),"Hot Zone replaced Siege")</f>
        <v>Hot Zone replaced Siege</v>
      </c>
      <c r="C22" s="15" t="str">
        <f ca="1">IFERROR(__xludf.DUMMYFUNCTION("GOOGLETRANSLATE('Brawl Stars'!C22,""ru"",""en"")"),"Brawlball replaced Capture")</f>
        <v>Brawlball replaced Capture</v>
      </c>
      <c r="D22" s="15" t="str">
        <f ca="1">IFERROR(__xludf.DUMMYFUNCTION("GOOGLETRANSLATE('Brawl Stars'!D22,""ru"",""en"")"),"The reward replaced the robbery.")</f>
        <v>The reward replaced the robbery.</v>
      </c>
      <c r="E22" s="16"/>
    </row>
    <row r="23" spans="1:5">
      <c r="A23" s="15" t="str">
        <f ca="1">IFERROR(__xludf.DUMMYFUNCTION("GOOGLETRANSLATE('Brawl Stars'!A23,""ru"",""en"")"),"How many players participate in one Clash match?")</f>
        <v>How many players participate in one Clash match?</v>
      </c>
      <c r="B23" s="15" t="str">
        <f ca="1">IFERROR(__xludf.DUMMYFUNCTION("GOOGLETRANSLATE('Brawl Stars'!B23,""ru"",""en"")"),"10")</f>
        <v>10</v>
      </c>
      <c r="C23" s="15" t="str">
        <f ca="1">IFERROR(__xludf.DUMMYFUNCTION("GOOGLETRANSLATE('Brawl Stars'!C23,""ru"",""en"")"),"6")</f>
        <v>6</v>
      </c>
      <c r="D23" s="15" t="str">
        <f ca="1">IFERROR(__xludf.DUMMYFUNCTION("GOOGLETRANSLATE('Brawl Stars'!D23,""ru"",""en"")"),"8")</f>
        <v>8</v>
      </c>
      <c r="E23" s="16"/>
    </row>
    <row r="24" spans="1:5">
      <c r="A24" s="15" t="str">
        <f ca="1">IFERROR(__xludf.DUMMYFUNCTION("GOOGLETRANSLATE('Brawl Stars'!A24,""ru"",""en"")"),"What happens to a fighter in Clash mode when they take damage from poison gas?")</f>
        <v>What happens to a fighter in Clash mode when they take damage from poison gas?</v>
      </c>
      <c r="B24" s="15" t="str">
        <f ca="1">IFERROR(__xludf.DUMMYFUNCTION("GOOGLETRANSLATE('Brawl Stars'!B24,""ru"",""en"")"),"Loses health gradually")</f>
        <v>Loses health gradually</v>
      </c>
      <c r="C24" s="15" t="str">
        <f ca="1">IFERROR(__xludf.DUMMYFUNCTION("GOOGLETRANSLATE('Brawl Stars'!C24,""ru"",""en"")"),"Dies instantly")</f>
        <v>Dies instantly</v>
      </c>
      <c r="D24" s="15" t="str">
        <f ca="1">IFERROR(__xludf.DUMMYFUNCTION("GOOGLETRANSLATE('Brawl Stars'!D24,""ru"",""en"")"),"Slowing down")</f>
        <v>Slowing down</v>
      </c>
      <c r="E24" s="16"/>
    </row>
    <row r="25" spans="1:5">
      <c r="A25" s="15" t="str">
        <f ca="1">IFERROR(__xludf.DUMMYFUNCTION("GOOGLETRANSLATE('Brawl Stars'!A25,""ru"",""en"")"),"What is the maximum health point a safe has in Heist mode?")</f>
        <v>What is the maximum health point a safe has in Heist mode?</v>
      </c>
      <c r="B25" s="15" t="str">
        <f ca="1">IFERROR(__xludf.DUMMYFUNCTION("GOOGLETRANSLATE('Brawl Stars'!B25,""ru"",""en"")"),"45,000")</f>
        <v>45,000</v>
      </c>
      <c r="C25" s="15" t="str">
        <f ca="1">IFERROR(__xludf.DUMMYFUNCTION("GOOGLETRANSLATE('Brawl Stars'!C25,""ru"",""en"")"),"50,000")</f>
        <v>50,000</v>
      </c>
      <c r="D25" s="15" t="str">
        <f ca="1">IFERROR(__xludf.DUMMYFUNCTION("GOOGLETRANSLATE('Brawl Stars'!D25,""ru"",""en"")"),"40,000")</f>
        <v>40,000</v>
      </c>
      <c r="E25" s="16"/>
    </row>
    <row r="26" spans="1:5">
      <c r="A26" s="15" t="str">
        <f ca="1">IFERROR(__xludf.DUMMYFUNCTION("GOOGLETRANSLATE('Brawl Stars'!A26,""ru"",""en"")"),"In which mode do players have to control zones on the map?")</f>
        <v>In which mode do players have to control zones on the map?</v>
      </c>
      <c r="B26" s="15" t="str">
        <f ca="1">IFERROR(__xludf.DUMMYFUNCTION("GOOGLETRANSLATE('Brawl Stars'!B26,""ru"",""en"")"),"Hot zone")</f>
        <v>Hot zone</v>
      </c>
      <c r="C26" s="15" t="str">
        <f ca="1">IFERROR(__xludf.DUMMYFUNCTION("GOOGLETRANSLATE('Brawl Stars'!C26,""ru"",""en"")"),"Crystal Capture")</f>
        <v>Crystal Capture</v>
      </c>
      <c r="D26" s="15" t="str">
        <f ca="1">IFERROR(__xludf.DUMMYFUNCTION("GOOGLETRANSLATE('Brawl Stars'!D26,""ru"",""en"")"),"Reward")</f>
        <v>Reward</v>
      </c>
      <c r="E26" s="16"/>
    </row>
    <row r="27" spans="1:5">
      <c r="A27" s="15" t="str">
        <f ca="1">IFERROR(__xludf.DUMMYFUNCTION("GOOGLETRANSLATE('Brawl Stars'!A27,""ru"",""en"")"),"Which fighter class is best for defense in Heist mode?")</f>
        <v>Which fighter class is best for defense in Heist mode?</v>
      </c>
      <c r="B27" s="15" t="str">
        <f ca="1">IFERROR(__xludf.DUMMYFUNCTION("GOOGLETRANSLATE('Brawl Stars'!B27,""ru"",""en"")"),"Tanks")</f>
        <v>Tanks</v>
      </c>
      <c r="C27" s="15" t="str">
        <f ca="1">IFERROR(__xludf.DUMMYFUNCTION("GOOGLETRANSLATE('Brawl Stars'!C27,""ru"",""en"")"),"Snipers")</f>
        <v>Snipers</v>
      </c>
      <c r="D27" s="15" t="str">
        <f ca="1">IFERROR(__xludf.DUMMYFUNCTION("GOOGLETRANSLATE('Brawl Stars'!D27,""ru"",""en"")"),"Killers")</f>
        <v>Killers</v>
      </c>
      <c r="E27" s="16"/>
    </row>
    <row r="28" spans="1:5">
      <c r="A28" s="15" t="str">
        <f ca="1">IFERROR(__xludf.DUMMYFUNCTION("GOOGLETRANSLATE('Brawl Stars'!A28,""ru"",""en"")"),"What is the main goal in Reward mode?")</f>
        <v>What is the main goal in Reward mode?</v>
      </c>
      <c r="B28" s="15" t="str">
        <f ca="1">IFERROR(__xludf.DUMMYFUNCTION("GOOGLETRANSLATE('Brawl Stars'!B28,""ru"",""en"")"),"Get more stars for kills")</f>
        <v>Get more stars for kills</v>
      </c>
      <c r="C28" s="15" t="str">
        <f ca="1">IFERROR(__xludf.DUMMYFUNCTION("GOOGLETRANSLATE('Brawl Stars'!C28,""ru"",""en"")"),"Capture the crystals")</f>
        <v>Capture the crystals</v>
      </c>
      <c r="D28" s="15" t="str">
        <f ca="1">IFERROR(__xludf.DUMMYFUNCTION("GOOGLETRANSLATE('Brawl Stars'!D28,""ru"",""en"")"),"Destroy the safe")</f>
        <v>Destroy the safe</v>
      </c>
      <c r="E28" s="16"/>
    </row>
    <row r="29" spans="1:5">
      <c r="A29" s="15" t="str">
        <f ca="1">IFERROR(__xludf.DUMMYFUNCTION("GOOGLETRANSLATE('Brawl Stars'!A29,""ru"",""en"")"),"How many fighter classes are there in Brawl Stars?")</f>
        <v>How many fighter classes are there in Brawl Stars?</v>
      </c>
      <c r="B29" s="15" t="str">
        <f ca="1">IFERROR(__xludf.DUMMYFUNCTION("GOOGLETRANSLATE('Brawl Stars'!B29,""ru"",""en"")"),"7")</f>
        <v>7</v>
      </c>
      <c r="C29" s="15" t="str">
        <f ca="1">IFERROR(__xludf.DUMMYFUNCTION("GOOGLETRANSLATE('Brawl Stars'!C29,""ru"",""en"")"),"6")</f>
        <v>6</v>
      </c>
      <c r="D29" s="15" t="str">
        <f ca="1">IFERROR(__xludf.DUMMYFUNCTION("GOOGLETRANSLATE('Brawl Stars'!D29,""ru"",""en"")"),"8")</f>
        <v>8</v>
      </c>
      <c r="E29" s="16"/>
    </row>
    <row r="30" spans="1:5">
      <c r="A30" s="15" t="str">
        <f ca="1">IFERROR(__xludf.DUMMYFUNCTION("GOOGLETRANSLATE('Brawl Stars'!A30,""ru"",""en"")"),"Which class of fighter specializes in territory control?")</f>
        <v>Which class of fighter specializes in territory control?</v>
      </c>
      <c r="B30" s="15" t="str">
        <f ca="1">IFERROR(__xludf.DUMMYFUNCTION("GOOGLETRANSLATE('Brawl Stars'!B30,""ru"",""en"")"),"Artillery")</f>
        <v>Artillery</v>
      </c>
      <c r="C30" s="15" t="str">
        <f ca="1">IFERROR(__xludf.DUMMYFUNCTION("GOOGLETRANSLATE('Brawl Stars'!C30,""ru"",""en"")"),"Tank")</f>
        <v>Tank</v>
      </c>
      <c r="D30" s="15" t="str">
        <f ca="1">IFERROR(__xludf.DUMMYFUNCTION("GOOGLETRANSLATE('Brawl Stars'!D30,""ru"",""en"")"),"Murderer")</f>
        <v>Murderer</v>
      </c>
      <c r="E30" s="16"/>
    </row>
    <row r="31" spans="1:5">
      <c r="A31" s="15" t="str">
        <f ca="1">IFERROR(__xludf.DUMMYFUNCTION("GOOGLETRANSLATE('Brawl Stars'!A31,""ru"",""en"")"),"What is the name of the progression system added in May 2020?")</f>
        <v>What is the name of the progression system added in May 2020?</v>
      </c>
      <c r="B31" s="15" t="str">
        <f ca="1">IFERROR(__xludf.DUMMYFUNCTION("GOOGLETRANSLATE('Brawl Stars'!B31,""ru"",""en"")"),"Brawl Pass")</f>
        <v>Brawl Pass</v>
      </c>
      <c r="C31" s="15" t="str">
        <f ca="1">IFERROR(__xludf.DUMMYFUNCTION("GOOGLETRANSLATE('Brawl Stars'!C31,""ru"",""en"")"),"Power League")</f>
        <v>Power League</v>
      </c>
      <c r="D31" s="15" t="str">
        <f ca="1">IFERROR(__xludf.DUMMYFUNCTION("GOOGLETRANSLATE('Brawl Stars'!D31,""ru"",""en"")"),"League of Clubs")</f>
        <v>League of Clubs</v>
      </c>
      <c r="E31" s="16"/>
    </row>
    <row r="32" spans="1:5">
      <c r="A32" s="15" t="str">
        <f ca="1">IFERROR(__xludf.DUMMYFUNCTION("GOOGLETRANSLATE('Brawl Stars'!A32,""ru"",""en"")"),"Which fighter is the only starting fighter in the game?")</f>
        <v>Which fighter is the only starting fighter in the game?</v>
      </c>
      <c r="B32" s="15" t="str">
        <f ca="1">IFERROR(__xludf.DUMMYFUNCTION("GOOGLETRANSLATE('Brawl Stars'!B32,""ru"",""en"")"),"Shelley")</f>
        <v>Shelley</v>
      </c>
      <c r="C32" s="15" t="str">
        <f ca="1">IFERROR(__xludf.DUMMYFUNCTION("GOOGLETRANSLATE('Brawl Stars'!C32,""ru"",""en"")"),"Colt")</f>
        <v>Colt</v>
      </c>
      <c r="D32" s="15" t="str">
        <f ca="1">IFERROR(__xludf.DUMMYFUNCTION("GOOGLETRANSLATE('Brawl Stars'!D32,""ru"",""en"")"),"Nita")</f>
        <v>Nita</v>
      </c>
      <c r="E32" s="16"/>
    </row>
    <row r="33" spans="1:26">
      <c r="A33" s="15" t="str">
        <f ca="1">IFERROR(__xludf.DUMMYFUNCTION("GOOGLETRANSLATE('Brawl Stars'!A33,""ru"",""en"")"),"How many trophies on Path to Glory will get you Nita?")</f>
        <v>How many trophies on Path to Glory will get you Nita?</v>
      </c>
      <c r="B33" s="15" t="str">
        <f ca="1">IFERROR(__xludf.DUMMYFUNCTION("GOOGLETRANSLATE('Brawl Stars'!B33,""ru"",""en"")"),"15")</f>
        <v>15</v>
      </c>
      <c r="C33" s="15" t="str">
        <f ca="1">IFERROR(__xludf.DUMMYFUNCTION("GOOGLETRANSLATE('Brawl Stars'!C33,""ru"",""en"")"),"210")</f>
        <v>210</v>
      </c>
      <c r="D33" s="15" t="str">
        <f ca="1">IFERROR(__xludf.DUMMYFUNCTION("GOOGLETRANSLATE('Brawl Stars'!D33,""ru"",""en"")"),"405")</f>
        <v>405</v>
      </c>
      <c r="E33" s="16"/>
    </row>
    <row r="34" spans="1:26">
      <c r="A34" s="15" t="str">
        <f ca="1">IFERROR(__xludf.DUMMYFUNCTION("GOOGLETRANSLATE('Brawl Stars'!A34,""ru"",""en"")"),"Which star power of Bo's allows him to see enemies in bushes from a greater distance?")</f>
        <v>Which star power of Bo's allows him to see enemies in bushes from a greater distance?</v>
      </c>
      <c r="B34" s="15" t="str">
        <f ca="1">IFERROR(__xludf.DUMMYFUNCTION("GOOGLETRANSLATE('Brawl Stars'!B34,""ru"",""en"")"),"Soaring Eagle")</f>
        <v>Soaring Eagle</v>
      </c>
      <c r="C34" s="15" t="str">
        <f ca="1">IFERROR(__xludf.DUMMYFUNCTION("GOOGLETRANSLATE('Brawl Stars'!C34,""ru"",""en"")"),"Bear trap")</f>
        <v>Bear trap</v>
      </c>
      <c r="D34" s="15" t="str">
        <f ca="1">IFERROR(__xludf.DUMMYFUNCTION("GOOGLETRANSLATE('Brawl Stars'!D34,""ru"",""en"")"),"Keen eye")</f>
        <v>Keen eye</v>
      </c>
      <c r="E34" s="16"/>
    </row>
    <row r="35" spans="1:26">
      <c r="A35" s="15" t="str">
        <f ca="1">IFERROR(__xludf.DUMMYFUNCTION("GOOGLETRANSLATE('Brawl Stars'!A35,""ru"",""en"")"),"What gadget does Mortis have that allows him to spin with a shovel?")</f>
        <v>What gadget does Mortis have that allows him to spin with a shovel?</v>
      </c>
      <c r="B35" s="15" t="str">
        <f ca="1">IFERROR(__xludf.DUMMYFUNCTION("GOOGLETRANSLATE('Brawl Stars'!B35,""ru"",""en"")"),"Combo spinner")</f>
        <v>Combo spinner</v>
      </c>
      <c r="C35" s="15" t="str">
        <f ca="1">IFERROR(__xludf.DUMMYFUNCTION("GOOGLETRANSLATE('Brawl Stars'!C35,""ru"",""en"")"),"Light shovel")</f>
        <v>Light shovel</v>
      </c>
      <c r="D35" s="15" t="str">
        <f ca="1">IFERROR(__xludf.DUMMYFUNCTION("GOOGLETRANSLATE('Brawl Stars'!D35,""ru"",""en"")"),"Shadow Strike")</f>
        <v>Shadow Strike</v>
      </c>
      <c r="E35" s="16"/>
    </row>
    <row r="36" spans="1:26">
      <c r="A36" s="15" t="str">
        <f ca="1">IFERROR(__xludf.DUMMYFUNCTION("GOOGLETRANSLATE('Brawl Stars'!A36,""ru"",""en"")"),"How many seconds does it take to recharge Nita's Bear Paws gadget?")</f>
        <v>How many seconds does it take to recharge Nita's Bear Paws gadget?</v>
      </c>
      <c r="B36" s="15" t="str">
        <f ca="1">IFERROR(__xludf.DUMMYFUNCTION("GOOGLETRANSLATE('Brawl Stars'!B36,""ru"",""en"")"),"13")</f>
        <v>13</v>
      </c>
      <c r="C36" s="15" t="str">
        <f ca="1">IFERROR(__xludf.DUMMYFUNCTION("GOOGLETRANSLATE('Brawl Stars'!C36,""ru"",""en"")"),"14")</f>
        <v>14</v>
      </c>
      <c r="D36" s="15" t="str">
        <f ca="1">IFERROR(__xludf.DUMMYFUNCTION("GOOGLETRANSLATE('Brawl Stars'!D36,""ru"",""en"")"),"15")</f>
        <v>15</v>
      </c>
      <c r="E36" s="16"/>
    </row>
    <row r="37" spans="1:26">
      <c r="A37" s="15" t="str">
        <f ca="1">IFERROR(__xludf.DUMMYFUNCTION("GOOGLETRANSLATE('Brawl Stars'!A37,""ru"",""en"")"),"What color represents the mythical rarity of fighters?")</f>
        <v>What color represents the mythical rarity of fighters?</v>
      </c>
      <c r="B37" s="15" t="str">
        <f ca="1">IFERROR(__xludf.DUMMYFUNCTION("GOOGLETRANSLATE('Brawl Stars'!B37,""ru"",""en"")"),"Red")</f>
        <v>Red</v>
      </c>
      <c r="C37" s="15" t="str">
        <f ca="1">IFERROR(__xludf.DUMMYFUNCTION("GOOGLETRANSLATE('Brawl Stars'!C37,""ru"",""en"")"),"Violet")</f>
        <v>Violet</v>
      </c>
      <c r="D37" s="15" t="str">
        <f ca="1">IFERROR(__xludf.DUMMYFUNCTION("GOOGLETRANSLATE('Brawl Stars'!D37,""ru"",""en"")"),"Yellow")</f>
        <v>Yellow</v>
      </c>
      <c r="E37" s="16"/>
    </row>
    <row r="38" spans="1:26">
      <c r="A38" s="15" t="str">
        <f ca="1">IFERROR(__xludf.DUMMYFUNCTION("GOOGLETRANSLATE('Brawl Stars'!A38,""ru"",""en"")"),"How many trophies does it cost to get El Primo on Road to Glory?")</f>
        <v>How many trophies does it cost to get El Primo on Road to Glory?</v>
      </c>
      <c r="B38" s="15" t="str">
        <f ca="1">IFERROR(__xludf.DUMMYFUNCTION("GOOGLETRANSLATE('Brawl Stars'!B38,""ru"",""en"")"),"210")</f>
        <v>210</v>
      </c>
      <c r="C38" s="15" t="str">
        <f ca="1">IFERROR(__xludf.DUMMYFUNCTION("GOOGLETRANSLATE('Brawl Stars'!C38,""ru"",""en"")"),"15")</f>
        <v>15</v>
      </c>
      <c r="D38" s="15" t="str">
        <f ca="1">IFERROR(__xludf.DUMMYFUNCTION("GOOGLETRANSLATE('Brawl Stars'!D38,""ru"",""en"")"),"405")</f>
        <v>405</v>
      </c>
      <c r="E38" s="16"/>
    </row>
    <row r="39" spans="1:26">
      <c r="A39" s="15" t="str">
        <f ca="1">IFERROR(__xludf.DUMMYFUNCTION("GOOGLETRANSLATE('Brawl Stars'!A39,""ru"",""en"")"),"Which Emz star power increases damage with each hit?")</f>
        <v>Which Emz star power increases damage with each hit?</v>
      </c>
      <c r="B39" s="15" t="str">
        <f ca="1">IFERROR(__xludf.DUMMYFUNCTION("GOOGLETRANSLATE('Brawl Stars'!B39,""ru"",""en"")"),"Bad karma")</f>
        <v>Bad karma</v>
      </c>
      <c r="C39" s="15" t="str">
        <f ca="1">IFERROR(__xludf.DUMMYFUNCTION("GOOGLETRANSLATE('Brawl Stars'!C39,""ru"",""en"")"),"Hype")</f>
        <v>Hype</v>
      </c>
      <c r="D39" s="15" t="str">
        <f ca="1">IFERROR(__xludf.DUMMYFUNCTION("GOOGLETRANSLATE('Brawl Stars'!D39,""ru"",""en"")"),"Toxicity")</f>
        <v>Toxicity</v>
      </c>
      <c r="E39" s="16"/>
    </row>
    <row r="40" spans="1:26">
      <c r="A40" s="15" t="str">
        <f ca="1">IFERROR(__xludf.DUMMYFUNCTION("GOOGLETRANSLATE('Brawl Stars'!A40,""ru"",""en"")"),"How much health does Emz restore from each enemy in the Super's range with the Hype star power?")</f>
        <v>How much health does Emz restore from each enemy in the Super's range with the Hype star power?</v>
      </c>
      <c r="B40" s="15" t="str">
        <f ca="1">IFERROR(__xludf.DUMMYFUNCTION("GOOGLETRANSLATE('Brawl Stars'!B40,""ru"",""en"")"),"576")</f>
        <v>576</v>
      </c>
      <c r="C40" s="15" t="str">
        <f ca="1">IFERROR(__xludf.DUMMYFUNCTION("GOOGLETRANSLATE('Brawl Stars'!C40,""ru"",""en"")"),"500")</f>
        <v>500</v>
      </c>
      <c r="D40" s="15" t="str">
        <f ca="1">IFERROR(__xludf.DUMMYFUNCTION("GOOGLETRANSLATE('Brawl Stars'!D40,""ru"",""en"")"),"600")</f>
        <v>600</v>
      </c>
      <c r="E40" s="16"/>
    </row>
    <row r="41" spans="1:26">
      <c r="A41" s="15" t="str">
        <f ca="1">IFERROR(__xludf.DUMMYFUNCTION("GOOGLETRANSLATE('Brawl Stars'!A41,""ru"",""en"")"),"What rarity was removed in December 2022?")</f>
        <v>What rarity was removed in December 2022?</v>
      </c>
      <c r="B41" s="15" t="str">
        <f ca="1">IFERROR(__xludf.DUMMYFUNCTION("GOOGLETRANSLATE('Brawl Stars'!B41,""ru"",""en"")"),"Reward on the Path to Glory")</f>
        <v>Reward on the Path to Glory</v>
      </c>
      <c r="C41" s="15" t="str">
        <f ca="1">IFERROR(__xludf.DUMMYFUNCTION("GOOGLETRANSLATE('Brawl Stars'!C41,""ru"",""en"")"),"Chromatic")</f>
        <v>Chromatic</v>
      </c>
      <c r="D41" s="15" t="str">
        <f ca="1">IFERROR(__xludf.DUMMYFUNCTION("GOOGLETRANSLATE('Brawl Stars'!D41,""ru"",""en"")"),"Temporary")</f>
        <v>Temporary</v>
      </c>
      <c r="E41" s="16"/>
    </row>
    <row r="42" spans="1:26">
      <c r="A42" s="15" t="str">
        <f ca="1">IFERROR(__xludf.DUMMYFUNCTION("GOOGLETRANSLATE('Brawl Stars'!A42,""ru"",""en"")"),"What gadget does Spike have that allows him to shoot needles in all directions?")</f>
        <v>What gadget does Spike have that allows him to shoot needles in all directions?</v>
      </c>
      <c r="B42" s="15" t="str">
        <f ca="1">IFERROR(__xludf.DUMMYFUNCTION("GOOGLETRANSLATE('Brawl Stars'!B42,""ru"",""en"")"),"Pincushion")</f>
        <v>Pincushion</v>
      </c>
      <c r="C42" s="15" t="str">
        <f ca="1">IFERROR(__xludf.DUMMYFUNCTION("GOOGLETRANSLATE('Brawl Stars'!C42,""ru"",""en"")"),"Cactus of Life")</f>
        <v>Cactus of Life</v>
      </c>
      <c r="D42" s="15" t="str">
        <f ca="1">IFERROR(__xludf.DUMMYFUNCTION("GOOGLETRANSLATE('Brawl Stars'!D42,""ru"",""en"")"),"Prickly ball")</f>
        <v>Prickly ball</v>
      </c>
      <c r="E42" s="16"/>
    </row>
    <row r="43" spans="1:26">
      <c r="A43" s="15" t="str">
        <f ca="1">IFERROR(__xludf.DUMMYFUNCTION("GOOGLETRANSLATE('Brawl Stars'!A43,""ru"",""en"")"),"How much health does Spike's Life Cactus restore to allies upon death?")</f>
        <v>How much health does Spike's Life Cactus restore to allies upon death?</v>
      </c>
      <c r="B43" s="15" t="str">
        <f ca="1">IFERROR(__xludf.DUMMYFUNCTION("GOOGLETRANSLATE('Brawl Stars'!B43,""ru"",""en"")"),"1680")</f>
        <v>1680</v>
      </c>
      <c r="C43" s="15" t="str">
        <f ca="1">IFERROR(__xludf.DUMMYFUNCTION("GOOGLETRANSLATE('Brawl Stars'!C43,""ru"",""en"")"),"1500")</f>
        <v>1500</v>
      </c>
      <c r="D43" s="15" t="str">
        <f ca="1">IFERROR(__xludf.DUMMYFUNCTION("GOOGLETRANSLATE('Brawl Stars'!D43,""ru"",""en"")"),"1800")</f>
        <v>1800</v>
      </c>
      <c r="E43" s="16"/>
    </row>
    <row r="44" spans="1:26">
      <c r="A44" s="15" t="str">
        <f ca="1">IFERROR(__xludf.DUMMYFUNCTION("GOOGLETRANSLATE('Brawl Stars'!A44,""ru"",""en"")"),"What two forms can Kaze take?")</f>
        <v>What two forms can Kaze take?</v>
      </c>
      <c r="B44" s="15" t="str">
        <f ca="1">IFERROR(__xludf.DUMMYFUNCTION("GOOGLETRANSLATE('Brawl Stars'!B44,""ru"",""en"")"),"Geisha and Ninja")</f>
        <v>Geisha and Ninja</v>
      </c>
      <c r="C44" s="15" t="str">
        <f ca="1">IFERROR(__xludf.DUMMYFUNCTION("GOOGLETRANSLATE('Brawl Stars'!C44,""ru"",""en"")"),"Samurai and Monk")</f>
        <v>Samurai and Monk</v>
      </c>
      <c r="D44" s="15" t="str">
        <f ca="1">IFERROR(__xludf.DUMMYFUNCTION("GOOGLETRANSLATE('Brawl Stars'!D44,""ru"",""en"")"),"Warrior and Mage")</f>
        <v>Warrior and Mage</v>
      </c>
      <c r="E44" s="16"/>
    </row>
    <row r="45" spans="1:26">
      <c r="A45" s="15" t="str">
        <f ca="1">IFERROR(__xludf.DUMMYFUNCTION("GOOGLETRANSLATE('Brawl Stars'!A45,""ru"",""en"")"),"How many seconds does Kaze become invisible for when using the Hospitable Hostess gadget as a Geisha?")</f>
        <v>How many seconds does Kaze become invisible for when using the Hospitable Hostess gadget as a Geisha?</v>
      </c>
      <c r="B45" s="15" t="str">
        <f ca="1">IFERROR(__xludf.DUMMYFUNCTION("GOOGLETRANSLATE('Brawl Stars'!B45,""ru"",""en"")"),"2")</f>
        <v>2</v>
      </c>
      <c r="C45" s="15" t="str">
        <f ca="1">IFERROR(__xludf.DUMMYFUNCTION("GOOGLETRANSLATE('Brawl Stars'!C45,""ru"",""en"")"),"3")</f>
        <v>3</v>
      </c>
      <c r="D45" s="15" t="str">
        <f ca="1">IFERROR(__xludf.DUMMYFUNCTION("GOOGLETRANSLATE('Brawl Stars'!D45,""ru"",""en"")"),"1")</f>
        <v>1</v>
      </c>
      <c r="E45" s="16"/>
    </row>
    <row r="46" spans="1:26">
      <c r="A46" s="15" t="str">
        <f ca="1">IFERROR(__xludf.DUMMYFUNCTION("GOOGLETRANSLATE('Brawl Stars'!A46,""ru"",""en"")"),"Which fighter was added with the Hypercharge mechanic?")</f>
        <v>Which fighter was added with the Hypercharge mechanic?</v>
      </c>
      <c r="B46" s="15" t="str">
        <f ca="1">IFERROR(__xludf.DUMMYFUNCTION("GOOGLETRANSLATE('Brawl Stars'!B46,""ru"",""en"")"),"Chuck")</f>
        <v>Chuck</v>
      </c>
      <c r="C46" s="15" t="str">
        <f ca="1">IFERROR(__xludf.DUMMYFUNCTION("GOOGLETRANSLATE('Brawl Stars'!C46,""ru"",""en"")"),"Charlie")</f>
        <v>Charlie</v>
      </c>
      <c r="D46" s="15" t="str">
        <f ca="1">IFERROR(__xludf.DUMMYFUNCTION("GOOGLETRANSLATE('Brawl Stars'!D46,""ru"",""en"")"),"Chester")</f>
        <v>Chester</v>
      </c>
      <c r="E46" s="17"/>
      <c r="F46" s="18"/>
      <c r="G46" s="18"/>
      <c r="H46" s="18"/>
      <c r="I46" s="18"/>
      <c r="J46" s="18"/>
      <c r="K46" s="18"/>
      <c r="L46" s="18"/>
      <c r="M46" s="18"/>
      <c r="N46" s="18"/>
      <c r="O46" s="18"/>
      <c r="P46" s="18"/>
      <c r="Q46" s="18"/>
      <c r="R46" s="18"/>
      <c r="S46" s="18"/>
      <c r="T46" s="18"/>
      <c r="U46" s="18"/>
      <c r="V46" s="18"/>
      <c r="W46" s="18"/>
      <c r="X46" s="18"/>
      <c r="Y46" s="18"/>
      <c r="Z46" s="18"/>
    </row>
    <row r="47" spans="1:26">
      <c r="A47" s="15" t="str">
        <f ca="1">IFERROR(__xludf.DUMMYFUNCTION("GOOGLETRANSLATE('Brawl Stars'!A47,""ru"",""en"")"),"What gadget allows Colt to instantly reload his revolvers with 2 bullets?")</f>
        <v>What gadget allows Colt to instantly reload his revolvers with 2 bullets?</v>
      </c>
      <c r="B47" s="15" t="str">
        <f ca="1">IFERROR(__xludf.DUMMYFUNCTION("GOOGLETRANSLATE('Brawl Stars'!B47,""ru"",""en"")"),"Recharging device")</f>
        <v>Recharging device</v>
      </c>
      <c r="C47" s="15" t="str">
        <f ca="1">IFERROR(__xludf.DUMMYFUNCTION("GOOGLETRANSLATE('Brawl Stars'!C47,""ru"",""en"")"),"Silver bullet")</f>
        <v>Silver bullet</v>
      </c>
      <c r="D47" s="15" t="str">
        <f ca="1">IFERROR(__xludf.DUMMYFUNCTION("GOOGLETRANSLATE('Brawl Stars'!D47,""ru"",""en"")"),"Quick Shot")</f>
        <v>Quick Shot</v>
      </c>
      <c r="E47" s="16"/>
    </row>
    <row r="48" spans="1:26">
      <c r="A48" s="15" t="str">
        <f ca="1">IFERROR(__xludf.DUMMYFUNCTION("GOOGLETRANSLATE('Brawl Stars'!A48,""ru"",""en"")"),"How much damage does Colt's next attack do when using the Silver Bullet gadget?")</f>
        <v>How much damage does Colt's next attack do when using the Silver Bullet gadget?</v>
      </c>
      <c r="B48" s="15" t="str">
        <f ca="1">IFERROR(__xludf.DUMMYFUNCTION("GOOGLETRANSLATE('Brawl Stars'!B48,""ru"",""en"")"),"Same as 2 regular bullets")</f>
        <v>Same as 2 regular bullets</v>
      </c>
      <c r="C48" s="15" t="str">
        <f ca="1">IFERROR(__xludf.DUMMYFUNCTION("GOOGLETRANSLATE('Brawl Stars'!C48,""ru"",""en"")"),"3 times more than usual")</f>
        <v>3 times more than usual</v>
      </c>
      <c r="D48" s="15" t="str">
        <f ca="1">IFERROR(__xludf.DUMMYFUNCTION("GOOGLETRANSLATE('Brawl Stars'!D48,""ru"",""en"")"),"1.5 times more than usual")</f>
        <v>1.5 times more than usual</v>
      </c>
      <c r="E48" s="16"/>
    </row>
    <row r="49" spans="1:26">
      <c r="A49" s="15" t="str">
        <f ca="1">IFERROR(__xludf.DUMMYFUNCTION("GOOGLETRANSLATE('Brawl Stars'!A49,""ru"",""en"")"),"What effect does Jessie's turret have when using the Spark Plug gadget?")</f>
        <v>What effect does Jessie's turret have when using the Spark Plug gadget?</v>
      </c>
      <c r="B49" s="15" t="str">
        <f ca="1">IFERROR(__xludf.DUMMYFUNCTION("GOOGLETRANSLATE('Brawl Stars'!B49,""ru"",""en"")"),"Slows all enemies in the area of ​​effect.")</f>
        <v>Slows all enemies in the area of ​​effect.</v>
      </c>
      <c r="C49" s="15" t="str">
        <f ca="1">IFERROR(__xludf.DUMMYFUNCTION("GOOGLETRANSLATE('Brawl Stars'!C49,""ru"",""en"")"),"Deals additional damage")</f>
        <v>Deals additional damage</v>
      </c>
      <c r="D49" s="15" t="str">
        <f ca="1">IFERROR(__xludf.DUMMYFUNCTION("GOOGLETRANSLATE('Brawl Stars'!D49,""ru"",""en"")"),"Heals allies")</f>
        <v>Heals allies</v>
      </c>
      <c r="E49" s="16"/>
    </row>
    <row r="50" spans="1:26">
      <c r="A50" s="15" t="str">
        <f ca="1">IFERROR(__xludf.DUMMYFUNCTION("GOOGLETRANSLATE('Brawl Stars'!A50,""ru"",""en"")"),"How many seconds does Scrappy's attack speed increase when using the Spring gadget?")</f>
        <v>How many seconds does Scrappy's attack speed increase when using the Spring gadget?</v>
      </c>
      <c r="B50" s="15" t="str">
        <f ca="1">IFERROR(__xludf.DUMMYFUNCTION("GOOGLETRANSLATE('Brawl Stars'!B50,""ru"",""en"")"),"5")</f>
        <v>5</v>
      </c>
      <c r="C50" s="15" t="str">
        <f ca="1">IFERROR(__xludf.DUMMYFUNCTION("GOOGLETRANSLATE('Brawl Stars'!C50,""ru"",""en"")"),"3")</f>
        <v>3</v>
      </c>
      <c r="D50" s="15" t="str">
        <f ca="1">IFERROR(__xludf.DUMMYFUNCTION("GOOGLETRANSLATE('Brawl Stars'!D50,""ru"",""en"")"),"7")</f>
        <v>7</v>
      </c>
      <c r="E50" s="16"/>
    </row>
    <row r="51" spans="1:26">
      <c r="A51" s="15" t="str">
        <f ca="1">IFERROR(__xludf.DUMMYFUNCTION("GOOGLETRANSLATE('Brawl Stars'!A51,""ru"",""en"")"),"What gadget does Bo have that makes all of his mines explode at once?")</f>
        <v>What gadget does Bo have that makes all of his mines explode at once?</v>
      </c>
      <c r="B51" s="15" t="str">
        <f ca="1">IFERROR(__xludf.DUMMYFUNCTION("GOOGLETRANSLATE('Brawl Stars'!B51,""ru"",""en"")"),"Stretching")</f>
        <v>Stretching</v>
      </c>
      <c r="C51" s="15" t="str">
        <f ca="1">IFERROR(__xludf.DUMMYFUNCTION("GOOGLETRANSLATE('Brawl Stars'!C51,""ru"",""en"")"),"Supertotem")</f>
        <v>Supertotem</v>
      </c>
      <c r="D51" s="15" t="str">
        <f ca="1">IFERROR(__xludf.DUMMYFUNCTION("GOOGLETRANSLATE('Brawl Stars'!D51,""ru"",""en"")"),"Minefield")</f>
        <v>Minefield</v>
      </c>
      <c r="E51" s="16"/>
    </row>
    <row r="52" spans="1:26">
      <c r="A52" s="15" t="str">
        <f ca="1">IFERROR(__xludf.DUMMYFUNCTION("GOOGLETRANSLATE('Brawl Stars'!A52,""ru"",""en"")"),"What is the delay before Bo mines explode when using the Tripwire gadget?")</f>
        <v>What is the delay before Bo mines explode when using the Tripwire gadget?</v>
      </c>
      <c r="B52" s="15" t="str">
        <f ca="1">IFERROR(__xludf.DUMMYFUNCTION("GOOGLETRANSLATE('Brawl Stars'!B52,""ru"",""en"")"),"1.5 seconds")</f>
        <v>1.5 seconds</v>
      </c>
      <c r="C52" s="15" t="str">
        <f ca="1">IFERROR(__xludf.DUMMYFUNCTION("GOOGLETRANSLATE('Brawl Stars'!C52,""ru"",""en"")"),"1 second")</f>
        <v>1 second</v>
      </c>
      <c r="D52" s="15" t="str">
        <f ca="1">IFERROR(__xludf.DUMMYFUNCTION("GOOGLETRANSLATE('Brawl Stars'!D52,""ru"",""en"")"),"2 seconds")</f>
        <v>2 seconds</v>
      </c>
      <c r="E52" s="16"/>
    </row>
    <row r="53" spans="1:26">
      <c r="A53" s="15" t="str">
        <f ca="1">IFERROR(__xludf.DUMMYFUNCTION("GOOGLETRANSLATE('Brawl Stars'!A53,""ru"",""en"")"),"By what percentage does Bo's totem speed up the charging of allies' Supers?")</f>
        <v>By what percentage does Bo's totem speed up the charging of allies' Supers?</v>
      </c>
      <c r="B53" s="15" t="str">
        <f ca="1">IFERROR(__xludf.DUMMYFUNCTION("GOOGLETRANSLATE('Brawl Stars'!B53,""ru"",""en"")"),"50%")</f>
        <v>50%</v>
      </c>
      <c r="C53" s="15" t="str">
        <f ca="1">IFERROR(__xludf.DUMMYFUNCTION("GOOGLETRANSLATE('Brawl Stars'!C53,""ru"",""en"")"),"40%")</f>
        <v>40%</v>
      </c>
      <c r="D53" s="15" t="str">
        <f ca="1">IFERROR(__xludf.DUMMYFUNCTION("GOOGLETRANSLATE('Brawl Stars'!D53,""ru"",""en"")"),"60%")</f>
        <v>60%</v>
      </c>
      <c r="E53" s="16"/>
    </row>
    <row r="54" spans="1:26">
      <c r="A54" s="15" t="str">
        <f ca="1">IFERROR(__xludf.DUMMYFUNCTION("GOOGLETRANSLATE('Brawl Stars'!A54,""ru"",""en"")"),"How much damage does Mortis' Combo Spinner deal to all nearby enemies?")</f>
        <v>How much damage does Mortis' Combo Spinner deal to all nearby enemies?</v>
      </c>
      <c r="B54" s="15" t="str">
        <f ca="1">IFERROR(__xludf.DUMMYFUNCTION("GOOGLETRANSLATE('Brawl Stars'!B54,""ru"",""en"")"),"2000")</f>
        <v>2000</v>
      </c>
      <c r="C54" s="15" t="str">
        <f ca="1">IFERROR(__xludf.DUMMYFUNCTION("GOOGLETRANSLATE('Brawl Stars'!C54,""ru"",""en"")"),"1800")</f>
        <v>1800</v>
      </c>
      <c r="D54" s="15" t="str">
        <f ca="1">IFERROR(__xludf.DUMMYFUNCTION("GOOGLETRANSLATE('Brawl Stars'!D54,""ru"",""en"")"),"2200")</f>
        <v>2200</v>
      </c>
      <c r="E54" s="16"/>
    </row>
    <row r="55" spans="1:26">
      <c r="A55" s="15" t="str">
        <f ca="1">IFERROR(__xludf.DUMMYFUNCTION("GOOGLETRANSLATE('Brawl Stars'!A55,""ru"",""en"")"),"How many seconds does Mortis's reload speed increase when using the Light Shovel gadget?")</f>
        <v>How many seconds does Mortis's reload speed increase when using the Light Shovel gadget?</v>
      </c>
      <c r="B55" s="15" t="str">
        <f ca="1">IFERROR(__xludf.DUMMYFUNCTION("GOOGLETRANSLATE('Brawl Stars'!B55,""ru"",""en"")"),"4")</f>
        <v>4</v>
      </c>
      <c r="C55" s="15" t="str">
        <f ca="1">IFERROR(__xludf.DUMMYFUNCTION("GOOGLETRANSLATE('Brawl Stars'!C55,""ru"",""en"")"),"3")</f>
        <v>3</v>
      </c>
      <c r="D55" s="15" t="str">
        <f ca="1">IFERROR(__xludf.DUMMYFUNCTION("GOOGLETRANSLATE('Brawl Stars'!D55,""ru"",""en"")"),"5")</f>
        <v>5</v>
      </c>
      <c r="E55" s="16"/>
    </row>
    <row r="56" spans="1:26">
      <c r="A56" s="15" t="str">
        <f ca="1">IFERROR(__xludf.DUMMYFUNCTION("GOOGLETRANSLATE('Brawl Stars'!A56,""ru"",""en"")"),"How many health points does Spike's life cactus have?")</f>
        <v>How many health points does Spike's life cactus have?</v>
      </c>
      <c r="B56" s="15" t="str">
        <f ca="1">IFERROR(__xludf.DUMMYFUNCTION("GOOGLETRANSLATE('Brawl Stars'!B56,""ru"",""en"")"),"2800")</f>
        <v>2800</v>
      </c>
      <c r="C56" s="15" t="str">
        <f ca="1">IFERROR(__xludf.DUMMYFUNCTION("GOOGLETRANSLATE('Brawl Stars'!C56,""ru"",""en"")"),"3000")</f>
        <v>3000</v>
      </c>
      <c r="D56" s="15" t="str">
        <f ca="1">IFERROR(__xludf.DUMMYFUNCTION("GOOGLETRANSLATE('Brawl Stars'!D56,""ru"",""en"")"),"2500")</f>
        <v>2500</v>
      </c>
      <c r="E56" s="16"/>
    </row>
    <row r="57" spans="1:26">
      <c r="A57" s="15" t="str">
        <f ca="1">IFERROR(__xludf.DUMMYFUNCTION("GOOGLETRANSLATE('Brawl Stars'!A57,""ru"",""en"")"),"Which of Bo's star powers replaces knockback with a 2 second stun on enemies?")</f>
        <v>Which of Bo's star powers replaces knockback with a 2 second stun on enemies?</v>
      </c>
      <c r="B57" s="15" t="str">
        <f ca="1">IFERROR(__xludf.DUMMYFUNCTION("GOOGLETRANSLATE('Brawl Stars'!B57,""ru"",""en"")"),"Bear trap")</f>
        <v>Bear trap</v>
      </c>
      <c r="C57" s="15" t="str">
        <f ca="1">IFERROR(__xludf.DUMMYFUNCTION("GOOGLETRANSLATE('Brawl Stars'!C57,""ru"",""en"")"),"Soaring Eagle")</f>
        <v>Soaring Eagle</v>
      </c>
      <c r="D57" s="15" t="str">
        <f ca="1">IFERROR(__xludf.DUMMYFUNCTION("GOOGLETRANSLATE('Brawl Stars'!D57,""ru"",""en"")"),"Power Totem")</f>
        <v>Power Totem</v>
      </c>
      <c r="E57" s="16"/>
    </row>
    <row r="58" spans="1:26">
      <c r="A58" s="15" t="str">
        <f ca="1">IFERROR(__xludf.DUMMYFUNCTION("GOOGLETRANSLATE('Brawl Stars'!A58,""ru"",""en"")"),"By what percentage does Emz's attack damage increase with each hit with Bad Karma star power?")</f>
        <v>By what percentage does Emz's attack damage increase with each hit with Bad Karma star power?</v>
      </c>
      <c r="B58" s="15" t="str">
        <f ca="1">IFERROR(__xludf.DUMMYFUNCTION("GOOGLETRANSLATE('Brawl Stars'!B58,""ru"",""en"")"),"25%")</f>
        <v>25%</v>
      </c>
      <c r="C58" s="15" t="str">
        <f ca="1">IFERROR(__xludf.DUMMYFUNCTION("GOOGLETRANSLATE('Brawl Stars'!C58,""ru"",""en"")"),"20%")</f>
        <v>20%</v>
      </c>
      <c r="D58" s="15" t="str">
        <f ca="1">IFERROR(__xludf.DUMMYFUNCTION("GOOGLETRANSLATE('Brawl Stars'!D58,""ru"",""en"")"),"30%")</f>
        <v>30%</v>
      </c>
      <c r="E58" s="16"/>
    </row>
    <row r="59" spans="1:26">
      <c r="A59" s="15" t="str">
        <f ca="1">IFERROR(__xludf.DUMMYFUNCTION("GOOGLETRANSLATE('Brawl Stars'!A59,""ru"",""en"")"),"By what percentage does Super Stu's range increase with No Brake star power?")</f>
        <v>By what percentage does Super Stu's range increase with No Brake star power?</v>
      </c>
      <c r="B59" s="15" t="str">
        <f ca="1">IFERROR(__xludf.DUMMYFUNCTION("GOOGLETRANSLATE('Brawl Stars'!B59,""ru"",""en"")"),"71%")</f>
        <v>71%</v>
      </c>
      <c r="C59" s="15" t="str">
        <f ca="1">IFERROR(__xludf.DUMMYFUNCTION("GOOGLETRANSLATE('Brawl Stars'!C59,""ru"",""en"")"),"50%")</f>
        <v>50%</v>
      </c>
      <c r="D59" s="15" t="str">
        <f ca="1">IFERROR(__xludf.DUMMYFUNCTION("GOOGLETRANSLATE('Brawl Stars'!D59,""ru"",""en"")"),"75%")</f>
        <v>75%</v>
      </c>
      <c r="E59" s="16"/>
    </row>
    <row r="60" spans="1:26">
      <c r="A60" s="15" t="str">
        <f ca="1">IFERROR(__xludf.DUMMYFUNCTION("GOOGLETRANSLATE('Brawl Stars'!A60,""ru"",""en"")"),"How much health does Stu restore when using the Super with the Gasoline Gulp star power?")</f>
        <v>How much health does Stu restore when using the Super with the Gasoline Gulp star power?</v>
      </c>
      <c r="B60" s="15" t="str">
        <f ca="1">IFERROR(__xludf.DUMMYFUNCTION("GOOGLETRANSLATE('Brawl Stars'!B60,""ru"",""en"")"),"512")</f>
        <v>512</v>
      </c>
      <c r="C60" s="15" t="str">
        <f ca="1">IFERROR(__xludf.DUMMYFUNCTION("GOOGLETRANSLATE('Brawl Stars'!C60,""ru"",""en"")"),"500")</f>
        <v>500</v>
      </c>
      <c r="D60" s="15" t="str">
        <f ca="1">IFERROR(__xludf.DUMMYFUNCTION("GOOGLETRANSLATE('Brawl Stars'!D60,""ru"",""en"")"),"600")</f>
        <v>600</v>
      </c>
      <c r="E60" s="16"/>
    </row>
    <row r="61" spans="1:26">
      <c r="A61" s="15" t="str">
        <f ca="1">IFERROR(__xludf.DUMMYFUNCTION("GOOGLETRANSLATE('Brawl Stars'!A61,""ru"",""en"")"),"What star power does Piper's damage add to when she's in the bushes?")</f>
        <v>What star power does Piper's damage add to when she's in the bushes?</v>
      </c>
      <c r="B61" s="15" t="str">
        <f ca="1">IFERROR(__xludf.DUMMYFUNCTION("GOOGLETRANSLATE('Brawl Stars'!B61,""ru"",""en"")"),"Ambush")</f>
        <v>Ambush</v>
      </c>
      <c r="C61" s="15" t="str">
        <f ca="1">IFERROR(__xludf.DUMMYFUNCTION("GOOGLETRANSLATE('Brawl Stars'!C61,""ru"",""en"")"),"Cashback")</f>
        <v>Cashback</v>
      </c>
      <c r="D61" s="15" t="str">
        <f ca="1">IFERROR(__xludf.DUMMYFUNCTION("GOOGLETRANSLATE('Brawl Stars'!D61,""ru"",""en"")"),"Sniper shot")</f>
        <v>Sniper shot</v>
      </c>
      <c r="E61" s="16"/>
    </row>
    <row r="62" spans="1:26">
      <c r="A62" s="15" t="str">
        <f ca="1">IFERROR(__xludf.DUMMYFUNCTION("GOOGLETRANSLATE('Brawl Stars'!A62,""ru"",""en"")"),"How much extra damage do Piper's projectiles do when she's in a bush with the Ambush star power?")</f>
        <v>How much extra damage do Piper's projectiles do when she's in a bush with the Ambush star power?</v>
      </c>
      <c r="B62" s="15" t="str">
        <f ca="1">IFERROR(__xludf.DUMMYFUNCTION("GOOGLETRANSLATE('Brawl Stars'!B62,""ru"",""en"")"),"1190")</f>
        <v>1190</v>
      </c>
      <c r="C62" s="15" t="str">
        <f ca="1">IFERROR(__xludf.DUMMYFUNCTION("GOOGLETRANSLATE('Brawl Stars'!C62,""ru"",""en"")"),"1000")</f>
        <v>1000</v>
      </c>
      <c r="D62" s="15" t="str">
        <f ca="1">IFERROR(__xludf.DUMMYFUNCTION("GOOGLETRANSLATE('Brawl Stars'!D62,""ru"",""en"")"),"1300")</f>
        <v>1300</v>
      </c>
      <c r="E62" s="16"/>
    </row>
    <row r="63" spans="1:26">
      <c r="A63" s="15" t="str">
        <f ca="1">IFERROR(__xludf.DUMMYFUNCTION("GOOGLETRANSLATE('Brawl Stars'!A63,""ru"",""en"")"),"How many shells does Piper's rifle restore when hit with Star Power Cashback?")</f>
        <v>How many shells does Piper's rifle restore when hit with Star Power Cashback?</v>
      </c>
      <c r="B63" s="15" t="str">
        <f ca="1">IFERROR(__xludf.DUMMYFUNCTION("GOOGLETRANSLATE('Brawl Stars'!B63,""ru"",""en"")"),"0.4")</f>
        <v>0.4</v>
      </c>
      <c r="C63" s="15" t="str">
        <f ca="1">IFERROR(__xludf.DUMMYFUNCTION("GOOGLETRANSLATE('Brawl Stars'!C63,""ru"",""en"")"),"0.5")</f>
        <v>0.5</v>
      </c>
      <c r="D63" s="15" t="str">
        <f ca="1">IFERROR(__xludf.DUMMYFUNCTION("GOOGLETRANSLATE('Brawl Stars'!D63,""ru"",""en"")"),"0.3")</f>
        <v>0.3</v>
      </c>
      <c r="E63" s="16"/>
    </row>
    <row r="64" spans="1:26">
      <c r="A64" s="15" t="str">
        <f ca="1">IFERROR(__xludf.DUMMYFUNCTION("GOOGLETRANSLATE('Brawl Stars'!A64,""ru"",""en"")"),"What system replaced crates as the primary way to unlock fighters?")</f>
        <v>What system replaced crates as the primary way to unlock fighters?</v>
      </c>
      <c r="B64" s="15" t="str">
        <f ca="1">IFERROR(__xludf.DUMMYFUNCTION("GOOGLETRANSLATE('Brawl Stars'!B64,""ru"",""en"")"),"Starr Road")</f>
        <v>Starr Road</v>
      </c>
      <c r="C64" s="15" t="str">
        <f ca="1">IFERROR(__xludf.DUMMYFUNCTION("GOOGLETRANSLATE('Brawl Stars'!C64,""ru"",""en"")"),"Brawl Pass")</f>
        <v>Brawl Pass</v>
      </c>
      <c r="D64" s="15" t="str">
        <f ca="1">IFERROR(__xludf.DUMMYFUNCTION("GOOGLETRANSLATE('Brawl Stars'!D64,""ru"",""en"")"),"Path to Glory")</f>
        <v>Path to Glory</v>
      </c>
      <c r="E64" s="17"/>
      <c r="F64" s="18"/>
      <c r="G64" s="18"/>
      <c r="H64" s="18"/>
      <c r="I64" s="18"/>
      <c r="J64" s="18"/>
      <c r="K64" s="18"/>
      <c r="L64" s="18"/>
      <c r="M64" s="18"/>
      <c r="N64" s="18"/>
      <c r="O64" s="18"/>
      <c r="P64" s="18"/>
      <c r="Q64" s="18"/>
      <c r="R64" s="18"/>
      <c r="S64" s="18"/>
      <c r="T64" s="18"/>
      <c r="U64" s="18"/>
      <c r="V64" s="18"/>
      <c r="W64" s="18"/>
      <c r="X64" s="18"/>
      <c r="Y64" s="18"/>
      <c r="Z64" s="18"/>
    </row>
    <row r="65" spans="1:26">
      <c r="A65" s="15" t="str">
        <f ca="1">IFERROR(__xludf.DUMMYFUNCTION("GOOGLETRANSLATE('Brawl Stars'!A65,""ru"",""en"")"),"How much damage per second does Pam's healing turret deal to enemies with the star power Mom's Embrace?")</f>
        <v>How much damage per second does Pam's healing turret deal to enemies with the star power Mom's Embrace?</v>
      </c>
      <c r="B65" s="15" t="str">
        <f ca="1">IFERROR(__xludf.DUMMYFUNCTION("GOOGLETRANSLATE('Brawl Stars'!B65,""ru"",""en"")"),"960")</f>
        <v>960</v>
      </c>
      <c r="C65" s="15" t="str">
        <f ca="1">IFERROR(__xludf.DUMMYFUNCTION("GOOGLETRANSLATE('Brawl Stars'!C65,""ru"",""en"")"),"800")</f>
        <v>800</v>
      </c>
      <c r="D65" s="15" t="str">
        <f ca="1">IFERROR(__xludf.DUMMYFUNCTION("GOOGLETRANSLATE('Brawl Stars'!D65,""ru"",""en"")"),"1000")</f>
        <v>1000</v>
      </c>
      <c r="E65" s="16"/>
    </row>
    <row r="66" spans="1:26">
      <c r="A66" s="15" t="str">
        <f ca="1">IFERROR(__xludf.DUMMYFUNCTION("GOOGLETRANSLATE('Brawl Stars'!A66,""ru"",""en"")"),"Which fighter can temporarily become invisible?")</f>
        <v>Which fighter can temporarily become invisible?</v>
      </c>
      <c r="B66" s="15" t="str">
        <f ca="1">IFERROR(__xludf.DUMMYFUNCTION("GOOGLETRANSLATE('Brawl Stars'!B66,""ru"",""en"")"),"Leon")</f>
        <v>Leon</v>
      </c>
      <c r="C66" s="15" t="str">
        <f ca="1">IFERROR(__xludf.DUMMYFUNCTION("GOOGLETRANSLATE('Brawl Stars'!C66,""ru"",""en"")"),"Bo")</f>
        <v>Bo</v>
      </c>
      <c r="D66" s="15" t="str">
        <f ca="1">IFERROR(__xludf.DUMMYFUNCTION("GOOGLETRANSLATE('Brawl Stars'!D66,""ru"",""en"")"),"Emz")</f>
        <v>Emz</v>
      </c>
      <c r="E66" s="17"/>
      <c r="F66" s="18"/>
      <c r="G66" s="18"/>
      <c r="H66" s="18"/>
      <c r="I66" s="18"/>
      <c r="J66" s="18"/>
      <c r="K66" s="18"/>
      <c r="L66" s="18"/>
      <c r="M66" s="18"/>
      <c r="N66" s="18"/>
      <c r="O66" s="18"/>
      <c r="P66" s="18"/>
      <c r="Q66" s="18"/>
      <c r="R66" s="18"/>
      <c r="S66" s="18"/>
      <c r="T66" s="18"/>
      <c r="U66" s="18"/>
      <c r="V66" s="18"/>
      <c r="W66" s="18"/>
      <c r="X66" s="18"/>
      <c r="Y66" s="18"/>
      <c r="Z66" s="18"/>
    </row>
    <row r="67" spans="1:26">
      <c r="A67" s="15" t="str">
        <f ca="1">IFERROR(__xludf.DUMMYFUNCTION("GOOGLETRANSLATE('Brawl Stars'!A67,""ru"",""en"")"),"What two forms can the fighter Kaze take?")</f>
        <v>What two forms can the fighter Kaze take?</v>
      </c>
      <c r="B67" s="15" t="str">
        <f ca="1">IFERROR(__xludf.DUMMYFUNCTION("GOOGLETRANSLATE('Brawl Stars'!B67,""ru"",""en"")"),"Geisha and Ninja")</f>
        <v>Geisha and Ninja</v>
      </c>
      <c r="C67" s="15" t="str">
        <f ca="1">IFERROR(__xludf.DUMMYFUNCTION("GOOGLETRANSLATE('Brawl Stars'!C67,""ru"",""en"")"),"Monk and Warrior")</f>
        <v>Monk and Warrior</v>
      </c>
      <c r="D67" s="15" t="str">
        <f ca="1">IFERROR(__xludf.DUMMYFUNCTION("GOOGLETRANSLATE('Brawl Stars'!D67,""ru"",""en"")"),"Cook and Samurai")</f>
        <v>Cook and Samurai</v>
      </c>
      <c r="E67" s="17"/>
      <c r="F67" s="18"/>
      <c r="G67" s="18"/>
      <c r="H67" s="18"/>
      <c r="I67" s="18"/>
      <c r="J67" s="18"/>
      <c r="K67" s="18"/>
      <c r="L67" s="18"/>
      <c r="M67" s="18"/>
      <c r="N67" s="18"/>
      <c r="O67" s="18"/>
      <c r="P67" s="18"/>
      <c r="Q67" s="18"/>
      <c r="R67" s="18"/>
      <c r="S67" s="18"/>
      <c r="T67" s="18"/>
      <c r="U67" s="18"/>
      <c r="V67" s="18"/>
      <c r="W67" s="18"/>
      <c r="X67" s="18"/>
      <c r="Y67" s="18"/>
      <c r="Z67" s="18"/>
    </row>
    <row r="68" spans="1:26">
      <c r="A68" s="15" t="str">
        <f ca="1">IFERROR(__xludf.DUMMYFUNCTION("GOOGLETRANSLATE('Brawl Stars'!A68,""ru"",""en"")"),"What is the name of the class of fighters who fire single shots from a long distance?")</f>
        <v>What is the name of the class of fighters who fire single shots from a long distance?</v>
      </c>
      <c r="B68" s="15" t="str">
        <f ca="1">IFERROR(__xludf.DUMMYFUNCTION("GOOGLETRANSLATE('Brawl Stars'!B68,""ru"",""en"")"),"Shooter")</f>
        <v>Shooter</v>
      </c>
      <c r="C68" s="15" t="str">
        <f ca="1">IFERROR(__xludf.DUMMYFUNCTION("GOOGLETRANSLATE('Brawl Stars'!C68,""ru"",""en"")"),"Tank")</f>
        <v>Tank</v>
      </c>
      <c r="D68" s="15" t="str">
        <f ca="1">IFERROR(__xludf.DUMMYFUNCTION("GOOGLETRANSLATE('Brawl Stars'!D68,""ru"",""en"")"),"Support")</f>
        <v>Support</v>
      </c>
      <c r="E68" s="17"/>
      <c r="F68" s="18"/>
      <c r="G68" s="18"/>
      <c r="H68" s="18"/>
      <c r="I68" s="18"/>
      <c r="J68" s="18"/>
      <c r="K68" s="18"/>
      <c r="L68" s="18"/>
      <c r="M68" s="18"/>
      <c r="N68" s="18"/>
      <c r="O68" s="18"/>
      <c r="P68" s="18"/>
      <c r="Q68" s="18"/>
      <c r="R68" s="18"/>
      <c r="S68" s="18"/>
      <c r="T68" s="18"/>
      <c r="U68" s="18"/>
      <c r="V68" s="18"/>
      <c r="W68" s="18"/>
      <c r="X68" s="18"/>
      <c r="Y68" s="18"/>
      <c r="Z68" s="18"/>
    </row>
    <row r="69" spans="1:26">
      <c r="A69" s="15" t="str">
        <f ca="1">IFERROR(__xludf.DUMMYFUNCTION("GOOGLETRANSLATE('Brawl Stars'!A69,""ru"",""en"")"),"What is the name of the game feature that allows players to create their own maps?")</f>
        <v>What is the name of the game feature that allows players to create their own maps?</v>
      </c>
      <c r="B69" s="15" t="str">
        <f ca="1">IFERROR(__xludf.DUMMYFUNCTION("GOOGLETRANSLATE('Brawl Stars'!B69,""ru"",""en"")"),"Map Constructor")</f>
        <v>Map Constructor</v>
      </c>
      <c r="C69" s="15" t="str">
        <f ca="1">IFERROR(__xludf.DUMMYFUNCTION("GOOGLETRANSLATE('Brawl Stars'!C69,""ru"",""en"")"),"Friendly fight")</f>
        <v>Friendly fight</v>
      </c>
      <c r="D69" s="15" t="str">
        <f ca="1">IFERROR(__xludf.DUMMYFUNCTION("GOOGLETRANSLATE('Brawl Stars'!D69,""ru"",""en"")"),"Map rotation")</f>
        <v>Map rotation</v>
      </c>
      <c r="E69" s="17"/>
      <c r="F69" s="18"/>
      <c r="G69" s="18"/>
      <c r="H69" s="18"/>
      <c r="I69" s="18"/>
      <c r="J69" s="18"/>
      <c r="K69" s="18"/>
      <c r="L69" s="18"/>
      <c r="M69" s="18"/>
      <c r="N69" s="18"/>
      <c r="O69" s="18"/>
      <c r="P69" s="18"/>
      <c r="Q69" s="18"/>
      <c r="R69" s="18"/>
      <c r="S69" s="18"/>
      <c r="T69" s="18"/>
      <c r="U69" s="18"/>
      <c r="V69" s="18"/>
      <c r="W69" s="18"/>
      <c r="X69" s="18"/>
      <c r="Y69" s="18"/>
      <c r="Z69" s="18"/>
    </row>
    <row r="70" spans="1:26">
      <c r="A70" s="15" t="str">
        <f ca="1">IFERROR(__xludf.DUMMYFUNCTION("GOOGLETRANSLATE('Brawl Stars'!A70,""ru"",""en"")"),"What is the name of the mode where one player plays as a huge mega-fighter and the others try to kill him?")</f>
        <v>What is the name of the mode where one player plays as a huge mega-fighter and the others try to kill him?</v>
      </c>
      <c r="B70" s="15" t="str">
        <f ca="1">IFERROR(__xludf.DUMMYFUNCTION("GOOGLETRANSLATE('Brawl Stars'!B70,""ru"",""en"")"),"The Big Game")</f>
        <v>The Big Game</v>
      </c>
      <c r="C70" s="15" t="str">
        <f ca="1">IFERROR(__xludf.DUMMYFUNCTION("GOOGLETRANSLATE('Brawl Stars'!C70,""ru"",""en"")"),"Siege")</f>
        <v>Siege</v>
      </c>
      <c r="D70" s="15" t="str">
        <f ca="1">IFERROR(__xludf.DUMMYFUNCTION("GOOGLETRANSLATE('Brawl Stars'!D70,""ru"",""en"")"),"Boss fight")</f>
        <v>Boss fight</v>
      </c>
      <c r="E70" s="17"/>
      <c r="F70" s="18"/>
      <c r="G70" s="18"/>
      <c r="H70" s="18"/>
      <c r="I70" s="18"/>
      <c r="J70" s="18"/>
      <c r="K70" s="18"/>
      <c r="L70" s="18"/>
      <c r="M70" s="18"/>
      <c r="N70" s="18"/>
      <c r="O70" s="18"/>
      <c r="P70" s="18"/>
      <c r="Q70" s="18"/>
      <c r="R70" s="18"/>
      <c r="S70" s="18"/>
      <c r="T70" s="18"/>
      <c r="U70" s="18"/>
      <c r="V70" s="18"/>
      <c r="W70" s="18"/>
      <c r="X70" s="18"/>
      <c r="Y70" s="18"/>
      <c r="Z70" s="18"/>
    </row>
    <row r="71" spans="1:26">
      <c r="A71" s="15" t="str">
        <f ca="1">IFERROR(__xludf.DUMMYFUNCTION("GOOGLETRANSLATE('Brawl Stars'!A71,""ru"",""en"")"),"What is the name of a special temporary event with several stages that the player receives a reward for completing?")</f>
        <v>What is the name of a special temporary event with several stages that the player receives a reward for completing?</v>
      </c>
      <c r="B71" s="15" t="str">
        <f ca="1">IFERROR(__xludf.DUMMYFUNCTION("GOOGLETRANSLATE('Brawl Stars'!B71,""ru"",""en"")"),"Trial")</f>
        <v>Trial</v>
      </c>
      <c r="C71" s="15" t="str">
        <f ca="1">IFERROR(__xludf.DUMMYFUNCTION("GOOGLETRANSLATE('Brawl Stars'!C71,""ru"",""en"")"),"Ranked Battle")</f>
        <v>Ranked Battle</v>
      </c>
      <c r="D71" s="15" t="str">
        <f ca="1">IFERROR(__xludf.DUMMYFUNCTION("GOOGLETRANSLATE('Brawl Stars'!D71,""ru"",""en"")"),"Friendly fight")</f>
        <v>Friendly fight</v>
      </c>
      <c r="E71" s="17"/>
      <c r="F71" s="18"/>
      <c r="G71" s="18"/>
      <c r="H71" s="18"/>
      <c r="I71" s="18"/>
      <c r="J71" s="18"/>
      <c r="K71" s="18"/>
      <c r="L71" s="18"/>
      <c r="M71" s="18"/>
      <c r="N71" s="18"/>
      <c r="O71" s="18"/>
      <c r="P71" s="18"/>
      <c r="Q71" s="18"/>
      <c r="R71" s="18"/>
      <c r="S71" s="18"/>
      <c r="T71" s="18"/>
      <c r="U71" s="18"/>
      <c r="V71" s="18"/>
      <c r="W71" s="18"/>
      <c r="X71" s="18"/>
      <c r="Y71" s="18"/>
      <c r="Z71" s="18"/>
    </row>
    <row r="72" spans="1:26">
      <c r="A72" s="15" t="str">
        <f ca="1">IFERROR(__xludf.DUMMYFUNCTION("GOOGLETRANSLATE('Brawl Stars'!A72,""ru"",""en"")"),"What is Frank's star power that allows him to take the power of a hit enemy, adding 25% to his own damage?")</f>
        <v>What is Frank's star power that allows him to take the power of a hit enemy, adding 25% to his own damage?</v>
      </c>
      <c r="B72" s="15" t="str">
        <f ca="1">IFERROR(__xludf.DUMMYFUNCTION("GOOGLETRANSLATE('Brawl Stars'!B72,""ru"",""en"")"),"Theft of Power")</f>
        <v>Theft of Power</v>
      </c>
      <c r="C72" s="15" t="str">
        <f ca="1">IFERROR(__xludf.DUMMYFUNCTION("GOOGLETRANSLATE('Brawl Stars'!C72,""ru"",""en"")"),"Sponge")</f>
        <v>Sponge</v>
      </c>
      <c r="D72" s="15" t="str">
        <f ca="1">IFERROR(__xludf.DUMMYFUNCTION("GOOGLETRANSLATE('Brawl Stars'!D72,""ru"",""en"")"),"Powerful blow")</f>
        <v>Powerful blow</v>
      </c>
      <c r="E72" s="16"/>
    </row>
    <row r="73" spans="1:26">
      <c r="A73" s="15" t="str">
        <f ca="1">IFERROR(__xludf.DUMMYFUNCTION("GOOGLETRANSLATE('Brawl Stars'!A73,""ru"",""en"")"),"How many extra health points does Frank get with the Sponge star power?")</f>
        <v>How many extra health points does Frank get with the Sponge star power?</v>
      </c>
      <c r="B73" s="15" t="str">
        <f ca="1">IFERROR(__xludf.DUMMYFUNCTION("GOOGLETRANSLATE('Brawl Stars'!B73,""ru"",""en"")"),"1340")</f>
        <v>1340</v>
      </c>
      <c r="C73" s="15" t="str">
        <f ca="1">IFERROR(__xludf.DUMMYFUNCTION("GOOGLETRANSLATE('Brawl Stars'!C73,""ru"",""en"")"),"1500")</f>
        <v>1500</v>
      </c>
      <c r="D73" s="15" t="str">
        <f ca="1">IFERROR(__xludf.DUMMYFUNCTION("GOOGLETRANSLATE('Brawl Stars'!D73,""ru"",""en"")"),"1200")</f>
        <v>1200</v>
      </c>
      <c r="E73" s="16"/>
    </row>
    <row r="74" spans="1:26">
      <c r="A74" s="15" t="str">
        <f ca="1">IFERROR(__xludf.DUMMYFUNCTION("GOOGLETRANSLATE('Brawl Stars'!A74,""ru"",""en"")"),"Who has a gadget that cleanses allies of negative effects and heals them for a short time?")</f>
        <v>Who has a gadget that cleanses allies of negative effects and heals them for a short time?</v>
      </c>
      <c r="B74" s="15" t="str">
        <f ca="1">IFERROR(__xludf.DUMMYFUNCTION("GOOGLETRANSLATE('Brawl Stars'!B74,""ru"",""en"")"),"Poko")</f>
        <v>Poko</v>
      </c>
      <c r="C74" s="15" t="str">
        <f ca="1">IFERROR(__xludf.DUMMYFUNCTION("GOOGLETRANSLATE('Brawl Stars'!C74,""ru"",""en"")"),"Emz")</f>
        <v>Emz</v>
      </c>
      <c r="D74" s="15" t="str">
        <f ca="1">IFERROR(__xludf.DUMMYFUNCTION("GOOGLETRANSLATE('Brawl Stars'!D74,""ru"",""en"")"),"Rose")</f>
        <v>Rose</v>
      </c>
      <c r="E74" s="17"/>
      <c r="F74" s="18"/>
      <c r="G74" s="18"/>
      <c r="H74" s="18"/>
      <c r="I74" s="18"/>
      <c r="J74" s="18"/>
      <c r="K74" s="18"/>
      <c r="L74" s="18"/>
      <c r="M74" s="18"/>
      <c r="N74" s="18"/>
      <c r="O74" s="18"/>
      <c r="P74" s="18"/>
      <c r="Q74" s="18"/>
      <c r="R74" s="18"/>
      <c r="S74" s="18"/>
      <c r="T74" s="18"/>
      <c r="U74" s="18"/>
      <c r="V74" s="18"/>
      <c r="W74" s="18"/>
      <c r="X74" s="18"/>
      <c r="Y74" s="18"/>
      <c r="Z74" s="18"/>
    </row>
    <row r="75" spans="1:26">
      <c r="A75" s="15" t="str">
        <f ca="1">IFERROR(__xludf.DUMMYFUNCTION("GOOGLETRANSLATE('Brawl Stars'!A75,""ru"",""en"")"),"How many brawlers were there when Brawl Stars launched?")</f>
        <v>How many brawlers were there when Brawl Stars launched?</v>
      </c>
      <c r="B75" s="15" t="str">
        <f ca="1">IFERROR(__xludf.DUMMYFUNCTION("GOOGLETRANSLATE('Brawl Stars'!B75,""ru"",""en"")"),"22")</f>
        <v>22</v>
      </c>
      <c r="C75" s="15" t="str">
        <f ca="1">IFERROR(__xludf.DUMMYFUNCTION("GOOGLETRANSLATE('Brawl Stars'!C75,""ru"",""en"")"),"15")</f>
        <v>15</v>
      </c>
      <c r="D75" s="15" t="str">
        <f ca="1">IFERROR(__xludf.DUMMYFUNCTION("GOOGLETRANSLATE('Brawl Stars'!D75,""ru"",""en"")"),"29")</f>
        <v>29</v>
      </c>
      <c r="E75" s="17"/>
      <c r="F75" s="18"/>
      <c r="G75" s="18"/>
      <c r="H75" s="18"/>
      <c r="I75" s="18"/>
      <c r="J75" s="18"/>
      <c r="K75" s="18"/>
      <c r="L75" s="18"/>
      <c r="M75" s="18"/>
      <c r="N75" s="18"/>
      <c r="O75" s="18"/>
      <c r="P75" s="18"/>
      <c r="Q75" s="18"/>
      <c r="R75" s="18"/>
      <c r="S75" s="18"/>
      <c r="T75" s="18"/>
      <c r="U75" s="18"/>
      <c r="V75" s="18"/>
      <c r="W75" s="18"/>
      <c r="X75" s="18"/>
      <c r="Y75" s="18"/>
      <c r="Z75" s="18"/>
    </row>
    <row r="76" spans="1:26">
      <c r="A76" s="15" t="str">
        <f ca="1">IFERROR(__xludf.DUMMYFUNCTION("GOOGLETRANSLATE('Brawl Stars'!A76,""ru"",""en"")"),"What happens to Bea with the Instant Recharge Star Power if she misses during her Super Charge attack?")</f>
        <v>What happens to Bea with the Instant Recharge Star Power if she misses during her Super Charge attack?</v>
      </c>
      <c r="B76" s="15" t="str">
        <f ca="1">IFERROR(__xludf.DUMMYFUNCTION("GOOGLETRANSLATE('Brawl Stars'!B76,""ru"",""en"")"),"Instantly charges your primary attack once.")</f>
        <v>Instantly charges your primary attack once.</v>
      </c>
      <c r="C76" s="15" t="str">
        <f ca="1">IFERROR(__xludf.DUMMYFUNCTION("GOOGLETRANSLATE('Brawl Stars'!C76,""ru"",""en"")"),"Gains a shield for 3 seconds.")</f>
        <v>Gains a shield for 3 seconds.</v>
      </c>
      <c r="D76" s="15" t="str">
        <f ca="1">IFERROR(__xludf.DUMMYFUNCTION("GOOGLETRANSLATE('Brawl Stars'!D76,""ru"",""en"")"),"Restores 50% health")</f>
        <v>Restores 50% health</v>
      </c>
      <c r="E76" s="16"/>
    </row>
    <row r="77" spans="1:26">
      <c r="A77" s="15" t="str">
        <f ca="1">IFERROR(__xludf.DUMMYFUNCTION("GOOGLETRANSLATE('Brawl Stars'!A77,""ru"",""en"")"),"What percentage of shield does Bea gain while her main attack is supercharged with Sota's Star Power?")</f>
        <v>What percentage of shield does Bea gain while her main attack is supercharged with Sota's Star Power?</v>
      </c>
      <c r="B77" s="15" t="str">
        <f ca="1">IFERROR(__xludf.DUMMYFUNCTION("GOOGLETRANSLATE('Brawl Stars'!B77,""ru"",""en"")"),"30%")</f>
        <v>30%</v>
      </c>
      <c r="C77" s="15" t="str">
        <f ca="1">IFERROR(__xludf.DUMMYFUNCTION("GOOGLETRANSLATE('Brawl Stars'!C77,""ru"",""en"")"),"25%")</f>
        <v>25%</v>
      </c>
      <c r="D77" s="15" t="str">
        <f ca="1">IFERROR(__xludf.DUMMYFUNCTION("GOOGLETRANSLATE('Brawl Stars'!D77,""ru"",""en"")"),"35%")</f>
        <v>35%</v>
      </c>
      <c r="E77" s="16"/>
    </row>
    <row r="78" spans="1:26">
      <c r="A78" s="15" t="str">
        <f ca="1">IFERROR(__xludf.DUMMYFUNCTION("GOOGLETRANSLATE('Brawl Stars'!A78,""ru"",""en"")"),"Which four mythical fighters were released in 2023, setting a record?")</f>
        <v>Which four mythical fighters were released in 2023, setting a record?</v>
      </c>
      <c r="B78" s="15" t="str">
        <f ca="1">IFERROR(__xludf.DUMMYFUNCTION("GOOGLETRANSLATE('Brawl Stars'!B78,""ru"",""en"")"),"Willow, Doug, Chuck and Miko")</f>
        <v>Willow, Doug, Chuck and Miko</v>
      </c>
      <c r="C78" s="15" t="str">
        <f ca="1">IFERROR(__xludf.DUMMYFUNCTION("GOOGLETRANSLATE('Brawl Stars'!C78,""ru"",""en"")"),"Melody, Lily, Clancy, Mo")</f>
        <v>Melody, Lily, Clancy, Mo</v>
      </c>
      <c r="D78" s="15" t="str">
        <f ca="1">IFERROR(__xludf.DUMMYFUNCTION("GOOGLETRANSLATE('Brawl Stars'!D78,""ru"",""en"")"),"Juju, Ollie, Phinks, Lumi")</f>
        <v>Juju, Ollie, Phinks, Lumi</v>
      </c>
      <c r="E78" s="16"/>
    </row>
    <row r="79" spans="1:26">
      <c r="A79" s="15" t="str">
        <f ca="1">IFERROR(__xludf.DUMMYFUNCTION("GOOGLETRANSLATE('Brawl Stars'!A79,""ru"",""en"")"),"Which two legendary fighters broke the tradition of releasing one legendary fighter in the fourth quarter of the year?")</f>
        <v>Which two legendary fighters broke the tradition of releasing one legendary fighter in the fourth quarter of the year?</v>
      </c>
      <c r="B79" s="15" t="str">
        <f ca="1">IFERROR(__xludf.DUMMYFUNCTION("GOOGLETRANSLATE('Brawl Stars'!B79,""ru"",""en"")"),"Draco and Kenji in 2024")</f>
        <v>Draco and Kenji in 2024</v>
      </c>
      <c r="C79" s="15" t="str">
        <f ca="1">IFERROR(__xludf.DUMMYFUNCTION("GOOGLETRANSLATE('Brawl Stars'!C79,""ru"",""en"")"),"Spike and Raven in 2018")</f>
        <v>Spike and Raven in 2018</v>
      </c>
      <c r="D79" s="15" t="str">
        <f ca="1">IFERROR(__xludf.DUMMYFUNCTION("GOOGLETRANSLATE('Brawl Stars'!D79,""ru"",""en"")"),"Leon and Sandy in 2019")</f>
        <v>Leon and Sandy in 2019</v>
      </c>
      <c r="E79" s="16"/>
    </row>
    <row r="80" spans="1:26">
      <c r="A80" s="15" t="str">
        <f ca="1">IFERROR(__xludf.DUMMYFUNCTION("GOOGLETRANSLATE('Brawl Stars'!A80,""ru"",""en"")"),"In what month was Kenji, the second legendary fighter of 2024, released?")</f>
        <v>In what month was Kenji, the second legendary fighter of 2024, released?</v>
      </c>
      <c r="B80" s="15" t="str">
        <f ca="1">IFERROR(__xludf.DUMMYFUNCTION("GOOGLETRANSLATE('Brawl Stars'!B80,""ru"",""en"")"),"September")</f>
        <v>September</v>
      </c>
      <c r="C80" s="15" t="str">
        <f ca="1">IFERROR(__xludf.DUMMYFUNCTION("GOOGLETRANSLATE('Brawl Stars'!C80,""ru"",""en"")"),"October")</f>
        <v>October</v>
      </c>
      <c r="D80" s="15" t="str">
        <f ca="1">IFERROR(__xludf.DUMMYFUNCTION("GOOGLETRANSLATE('Brawl Stars'!D80,""ru"",""en"")"),"November")</f>
        <v>November</v>
      </c>
      <c r="E80" s="16"/>
    </row>
    <row r="81" spans="1:26">
      <c r="A81" s="15" t="str">
        <f ca="1">IFERROR(__xludf.DUMMYFUNCTION("GOOGLETRANSLATE('Brawl Stars'!A81,""ru"",""en"")"),"Which epic fighters were previously chromatic before the rarity was removed?")</f>
        <v>Which epic fighters were previously chromatic before the rarity was removed?</v>
      </c>
      <c r="B81" s="15" t="str">
        <f ca="1">IFERROR(__xludf.DUMMYFUNCTION("GOOGLETRANSLATE('Brawl Stars'!B81,""ru"",""en"")"),"Gail, Colette, Belle, Ash, Lola, Sam, Mandy, Macy, Pearl")</f>
        <v>Gail, Colette, Belle, Ash, Lola, Sam, Mandy, Macy, Pearl</v>
      </c>
      <c r="C81" s="15" t="str">
        <f ca="1">IFERROR(__xludf.DUMMYFUNCTION("GOOGLETRANSLATE('Brawl Stars'!C81,""ru"",""en"")"),"Bo, Emz, Stu, Piper, Pam")</f>
        <v>Bo, Emz, Stu, Piper, Pam</v>
      </c>
      <c r="D81" s="15" t="str">
        <f ca="1">IFERROR(__xludf.DUMMYFUNCTION("GOOGLETRANSLATE('Brawl Stars'!D81,""ru"",""en"")"),"Frank, Bibi, Bea, Nani, Edgar")</f>
        <v>Frank, Bibi, Bea, Nani, Edgar</v>
      </c>
      <c r="E81" s="16"/>
    </row>
    <row r="82" spans="1:26">
      <c r="A82" s="15" t="str">
        <f ca="1">IFERROR(__xludf.DUMMYFUNCTION("GOOGLETRANSLATE('Brawl Stars'!A82,""ru"",""en"")"),"Which mythic fighters were previously chromatic before the rarity was removed?")</f>
        <v>Which mythic fighters were previously chromatic before the rarity was removed?</v>
      </c>
      <c r="B82" s="15" t="str">
        <f ca="1">IFERROR(__xludf.DUMMYFUNCTION("GOOGLETRANSLATE('Brawl Stars'!B82,""ru"",""en"")"),"Lou, Gaws, Buzz, Fang, Eva, Janet, Otis, Buster, R-T, Charlie")</f>
        <v>Lou, Gaws, Buzz, Fang, Eva, Janet, Otis, Buster, R-T, Charlie</v>
      </c>
      <c r="C82" s="15" t="str">
        <f ca="1">IFERROR(__xludf.DUMMYFUNCTION("GOOGLETRANSLATE('Brawl Stars'!C82,""ru"",""en"")"),"Mortis, Tara, Jean, Max, Mr. P.")</f>
        <v>Mortis, Tara, Jean, Max, Mr. P.</v>
      </c>
      <c r="D82" s="15" t="str">
        <f ca="1">IFERROR(__xludf.DUMMYFUNCTION("GOOGLETRANSLATE('Brawl Stars'!D82,""ru"",""en"")"),"Sprout, Byron, Squick, Lou, Gavs")</f>
        <v>Sprout, Byron, Squick, Lou, Gavs</v>
      </c>
      <c r="E82" s="16"/>
    </row>
    <row r="83" spans="1:26">
      <c r="A83" s="15" t="str">
        <f ca="1">IFERROR(__xludf.DUMMYFUNCTION("GOOGLETRANSLATE('Brawl Stars'!A83,""ru"",""en"")"),"Which legendary fighters were previously chromatic before the rarity was removed?")</f>
        <v>Which legendary fighters were previously chromatic before the rarity was removed?</v>
      </c>
      <c r="B83" s="15" t="str">
        <f ca="1">IFERROR(__xludf.DUMMYFUNCTION("GOOGLETRANSLATE('Brawl Stars'!B83,""ru"",""en"")"),"Volt and Cordelius")</f>
        <v>Volt and Cordelius</v>
      </c>
      <c r="C83" s="15" t="str">
        <f ca="1">IFERROR(__xludf.DUMMYFUNCTION("GOOGLETRANSLATE('Brawl Stars'!C83,""ru"",""en"")"),"Spike and Raven")</f>
        <v>Spike and Raven</v>
      </c>
      <c r="D83" s="15" t="str">
        <f ca="1">IFERROR(__xludf.DUMMYFUNCTION("GOOGLETRANSLATE('Brawl Stars'!D83,""ru"",""en"")"),"Leon and Sandy")</f>
        <v>Leon and Sandy</v>
      </c>
      <c r="E83" s="16"/>
    </row>
    <row r="84" spans="1:26">
      <c r="A84" s="15" t="str">
        <f ca="1">IFERROR(__xludf.DUMMYFUNCTION("GOOGLETRANSLATE('Brawl Stars'!A84,""ru"",""en"")"),"In which update were gadgets added to Brawl Stars?")</f>
        <v>In which update were gadgets added to Brawl Stars?</v>
      </c>
      <c r="B84" s="15" t="str">
        <f ca="1">IFERROR(__xludf.DUMMYFUNCTION("GOOGLETRANSLATE('Brawl Stars'!B84,""ru"",""en"")"),"March 2020 update")</f>
        <v>March 2020 update</v>
      </c>
      <c r="C84" s="15" t="str">
        <f ca="1">IFERROR(__xludf.DUMMYFUNCTION("GOOGLETRANSLATE('Brawl Stars'!C84,""ru"",""en"")"),"May 2020 update")</f>
        <v>May 2020 update</v>
      </c>
      <c r="D84" s="15" t="str">
        <f ca="1">IFERROR(__xludf.DUMMYFUNCTION("GOOGLETRANSLATE('Brawl Stars'!D84,""ru"",""en"")"),"January 2020 update")</f>
        <v>January 2020 update</v>
      </c>
      <c r="E84" s="16"/>
    </row>
    <row r="85" spans="1:26">
      <c r="A85" s="15" t="str">
        <f ca="1">IFERROR(__xludf.DUMMYFUNCTION("GOOGLETRANSLATE('Brawl Stars'!A85,""ru"",""en"")"),"How many gadgets are there in the game at the moment?")</f>
        <v>How many gadgets are there in the game at the moment?</v>
      </c>
      <c r="B85" s="15" t="str">
        <f ca="1">IFERROR(__xludf.DUMMYFUNCTION("GOOGLETRANSLATE('Brawl Stars'!B85,""ru"",""en"")"),"More than 150")</f>
        <v>More than 150</v>
      </c>
      <c r="C85" s="15" t="str">
        <f ca="1">IFERROR(__xludf.DUMMYFUNCTION("GOOGLETRANSLATE('Brawl Stars'!C85,""ru"",""en"")"),"About 100")</f>
        <v>About 100</v>
      </c>
      <c r="D85" s="15" t="str">
        <f ca="1">IFERROR(__xludf.DUMMYFUNCTION("GOOGLETRANSLATE('Brawl Stars'!D85,""ru"",""en"")"),"About 200")</f>
        <v>About 200</v>
      </c>
      <c r="E85" s="16"/>
    </row>
    <row r="86" spans="1:26">
      <c r="A86" s="15" t="str">
        <f ca="1">IFERROR(__xludf.DUMMYFUNCTION("GOOGLETRANSLATE('Brawl Stars'!A86,""ru"",""en"")"),"How many star powers are there in the game at the moment?")</f>
        <v>How many star powers are there in the game at the moment?</v>
      </c>
      <c r="B86" s="15" t="str">
        <f ca="1">IFERROR(__xludf.DUMMYFUNCTION("GOOGLETRANSLATE('Brawl Stars'!B86,""ru"",""en"")"),"More than 150")</f>
        <v>More than 150</v>
      </c>
      <c r="C86" s="15" t="str">
        <f ca="1">IFERROR(__xludf.DUMMYFUNCTION("GOOGLETRANSLATE('Brawl Stars'!C86,""ru"",""en"")"),"About 100")</f>
        <v>About 100</v>
      </c>
      <c r="D86" s="15" t="str">
        <f ca="1">IFERROR(__xludf.DUMMYFUNCTION("GOOGLETRANSLATE('Brawl Stars'!D86,""ru"",""en"")"),"About 200")</f>
        <v>About 200</v>
      </c>
      <c r="E86" s="16"/>
    </row>
    <row r="87" spans="1:26">
      <c r="A87" s="15" t="str">
        <f ca="1">IFERROR(__xludf.DUMMYFUNCTION("GOOGLETRANSLATE('Brawl Stars'!A87,""ru"",""en"")"),"How many crystals does it cost to buy an epic fighter?")</f>
        <v>How many crystals does it cost to buy an epic fighter?</v>
      </c>
      <c r="B87" s="15" t="str">
        <f ca="1">IFERROR(__xludf.DUMMYFUNCTION("GOOGLETRANSLATE('Brawl Stars'!B87,""ru"",""en"")"),"169")</f>
        <v>169</v>
      </c>
      <c r="C87" s="15" t="str">
        <f ca="1">IFERROR(__xludf.DUMMYFUNCTION("GOOGLETRANSLATE('Brawl Stars'!C87,""ru"",""en"")"),"349")</f>
        <v>349</v>
      </c>
      <c r="D87" s="15" t="str">
        <f ca="1">IFERROR(__xludf.DUMMYFUNCTION("GOOGLETRANSLATE('Brawl Stars'!D87,""ru"",""en"")"),"699")</f>
        <v>699</v>
      </c>
      <c r="E87" s="16"/>
    </row>
    <row r="88" spans="1:26">
      <c r="A88" s="15" t="str">
        <f ca="1">IFERROR(__xludf.DUMMYFUNCTION("GOOGLETRANSLATE('Brawl Stars'!A88,""ru"",""en"")"),"How many crystals does it cost to buy a legendary fighter?")</f>
        <v>How many crystals does it cost to buy a legendary fighter?</v>
      </c>
      <c r="B88" s="15" t="str">
        <f ca="1">IFERROR(__xludf.DUMMYFUNCTION("GOOGLETRANSLATE('Brawl Stars'!B88,""ru"",""en"")"),"699")</f>
        <v>699</v>
      </c>
      <c r="C88" s="15" t="str">
        <f ca="1">IFERROR(__xludf.DUMMYFUNCTION("GOOGLETRANSLATE('Brawl Stars'!C88,""ru"",""en"")"),"169")</f>
        <v>169</v>
      </c>
      <c r="D88" s="15" t="str">
        <f ca="1">IFERROR(__xludf.DUMMYFUNCTION("GOOGLETRANSLATE('Brawl Stars'!D88,""ru"",""en"")"),"349")</f>
        <v>349</v>
      </c>
      <c r="E88" s="16"/>
    </row>
    <row r="89" spans="1:26">
      <c r="A89" s="15" t="str">
        <f ca="1">IFERROR(__xludf.DUMMYFUNCTION("GOOGLETRANSLATE('Brawl Stars'!A89,""ru"",""en"")"),"What color represents the legendary rarity of fighters?")</f>
        <v>What color represents the legendary rarity of fighters?</v>
      </c>
      <c r="B89" s="15" t="str">
        <f ca="1">IFERROR(__xludf.DUMMYFUNCTION("GOOGLETRANSLATE('Brawl Stars'!B89,""ru"",""en"")"),"Yellow")</f>
        <v>Yellow</v>
      </c>
      <c r="C89" s="15" t="str">
        <f ca="1">IFERROR(__xludf.DUMMYFUNCTION("GOOGLETRANSLATE('Brawl Stars'!C89,""ru"",""en"")"),"Red")</f>
        <v>Red</v>
      </c>
      <c r="D89" s="15" t="str">
        <f ca="1">IFERROR(__xludf.DUMMYFUNCTION("GOOGLETRANSLATE('Brawl Stars'!D89,""ru"",""en"")"),"Violet")</f>
        <v>Violet</v>
      </c>
      <c r="E89" s="16"/>
    </row>
    <row r="90" spans="1:26">
      <c r="A90" s="15" t="str">
        <f ca="1">IFERROR(__xludf.DUMMYFUNCTION("GOOGLETRANSLATE('Brawl Stars'!A90,""ru"",""en"")"),"What color represents the rare rarity of fighters?")</f>
        <v>What color represents the rare rarity of fighters?</v>
      </c>
      <c r="B90" s="15" t="str">
        <f ca="1">IFERROR(__xludf.DUMMYFUNCTION("GOOGLETRANSLATE('Brawl Stars'!B90,""ru"",""en"")"),"Green")</f>
        <v>Green</v>
      </c>
      <c r="C90" s="15" t="str">
        <f ca="1">IFERROR(__xludf.DUMMYFUNCTION("GOOGLETRANSLATE('Brawl Stars'!C90,""ru"",""en"")"),"Blue")</f>
        <v>Blue</v>
      </c>
      <c r="D90" s="15" t="str">
        <f ca="1">IFERROR(__xludf.DUMMYFUNCTION("GOOGLETRANSLATE('Brawl Stars'!D90,""ru"",""en"")"),"Blue")</f>
        <v>Blue</v>
      </c>
      <c r="E90" s="16"/>
    </row>
    <row r="91" spans="1:26">
      <c r="A91" s="15" t="str">
        <f ca="1">IFERROR(__xludf.DUMMYFUNCTION("GOOGLETRANSLATE('Brawl Stars'!A91,""ru"",""en"")"),"What color represents the super rare rarity of fighters?")</f>
        <v>What color represents the super rare rarity of fighters?</v>
      </c>
      <c r="B91" s="15" t="str">
        <f ca="1">IFERROR(__xludf.DUMMYFUNCTION("GOOGLETRANSLATE('Brawl Stars'!B91,""ru"",""en"")"),"Blue")</f>
        <v>Blue</v>
      </c>
      <c r="C91" s="15" t="str">
        <f ca="1">IFERROR(__xludf.DUMMYFUNCTION("GOOGLETRANSLATE('Brawl Stars'!C91,""ru"",""en"")"),"Green")</f>
        <v>Green</v>
      </c>
      <c r="D91" s="15" t="str">
        <f ca="1">IFERROR(__xludf.DUMMYFUNCTION("GOOGLETRANSLATE('Brawl Stars'!D91,""ru"",""en"")"),"Violet")</f>
        <v>Violet</v>
      </c>
      <c r="E91" s="16"/>
    </row>
    <row r="92" spans="1:26">
      <c r="A92" s="15" t="str">
        <f ca="1">IFERROR(__xludf.DUMMYFUNCTION("GOOGLETRANSLATE('Brawl Stars'!A92,""ru"",""en"")"),"How many trophies on Path to Glory will get you Barley?")</f>
        <v>How many trophies on Path to Glory will get you Barley?</v>
      </c>
      <c r="B92" s="15" t="str">
        <f ca="1">IFERROR(__xludf.DUMMYFUNCTION("GOOGLETRANSLATE('Brawl Stars'!B92,""ru"",""en"")"),"650")</f>
        <v>650</v>
      </c>
      <c r="C92" s="15" t="str">
        <f ca="1">IFERROR(__xludf.DUMMYFUNCTION("GOOGLETRANSLATE('Brawl Stars'!C92,""ru"",""en"")"),"210")</f>
        <v>210</v>
      </c>
      <c r="D92" s="15" t="str">
        <f ca="1">IFERROR(__xludf.DUMMYFUNCTION("GOOGLETRANSLATE('Brawl Stars'!D92,""ru"",""en"")"),"960")</f>
        <v>960</v>
      </c>
      <c r="E92" s="16"/>
    </row>
    <row r="93" spans="1:26">
      <c r="A93" s="15" t="str">
        <f ca="1">IFERROR(__xludf.DUMMYFUNCTION("GOOGLETRANSLATE('Brawl Stars'!A93,""ru"",""en"")"),"How many trophies on Road to Glory will get you Poco?")</f>
        <v>How many trophies on Road to Glory will get you Poco?</v>
      </c>
      <c r="B93" s="15" t="str">
        <f ca="1">IFERROR(__xludf.DUMMYFUNCTION("GOOGLETRANSLATE('Brawl Stars'!B93,""ru"",""en"")"),"960")</f>
        <v>960</v>
      </c>
      <c r="C93" s="15" t="str">
        <f ca="1">IFERROR(__xludf.DUMMYFUNCTION("GOOGLETRANSLATE('Brawl Stars'!C93,""ru"",""en"")"),"650")</f>
        <v>650</v>
      </c>
      <c r="D93" s="15" t="str">
        <f ca="1">IFERROR(__xludf.DUMMYFUNCTION("GOOGLETRANSLATE('Brawl Stars'!D93,""ru"",""en"")"),"1300")</f>
        <v>1300</v>
      </c>
      <c r="E93" s="16"/>
    </row>
    <row r="94" spans="1:26">
      <c r="A94" s="15" t="str">
        <f ca="1">IFERROR(__xludf.DUMMYFUNCTION("GOOGLETRANSLATE('Brawl Stars'!A94,""ru"",""en"")"),"How many trophies on Path to Glory will get Brok?")</f>
        <v>How many trophies on Path to Glory will get Brok?</v>
      </c>
      <c r="B94" s="15" t="str">
        <f ca="1">IFERROR(__xludf.DUMMYFUNCTION("GOOGLETRANSLATE('Brawl Stars'!B94,""ru"",""en"")"),"1850")</f>
        <v>1850</v>
      </c>
      <c r="C94" s="15" t="str">
        <f ca="1">IFERROR(__xludf.DUMMYFUNCTION("GOOGLETRANSLATE('Brawl Stars'!C94,""ru"",""en"")"),"1300")</f>
        <v>1300</v>
      </c>
      <c r="D94" s="15" t="str">
        <f ca="1">IFERROR(__xludf.DUMMYFUNCTION("GOOGLETRANSLATE('Brawl Stars'!D94,""ru"",""en"")"),"2600")</f>
        <v>2600</v>
      </c>
      <c r="E94" s="16"/>
    </row>
    <row r="95" spans="1:26">
      <c r="A95" s="15" t="str">
        <f ca="1">IFERROR(__xludf.DUMMYFUNCTION("GOOGLETRANSLATE('Brawl Stars'!A95,""ru"",""en"")"),"Which super rare fighter is unlocked first based on the number of trophies?")</f>
        <v>Which super rare fighter is unlocked first based on the number of trophies?</v>
      </c>
      <c r="B95" s="15" t="str">
        <f ca="1">IFERROR(__xludf.DUMMYFUNCTION("GOOGLETRANSLATE('Brawl Stars'!B95,""ru"",""en"")"),"Jessie")</f>
        <v>Jessie</v>
      </c>
      <c r="C95" s="15" t="str">
        <f ca="1">IFERROR(__xludf.DUMMYFUNCTION("GOOGLETRANSLATE('Brawl Stars'!C95,""ru"",""en"")"),"Dynamike")</f>
        <v>Dynamike</v>
      </c>
      <c r="D95" s="15" t="str">
        <f ca="1">IFERROR(__xludf.DUMMYFUNCTION("GOOGLETRANSLATE('Brawl Stars'!D95,""ru"",""en"")"),"Teak")</f>
        <v>Teak</v>
      </c>
      <c r="E95" s="16"/>
    </row>
    <row r="96" spans="1:26">
      <c r="A96" s="15" t="str">
        <f ca="1">IFERROR(__xludf.DUMMYFUNCTION("GOOGLETRANSLATE('Brawl Stars'!A96,""ru"",""en"")"),"What animated series collaboration took place in September 2024?")</f>
        <v>What animated series collaboration took place in September 2024?</v>
      </c>
      <c r="B96" s="15" t="str">
        <f ca="1">IFERROR(__xludf.DUMMYFUNCTION("GOOGLETRANSLATE('Brawl Stars'!B96,""ru"",""en"")"),"SpongeBob")</f>
        <v>SpongeBob</v>
      </c>
      <c r="C96" s="15" t="str">
        <f ca="1">IFERROR(__xludf.DUMMYFUNCTION("GOOGLETRANSLATE('Brawl Stars'!C96,""ru"",""en"")"),"The Simpsons")</f>
        <v>The Simpsons</v>
      </c>
      <c r="D96" s="15" t="str">
        <f ca="1">IFERROR(__xludf.DUMMYFUNCTION("GOOGLETRANSLATE('Brawl Stars'!D96,""ru"",""en"")"),"Shrek")</f>
        <v>Shrek</v>
      </c>
      <c r="E96" s="17"/>
      <c r="F96" s="18"/>
      <c r="G96" s="18"/>
      <c r="H96" s="18"/>
      <c r="I96" s="18"/>
      <c r="J96" s="18"/>
      <c r="K96" s="18"/>
      <c r="L96" s="18"/>
      <c r="M96" s="18"/>
      <c r="N96" s="18"/>
      <c r="O96" s="18"/>
      <c r="P96" s="18"/>
      <c r="Q96" s="18"/>
      <c r="R96" s="18"/>
      <c r="S96" s="18"/>
      <c r="T96" s="18"/>
      <c r="U96" s="18"/>
      <c r="V96" s="18"/>
      <c r="W96" s="18"/>
      <c r="X96" s="18"/>
      <c r="Y96" s="18"/>
      <c r="Z96" s="18"/>
    </row>
    <row r="97" spans="1:26">
      <c r="A97" s="15" t="str">
        <f ca="1">IFERROR(__xludf.DUMMYFUNCTION("GOOGLETRANSLATE('Brawl Stars'!A97,""ru"",""en"")"),"What is the name of the event where developers announce updates?")</f>
        <v>What is the name of the event where developers announce updates?</v>
      </c>
      <c r="B97" s="15" t="str">
        <f ca="1">IFERROR(__xludf.DUMMYFUNCTION("GOOGLETRANSLATE('Brawl Stars'!B97,""ru"",""en"")"),"Brawl Talk")</f>
        <v>Brawl Talk</v>
      </c>
      <c r="C97" s="15" t="str">
        <f ca="1">IFERROR(__xludf.DUMMYFUNCTION("GOOGLETRANSLATE('Brawl Stars'!C97,""ru"",""en"")"),"Brawl Stars")</f>
        <v>Brawl Stars</v>
      </c>
      <c r="D97" s="15" t="str">
        <f ca="1">IFERROR(__xludf.DUMMYFUNCTION("GOOGLETRANSLATE('Brawl Stars'!D97,""ru"",""en"")"),"BrawlCon")</f>
        <v>BrawlCon</v>
      </c>
      <c r="E97" s="17"/>
      <c r="F97" s="18"/>
      <c r="G97" s="18"/>
      <c r="H97" s="18"/>
      <c r="I97" s="18"/>
      <c r="J97" s="18"/>
      <c r="K97" s="18"/>
      <c r="L97" s="18"/>
      <c r="M97" s="18"/>
      <c r="N97" s="18"/>
      <c r="O97" s="18"/>
      <c r="P97" s="18"/>
      <c r="Q97" s="18"/>
      <c r="R97" s="18"/>
      <c r="S97" s="18"/>
      <c r="T97" s="18"/>
      <c r="U97" s="18"/>
      <c r="V97" s="18"/>
      <c r="W97" s="18"/>
      <c r="X97" s="18"/>
      <c r="Y97" s="18"/>
      <c r="Z97" s="18"/>
    </row>
    <row r="98" spans="1:26">
      <c r="A98" s="15" t="str">
        <f ca="1">IFERROR(__xludf.DUMMYFUNCTION("GOOGLETRANSLATE('Brawl Stars'!A98,""ru"",""en"")"),"In which month is it traditional to give away one fighter for free?")</f>
        <v>In which month is it traditional to give away one fighter for free?</v>
      </c>
      <c r="B98" s="15" t="str">
        <f ca="1">IFERROR(__xludf.DUMMYFUNCTION("GOOGLETRANSLATE('Brawl Stars'!B98,""ru"",""en"")"),"In December")</f>
        <v>In December</v>
      </c>
      <c r="C98" s="15" t="str">
        <f ca="1">IFERROR(__xludf.DUMMYFUNCTION("GOOGLETRANSLATE('Brawl Stars'!C98,""ru"",""en"")"),"In January")</f>
        <v>In January</v>
      </c>
      <c r="D98" s="15" t="str">
        <f ca="1">IFERROR(__xludf.DUMMYFUNCTION("GOOGLETRANSLATE('Brawl Stars'!D98,""ru"",""en"")"),"In May")</f>
        <v>In May</v>
      </c>
      <c r="E98" s="16"/>
    </row>
    <row r="99" spans="1:26">
      <c r="A99" s="15" t="str">
        <f ca="1">IFERROR(__xludf.DUMMYFUNCTION("GOOGLETRANSLATE('Brawl Stars'!A99,""ru"",""en"")"),"Approximately how many brawlers are released each year in Brawl Stars?")</f>
        <v>Approximately how many brawlers are released each year in Brawl Stars?</v>
      </c>
      <c r="B99" s="15" t="str">
        <f ca="1">IFERROR(__xludf.DUMMYFUNCTION("GOOGLETRANSLATE('Brawl Stars'!B99,""ru"",""en"")"),"10-12")</f>
        <v>10-12</v>
      </c>
      <c r="C99" s="15" t="str">
        <f ca="1">IFERROR(__xludf.DUMMYFUNCTION("GOOGLETRANSLATE('Brawl Stars'!C99,""ru"",""en"")"),"6-8")</f>
        <v>6-8</v>
      </c>
      <c r="D99" s="15" t="str">
        <f ca="1">IFERROR(__xludf.DUMMYFUNCTION("GOOGLETRANSLATE('Brawl Stars'!D99,""ru"",""en"")"),"15-20")</f>
        <v>15-20</v>
      </c>
      <c r="E99" s="16"/>
    </row>
    <row r="100" spans="1:26">
      <c r="A100" s="15" t="str">
        <f ca="1">IFERROR(__xludf.DUMMYFUNCTION("GOOGLETRANSLATE('Brawl Stars'!A100,""ru"",""en"")"),"Since when have Brawlers been released every month a week before the Brawl Pass season starts?")</f>
        <v>Since when have Brawlers been released every month a week before the Brawl Pass season starts?</v>
      </c>
      <c r="B100" s="15" t="str">
        <f ca="1">IFERROR(__xludf.DUMMYFUNCTION("GOOGLETRANSLATE('Brawl Stars'!B100,""ru"",""en"")"),"From 2024")</f>
        <v>From 2024</v>
      </c>
      <c r="C100" s="15" t="str">
        <f ca="1">IFERROR(__xludf.DUMMYFUNCTION("GOOGLETRANSLATE('Brawl Stars'!C100,""ru"",""en"")"),"From 2023")</f>
        <v>From 2023</v>
      </c>
      <c r="D100" s="15" t="str">
        <f ca="1">IFERROR(__xludf.DUMMYFUNCTION("GOOGLETRANSLATE('Brawl Stars'!D100,""ru"",""en"")"),"From 2022")</f>
        <v>From 2022</v>
      </c>
      <c r="E100" s="16"/>
    </row>
    <row r="101" spans="1:26">
      <c r="A101" s="15" t="str">
        <f ca="1">IFERROR(__xludf.DUMMYFUNCTION("GOOGLETRANSLATE('Brawl Stars'!A101,""ru"",""en"")"),"What determines a fighter's rarity when they are added to the game?")</f>
        <v>What determines a fighter's rarity when they are added to the game?</v>
      </c>
      <c r="B101" s="15" t="str">
        <f ca="1">IFERROR(__xludf.DUMMYFUNCTION("GOOGLETRANSLATE('Brawl Stars'!B101,""ru"",""en"")"),"Complexity of mechanics")</f>
        <v>Complexity of mechanics</v>
      </c>
      <c r="C101" s="15" t="str">
        <f ca="1">IFERROR(__xludf.DUMMYFUNCTION("GOOGLETRANSLATE('Brawl Stars'!C101,""ru"",""en"")"),"Fighter's power")</f>
        <v>Fighter's power</v>
      </c>
      <c r="D101" s="15" t="str">
        <f ca="1">IFERROR(__xludf.DUMMYFUNCTION("GOOGLETRANSLATE('Brawl Stars'!D101,""ru"",""en"")"),"Popularity among players")</f>
        <v>Popularity among players</v>
      </c>
      <c r="E101" s="16"/>
    </row>
    <row r="102" spans="1:26">
      <c r="A102" s="15" t="str">
        <f ca="1">IFERROR(__xludf.DUMMYFUNCTION("GOOGLETRANSLATE('Brawl Stars'!A102,""ru"",""en"")"),"Which fighters were made free in the December updates?")</f>
        <v>Which fighters were made free in the December updates?</v>
      </c>
      <c r="B102" s="15" t="str">
        <f ca="1">IFERROR(__xludf.DUMMYFUNCTION("GOOGLETRANSLATE('Brawl Stars'!B102,""ru"",""en"")"),"Edgar, Thunder, Gray, Miko, Meeple")</f>
        <v>Edgar, Thunder, Gray, Miko, Meeple</v>
      </c>
      <c r="C102" s="15" t="str">
        <f ca="1">IFERROR(__xludf.DUMMYFUNCTION("GOOGLETRANSLATE('Brawl Stars'!C102,""ru"",""en"")"),"Spike, Raven, Leon, Sandy")</f>
        <v>Spike, Raven, Leon, Sandy</v>
      </c>
      <c r="D102" s="15" t="str">
        <f ca="1">IFERROR(__xludf.DUMMYFUNCTION("GOOGLETRANSLATE('Brawl Stars'!D102,""ru"",""en"")"),"Mortis, Tara, Jean, Max")</f>
        <v>Mortis, Tara, Jean, Max</v>
      </c>
      <c r="E102" s="16"/>
    </row>
    <row r="103" spans="1:26">
      <c r="A103" s="15" t="str">
        <f ca="1">IFERROR(__xludf.DUMMYFUNCTION("GOOGLETRANSLATE('Brawl Stars'!A103,""ru"",""en"")"),"When was Buzz Lightyear removed from the game?")</f>
        <v>When was Buzz Lightyear removed from the game?</v>
      </c>
      <c r="B103" s="15" t="str">
        <f ca="1">IFERROR(__xludf.DUMMYFUNCTION("GOOGLETRANSLATE('Brawl Stars'!B103,""ru"",""en"")"),"February 4, 2025")</f>
        <v>February 4, 2025</v>
      </c>
      <c r="C103" s="15" t="str">
        <f ca="1">IFERROR(__xludf.DUMMYFUNCTION("GOOGLETRANSLATE('Brawl Stars'!C103,""ru"",""en"")"),"December 31, 2024")</f>
        <v>December 31, 2024</v>
      </c>
      <c r="D103" s="15" t="str">
        <f ca="1">IFERROR(__xludf.DUMMYFUNCTION("GOOGLETRANSLATE('Brawl Stars'!D103,""ru"",""en"")"),"January 1, 2025")</f>
        <v>January 1, 2025</v>
      </c>
      <c r="E103" s="16"/>
    </row>
    <row r="104" spans="1:26">
      <c r="A104" s="15" t="str">
        <f ca="1">IFERROR(__xludf.DUMMYFUNCTION("GOOGLETRANSLATE('Brawl Stars'!A104,""ru"",""en"")"),"What rare thing has an iridescent color?")</f>
        <v>What rare thing has an iridescent color?</v>
      </c>
      <c r="B104" s="15" t="str">
        <f ca="1">IFERROR(__xludf.DUMMYFUNCTION("GOOGLETRANSLATE('Brawl Stars'!B104,""ru"",""en"")"),"Ultra-legendary")</f>
        <v>Ultra-legendary</v>
      </c>
      <c r="C104" s="15" t="str">
        <f ca="1">IFERROR(__xludf.DUMMYFUNCTION("GOOGLETRANSLATE('Brawl Stars'!C104,""ru"",""en"")"),"Legendary")</f>
        <v>Legendary</v>
      </c>
      <c r="D104" s="15" t="str">
        <f ca="1">IFERROR(__xludf.DUMMYFUNCTION("GOOGLETRANSLATE('Brawl Stars'!D104,""ru"",""en"")"),"Mythical")</f>
        <v>Mythical</v>
      </c>
      <c r="E104" s="16"/>
    </row>
    <row r="105" spans="1:26">
      <c r="A105" s="15" t="str">
        <f ca="1">IFERROR(__xludf.DUMMYFUNCTION("GOOGLETRANSLATE('Brawl Stars'!A105,""ru"",""en"")"),"Which rarity has the least amount of fighters?")</f>
        <v>Which rarity has the least amount of fighters?</v>
      </c>
      <c r="B105" s="15" t="str">
        <f ca="1">IFERROR(__xludf.DUMMYFUNCTION("GOOGLETRANSLATE('Brawl Stars'!B105,""ru"",""en"")"),"Initial")</f>
        <v>Initial</v>
      </c>
      <c r="C105" s="15" t="str">
        <f ca="1">IFERROR(__xludf.DUMMYFUNCTION("GOOGLETRANSLATE('Brawl Stars'!C105,""ru"",""en"")"),"Ultra-legendary")</f>
        <v>Ultra-legendary</v>
      </c>
      <c r="D105" s="15" t="str">
        <f ca="1">IFERROR(__xludf.DUMMYFUNCTION("GOOGLETRANSLATE('Brawl Stars'!D105,""ru"",""en"")"),"Temporary")</f>
        <v>Temporary</v>
      </c>
      <c r="E105" s="16"/>
    </row>
    <row r="106" spans="1:26">
      <c r="A106" s="15" t="str">
        <f ca="1">IFERROR(__xludf.DUMMYFUNCTION("GOOGLETRANSLATE('Brawl Stars'!A106,""ru"",""en"")"),"What music is the same for unlocking fighters for some rarities?")</f>
        <v>What music is the same for unlocking fighters for some rarities?</v>
      </c>
      <c r="B106" s="15" t="str">
        <f ca="1">IFERROR(__xludf.DUMMYFUNCTION("GOOGLETRANSLATE('Brawl Stars'!B106,""ru"",""en"")"),"Rare and Super Rare; Epic, Mythic and formerly Chromatic")</f>
        <v>Rare and Super Rare; Epic, Mythic and formerly Chromatic</v>
      </c>
      <c r="C106" s="15" t="str">
        <f ca="1">IFERROR(__xludf.DUMMYFUNCTION("GOOGLETRANSLATE('Brawl Stars'!C106,""ru"",""en"")"),"All rarities have unique music.")</f>
        <v>All rarities have unique music.</v>
      </c>
      <c r="D106" s="15" t="str">
        <f ca="1">IFERROR(__xludf.DUMMYFUNCTION("GOOGLETRANSLATE('Brawl Stars'!D106,""ru"",""en"")"),"Legendary and Ultra Legendary")</f>
        <v>Legendary and Ultra Legendary</v>
      </c>
      <c r="E106" s="16"/>
    </row>
    <row r="107" spans="1:26">
      <c r="E107" s="16"/>
    </row>
    <row r="108" spans="1:26">
      <c r="E108" s="16"/>
    </row>
    <row r="109" spans="1:26">
      <c r="E109" s="16"/>
    </row>
    <row r="110" spans="1:26">
      <c r="E110" s="16"/>
    </row>
    <row r="111" spans="1:26">
      <c r="B111" s="16"/>
      <c r="C111" s="16"/>
      <c r="D111" s="16"/>
      <c r="E111" s="16"/>
    </row>
    <row r="112" spans="1:26">
      <c r="B112" s="16"/>
      <c r="C112" s="16"/>
      <c r="D112" s="16"/>
      <c r="E112" s="16"/>
    </row>
    <row r="113" spans="2:5">
      <c r="B113" s="16"/>
      <c r="C113" s="16"/>
      <c r="D113" s="16"/>
      <c r="E113" s="16"/>
    </row>
    <row r="114" spans="2:5">
      <c r="B114" s="16"/>
      <c r="C114" s="16"/>
      <c r="D114" s="16"/>
      <c r="E114" s="16"/>
    </row>
    <row r="115" spans="2:5">
      <c r="B115" s="16"/>
      <c r="C115" s="16"/>
      <c r="D115" s="16"/>
      <c r="E115" s="16"/>
    </row>
    <row r="116" spans="2:5">
      <c r="B116" s="16"/>
      <c r="C116" s="16"/>
      <c r="D116" s="16"/>
      <c r="E116" s="16"/>
    </row>
    <row r="117" spans="2:5">
      <c r="B117" s="16"/>
      <c r="C117" s="16"/>
      <c r="D117" s="16"/>
      <c r="E117" s="16"/>
    </row>
    <row r="118" spans="2:5">
      <c r="B118" s="16"/>
      <c r="C118" s="16"/>
      <c r="D118" s="16"/>
      <c r="E118" s="16"/>
    </row>
    <row r="119" spans="2:5">
      <c r="B119" s="16"/>
      <c r="C119" s="16"/>
      <c r="D119" s="16"/>
      <c r="E119" s="16"/>
    </row>
    <row r="120" spans="2:5">
      <c r="B120" s="16"/>
      <c r="C120" s="16"/>
      <c r="D120" s="16"/>
      <c r="E120" s="16"/>
    </row>
    <row r="121" spans="2:5">
      <c r="B121" s="16"/>
      <c r="C121" s="16"/>
      <c r="D121" s="16"/>
      <c r="E121" s="16"/>
    </row>
    <row r="122" spans="2:5">
      <c r="B122" s="16"/>
      <c r="C122" s="16"/>
      <c r="D122" s="16"/>
      <c r="E122" s="16"/>
    </row>
    <row r="123" spans="2:5">
      <c r="B123" s="16"/>
      <c r="C123" s="16"/>
      <c r="D123" s="16"/>
      <c r="E123" s="16"/>
    </row>
    <row r="124" spans="2:5">
      <c r="B124" s="16"/>
      <c r="C124" s="16"/>
      <c r="D124" s="16"/>
      <c r="E124" s="16"/>
    </row>
    <row r="125" spans="2:5">
      <c r="B125" s="16"/>
      <c r="C125" s="16"/>
      <c r="D125" s="16"/>
      <c r="E125" s="16"/>
    </row>
    <row r="126" spans="2:5">
      <c r="B126" s="16"/>
      <c r="C126" s="16"/>
      <c r="D126" s="16"/>
      <c r="E126" s="16"/>
    </row>
    <row r="127" spans="2:5">
      <c r="B127" s="16"/>
      <c r="C127" s="16"/>
      <c r="D127" s="16"/>
      <c r="E127" s="16"/>
    </row>
    <row r="128" spans="2:5">
      <c r="B128" s="16"/>
      <c r="C128" s="16"/>
      <c r="D128" s="16"/>
      <c r="E128" s="16"/>
    </row>
    <row r="129" spans="2:5">
      <c r="B129" s="16"/>
      <c r="C129" s="16"/>
      <c r="D129" s="16"/>
      <c r="E129" s="16"/>
    </row>
    <row r="130" spans="2:5">
      <c r="B130" s="16"/>
      <c r="C130" s="16"/>
      <c r="D130" s="16"/>
      <c r="E130" s="16"/>
    </row>
    <row r="131" spans="2:5">
      <c r="B131" s="16"/>
      <c r="C131" s="16"/>
      <c r="D131" s="16"/>
      <c r="E131" s="16"/>
    </row>
    <row r="132" spans="2:5">
      <c r="B132" s="16"/>
      <c r="C132" s="16"/>
      <c r="D132" s="16"/>
      <c r="E132" s="16"/>
    </row>
    <row r="133" spans="2:5">
      <c r="B133" s="16"/>
      <c r="C133" s="16"/>
      <c r="D133" s="16"/>
      <c r="E133" s="16"/>
    </row>
    <row r="134" spans="2:5">
      <c r="B134" s="16"/>
      <c r="C134" s="16"/>
      <c r="D134" s="16"/>
      <c r="E134" s="16"/>
    </row>
    <row r="135" spans="2:5">
      <c r="B135" s="16"/>
      <c r="C135" s="16"/>
      <c r="D135" s="16"/>
      <c r="E135" s="16"/>
    </row>
    <row r="136" spans="2:5">
      <c r="B136" s="16"/>
      <c r="C136" s="16"/>
      <c r="D136" s="16"/>
      <c r="E136" s="16"/>
    </row>
    <row r="137" spans="2:5">
      <c r="B137" s="16"/>
      <c r="C137" s="16"/>
      <c r="D137" s="16"/>
      <c r="E137" s="16"/>
    </row>
    <row r="138" spans="2:5">
      <c r="B138" s="16"/>
      <c r="C138" s="16"/>
      <c r="D138" s="16"/>
      <c r="E138" s="16"/>
    </row>
    <row r="139" spans="2:5">
      <c r="B139" s="16"/>
      <c r="C139" s="16"/>
      <c r="D139" s="16"/>
      <c r="E139" s="16"/>
    </row>
    <row r="140" spans="2:5">
      <c r="B140" s="16"/>
      <c r="C140" s="16"/>
      <c r="D140" s="16"/>
      <c r="E140" s="16"/>
    </row>
    <row r="141" spans="2:5">
      <c r="B141" s="16"/>
      <c r="C141" s="16"/>
      <c r="D141" s="16"/>
      <c r="E141" s="16"/>
    </row>
    <row r="142" spans="2:5">
      <c r="B142" s="16"/>
      <c r="C142" s="16"/>
      <c r="D142" s="16"/>
      <c r="E142" s="16"/>
    </row>
    <row r="143" spans="2:5">
      <c r="B143" s="16"/>
      <c r="C143" s="16"/>
      <c r="D143" s="16"/>
      <c r="E143" s="16"/>
    </row>
    <row r="144" spans="2:5">
      <c r="B144" s="16"/>
      <c r="C144" s="16"/>
      <c r="D144" s="16"/>
      <c r="E144" s="16"/>
    </row>
    <row r="145" spans="2:5">
      <c r="B145" s="16"/>
      <c r="C145" s="16"/>
      <c r="D145" s="16"/>
      <c r="E145" s="16"/>
    </row>
    <row r="146" spans="2:5">
      <c r="B146" s="16"/>
      <c r="C146" s="16"/>
      <c r="D146" s="16"/>
      <c r="E146" s="16"/>
    </row>
    <row r="147" spans="2:5">
      <c r="B147" s="16"/>
      <c r="C147" s="16"/>
      <c r="D147" s="16"/>
      <c r="E147" s="16"/>
    </row>
    <row r="148" spans="2:5">
      <c r="B148" s="16"/>
      <c r="C148" s="16"/>
      <c r="D148" s="16"/>
      <c r="E148" s="16"/>
    </row>
    <row r="149" spans="2:5">
      <c r="B149" s="16"/>
      <c r="C149" s="16"/>
      <c r="D149" s="16"/>
      <c r="E149" s="16"/>
    </row>
    <row r="150" spans="2:5">
      <c r="B150" s="16"/>
      <c r="C150" s="16"/>
      <c r="D150" s="16"/>
      <c r="E150" s="16"/>
    </row>
    <row r="151" spans="2:5">
      <c r="B151" s="16"/>
      <c r="C151" s="16"/>
      <c r="D151" s="16"/>
      <c r="E151" s="16"/>
    </row>
    <row r="152" spans="2:5">
      <c r="B152" s="16"/>
      <c r="C152" s="16"/>
      <c r="D152" s="16"/>
      <c r="E152" s="16"/>
    </row>
    <row r="153" spans="2:5">
      <c r="B153" s="16"/>
      <c r="C153" s="16"/>
      <c r="D153" s="16"/>
      <c r="E153" s="16"/>
    </row>
    <row r="154" spans="2:5">
      <c r="B154" s="16"/>
      <c r="C154" s="16"/>
      <c r="D154" s="16"/>
      <c r="E154" s="16"/>
    </row>
    <row r="155" spans="2:5">
      <c r="B155" s="16"/>
      <c r="C155" s="16"/>
      <c r="D155" s="16"/>
      <c r="E155" s="16"/>
    </row>
    <row r="156" spans="2:5">
      <c r="B156" s="16"/>
      <c r="C156" s="16"/>
      <c r="D156" s="16"/>
      <c r="E156" s="16"/>
    </row>
    <row r="157" spans="2:5">
      <c r="B157" s="16"/>
      <c r="C157" s="16"/>
      <c r="D157" s="16"/>
      <c r="E157" s="16"/>
    </row>
    <row r="158" spans="2:5">
      <c r="B158" s="16"/>
      <c r="C158" s="16"/>
      <c r="D158" s="16"/>
      <c r="E158" s="16"/>
    </row>
    <row r="159" spans="2:5">
      <c r="B159" s="16"/>
      <c r="C159" s="16"/>
      <c r="D159" s="16"/>
      <c r="E159" s="16"/>
    </row>
    <row r="160" spans="2:5">
      <c r="B160" s="16"/>
      <c r="C160" s="16"/>
      <c r="D160" s="16"/>
      <c r="E160" s="16"/>
    </row>
    <row r="161" spans="2:5">
      <c r="B161" s="16"/>
      <c r="C161" s="16"/>
      <c r="D161" s="16"/>
      <c r="E161" s="16"/>
    </row>
    <row r="162" spans="2:5">
      <c r="B162" s="16"/>
      <c r="C162" s="16"/>
      <c r="D162" s="16"/>
      <c r="E162" s="16"/>
    </row>
    <row r="163" spans="2:5">
      <c r="B163" s="16"/>
      <c r="C163" s="16"/>
      <c r="D163" s="16"/>
      <c r="E163" s="16"/>
    </row>
    <row r="164" spans="2:5">
      <c r="B164" s="16"/>
      <c r="C164" s="16"/>
      <c r="D164" s="16"/>
      <c r="E164" s="16"/>
    </row>
    <row r="165" spans="2:5">
      <c r="B165" s="16"/>
      <c r="C165" s="16"/>
      <c r="D165" s="16"/>
      <c r="E165" s="16"/>
    </row>
    <row r="166" spans="2:5">
      <c r="B166" s="16"/>
      <c r="C166" s="16"/>
      <c r="D166" s="16"/>
      <c r="E166" s="16"/>
    </row>
    <row r="167" spans="2:5">
      <c r="B167" s="16"/>
      <c r="C167" s="16"/>
      <c r="D167" s="16"/>
      <c r="E167" s="16"/>
    </row>
    <row r="168" spans="2:5">
      <c r="B168" s="16"/>
      <c r="C168" s="16"/>
      <c r="D168" s="16"/>
      <c r="E168" s="16"/>
    </row>
    <row r="169" spans="2:5">
      <c r="B169" s="16"/>
      <c r="C169" s="16"/>
      <c r="D169" s="16"/>
      <c r="E169" s="16"/>
    </row>
    <row r="170" spans="2:5">
      <c r="B170" s="16"/>
      <c r="C170" s="16"/>
      <c r="D170" s="16"/>
      <c r="E170" s="16"/>
    </row>
    <row r="171" spans="2:5">
      <c r="B171" s="16"/>
      <c r="C171" s="16"/>
      <c r="D171" s="16"/>
      <c r="E171" s="16"/>
    </row>
    <row r="172" spans="2:5">
      <c r="B172" s="16"/>
      <c r="C172" s="16"/>
      <c r="D172" s="16"/>
      <c r="E172" s="16"/>
    </row>
    <row r="173" spans="2:5">
      <c r="B173" s="16"/>
      <c r="C173" s="16"/>
      <c r="D173" s="16"/>
      <c r="E173" s="16"/>
    </row>
    <row r="174" spans="2:5">
      <c r="B174" s="16"/>
      <c r="C174" s="16"/>
      <c r="D174" s="16"/>
      <c r="E174" s="16"/>
    </row>
    <row r="175" spans="2:5">
      <c r="B175" s="16"/>
      <c r="C175" s="16"/>
      <c r="D175" s="16"/>
      <c r="E175" s="16"/>
    </row>
    <row r="176" spans="2:5">
      <c r="B176" s="16"/>
      <c r="C176" s="16"/>
      <c r="D176" s="16"/>
      <c r="E176" s="16"/>
    </row>
    <row r="177" spans="2:5">
      <c r="B177" s="16"/>
      <c r="C177" s="16"/>
      <c r="D177" s="16"/>
      <c r="E177" s="16"/>
    </row>
    <row r="178" spans="2:5">
      <c r="B178" s="16"/>
      <c r="C178" s="16"/>
      <c r="D178" s="16"/>
      <c r="E178" s="16"/>
    </row>
    <row r="179" spans="2:5">
      <c r="B179" s="16"/>
      <c r="C179" s="16"/>
      <c r="D179" s="16"/>
      <c r="E179" s="16"/>
    </row>
    <row r="180" spans="2:5">
      <c r="B180" s="16"/>
      <c r="C180" s="16"/>
      <c r="D180" s="16"/>
      <c r="E180" s="16"/>
    </row>
    <row r="181" spans="2:5">
      <c r="B181" s="16"/>
      <c r="C181" s="16"/>
      <c r="D181" s="16"/>
      <c r="E181" s="16"/>
    </row>
    <row r="182" spans="2:5">
      <c r="B182" s="16"/>
      <c r="C182" s="16"/>
      <c r="D182" s="16"/>
      <c r="E182" s="16"/>
    </row>
    <row r="183" spans="2:5">
      <c r="B183" s="16"/>
      <c r="C183" s="16"/>
      <c r="D183" s="16"/>
      <c r="E183" s="16"/>
    </row>
    <row r="184" spans="2:5">
      <c r="B184" s="16"/>
      <c r="C184" s="16"/>
      <c r="D184" s="16"/>
      <c r="E184" s="16"/>
    </row>
    <row r="185" spans="2:5">
      <c r="B185" s="16"/>
      <c r="C185" s="16"/>
      <c r="D185" s="16"/>
      <c r="E185" s="16"/>
    </row>
    <row r="186" spans="2:5">
      <c r="B186" s="16"/>
      <c r="C186" s="16"/>
      <c r="D186" s="16"/>
      <c r="E186" s="16"/>
    </row>
    <row r="187" spans="2:5">
      <c r="B187" s="16"/>
      <c r="C187" s="16"/>
      <c r="D187" s="16"/>
      <c r="E187" s="16"/>
    </row>
    <row r="188" spans="2:5">
      <c r="B188" s="16"/>
      <c r="C188" s="16"/>
      <c r="D188" s="16"/>
      <c r="E188" s="16"/>
    </row>
    <row r="189" spans="2:5">
      <c r="B189" s="16"/>
      <c r="C189" s="16"/>
      <c r="D189" s="16"/>
      <c r="E189" s="16"/>
    </row>
    <row r="190" spans="2:5">
      <c r="B190" s="16"/>
      <c r="C190" s="16"/>
      <c r="D190" s="16"/>
      <c r="E190" s="16"/>
    </row>
    <row r="191" spans="2:5">
      <c r="B191" s="16"/>
      <c r="C191" s="16"/>
      <c r="D191" s="16"/>
      <c r="E191" s="16"/>
    </row>
    <row r="192" spans="2:5">
      <c r="B192" s="16"/>
      <c r="C192" s="16"/>
      <c r="D192" s="16"/>
      <c r="E192" s="16"/>
    </row>
    <row r="193" spans="2:5">
      <c r="B193" s="16"/>
      <c r="C193" s="16"/>
      <c r="D193" s="16"/>
      <c r="E193" s="16"/>
    </row>
    <row r="194" spans="2:5">
      <c r="B194" s="16"/>
      <c r="C194" s="16"/>
      <c r="D194" s="16"/>
      <c r="E194" s="16"/>
    </row>
    <row r="195" spans="2:5">
      <c r="B195" s="16"/>
      <c r="C195" s="16"/>
      <c r="D195" s="16"/>
      <c r="E195" s="16"/>
    </row>
    <row r="196" spans="2:5">
      <c r="B196" s="16"/>
      <c r="C196" s="16"/>
      <c r="D196" s="16"/>
      <c r="E196" s="16"/>
    </row>
    <row r="197" spans="2:5">
      <c r="B197" s="16"/>
      <c r="C197" s="16"/>
      <c r="D197" s="16"/>
      <c r="E197" s="16"/>
    </row>
    <row r="198" spans="2:5">
      <c r="B198" s="16"/>
      <c r="C198" s="16"/>
      <c r="D198" s="16"/>
      <c r="E198" s="16"/>
    </row>
    <row r="199" spans="2:5">
      <c r="B199" s="16"/>
      <c r="C199" s="16"/>
      <c r="D199" s="16"/>
      <c r="E199" s="16"/>
    </row>
    <row r="200" spans="2:5">
      <c r="B200" s="16"/>
      <c r="C200" s="16"/>
      <c r="D200" s="16"/>
      <c r="E200" s="16"/>
    </row>
    <row r="201" spans="2:5">
      <c r="B201" s="16"/>
      <c r="C201" s="16"/>
      <c r="D201" s="16"/>
      <c r="E201" s="16"/>
    </row>
    <row r="202" spans="2:5">
      <c r="B202" s="16"/>
      <c r="C202" s="16"/>
      <c r="D202" s="16"/>
      <c r="E202" s="16"/>
    </row>
    <row r="203" spans="2:5">
      <c r="B203" s="16"/>
      <c r="C203" s="16"/>
      <c r="D203" s="16"/>
      <c r="E203" s="16"/>
    </row>
    <row r="204" spans="2:5">
      <c r="B204" s="16"/>
      <c r="C204" s="16"/>
      <c r="D204" s="16"/>
      <c r="E204" s="16"/>
    </row>
    <row r="205" spans="2:5">
      <c r="B205" s="16"/>
      <c r="C205" s="16"/>
      <c r="D205" s="16"/>
      <c r="E205" s="16"/>
    </row>
    <row r="206" spans="2:5">
      <c r="B206" s="16"/>
      <c r="C206" s="16"/>
      <c r="D206" s="16"/>
      <c r="E206" s="16"/>
    </row>
    <row r="207" spans="2:5">
      <c r="B207" s="16"/>
      <c r="C207" s="16"/>
      <c r="D207" s="16"/>
      <c r="E207" s="16"/>
    </row>
    <row r="208" spans="2:5">
      <c r="B208" s="16"/>
      <c r="C208" s="16"/>
      <c r="D208" s="16"/>
      <c r="E208" s="16"/>
    </row>
    <row r="209" spans="2:5">
      <c r="B209" s="16"/>
      <c r="C209" s="16"/>
      <c r="D209" s="16"/>
      <c r="E209" s="16"/>
    </row>
    <row r="210" spans="2:5">
      <c r="B210" s="16"/>
      <c r="C210" s="16"/>
      <c r="D210" s="16"/>
      <c r="E210" s="16"/>
    </row>
    <row r="211" spans="2:5">
      <c r="B211" s="16"/>
      <c r="C211" s="16"/>
      <c r="D211" s="16"/>
      <c r="E211" s="16"/>
    </row>
    <row r="212" spans="2:5">
      <c r="B212" s="16"/>
      <c r="C212" s="16"/>
      <c r="D212" s="16"/>
      <c r="E212" s="16"/>
    </row>
    <row r="213" spans="2:5">
      <c r="B213" s="16"/>
      <c r="C213" s="16"/>
      <c r="D213" s="16"/>
      <c r="E213" s="16"/>
    </row>
    <row r="214" spans="2:5">
      <c r="B214" s="16"/>
      <c r="C214" s="16"/>
      <c r="D214" s="16"/>
      <c r="E214" s="16"/>
    </row>
    <row r="215" spans="2:5">
      <c r="B215" s="16"/>
      <c r="C215" s="16"/>
      <c r="D215" s="16"/>
      <c r="E215" s="16"/>
    </row>
    <row r="216" spans="2:5">
      <c r="B216" s="16"/>
      <c r="C216" s="16"/>
      <c r="D216" s="16"/>
      <c r="E216" s="16"/>
    </row>
    <row r="217" spans="2:5">
      <c r="B217" s="16"/>
      <c r="C217" s="16"/>
      <c r="D217" s="16"/>
      <c r="E217" s="16"/>
    </row>
    <row r="218" spans="2:5">
      <c r="B218" s="16"/>
      <c r="C218" s="16"/>
      <c r="D218" s="16"/>
      <c r="E218" s="16"/>
    </row>
    <row r="219" spans="2:5">
      <c r="B219" s="16"/>
      <c r="C219" s="16"/>
      <c r="D219" s="16"/>
      <c r="E219" s="16"/>
    </row>
    <row r="220" spans="2:5">
      <c r="B220" s="16"/>
      <c r="C220" s="16"/>
      <c r="D220" s="16"/>
      <c r="E220" s="16"/>
    </row>
    <row r="221" spans="2:5">
      <c r="B221" s="16"/>
      <c r="C221" s="16"/>
      <c r="D221" s="16"/>
      <c r="E221" s="16"/>
    </row>
    <row r="222" spans="2:5">
      <c r="B222" s="16"/>
      <c r="C222" s="16"/>
      <c r="D222" s="16"/>
      <c r="E222" s="16"/>
    </row>
    <row r="223" spans="2:5">
      <c r="B223" s="16"/>
      <c r="C223" s="16"/>
      <c r="D223" s="16"/>
      <c r="E223" s="16"/>
    </row>
    <row r="224" spans="2:5">
      <c r="B224" s="16"/>
      <c r="C224" s="16"/>
      <c r="D224" s="16"/>
      <c r="E224" s="16"/>
    </row>
    <row r="225" spans="2:5">
      <c r="B225" s="16"/>
      <c r="C225" s="16"/>
      <c r="D225" s="16"/>
      <c r="E225" s="16"/>
    </row>
    <row r="226" spans="2:5">
      <c r="B226" s="16"/>
      <c r="C226" s="16"/>
      <c r="D226" s="16"/>
      <c r="E226" s="16"/>
    </row>
    <row r="227" spans="2:5">
      <c r="B227" s="16"/>
      <c r="C227" s="16"/>
      <c r="D227" s="16"/>
      <c r="E227" s="16"/>
    </row>
    <row r="228" spans="2:5">
      <c r="B228" s="16"/>
      <c r="C228" s="16"/>
      <c r="D228" s="16"/>
      <c r="E228" s="16"/>
    </row>
    <row r="229" spans="2:5">
      <c r="B229" s="16"/>
      <c r="C229" s="16"/>
      <c r="D229" s="16"/>
      <c r="E229" s="16"/>
    </row>
    <row r="230" spans="2:5">
      <c r="B230" s="16"/>
      <c r="C230" s="16"/>
      <c r="D230" s="16"/>
      <c r="E230" s="16"/>
    </row>
    <row r="231" spans="2:5">
      <c r="B231" s="16"/>
      <c r="C231" s="16"/>
      <c r="D231" s="16"/>
      <c r="E231" s="16"/>
    </row>
    <row r="232" spans="2:5">
      <c r="B232" s="16"/>
      <c r="C232" s="16"/>
      <c r="D232" s="16"/>
      <c r="E232" s="16"/>
    </row>
    <row r="233" spans="2:5">
      <c r="B233" s="16"/>
      <c r="C233" s="16"/>
      <c r="D233" s="16"/>
      <c r="E233" s="16"/>
    </row>
    <row r="234" spans="2:5">
      <c r="B234" s="16"/>
      <c r="C234" s="16"/>
      <c r="D234" s="16"/>
      <c r="E234" s="16"/>
    </row>
    <row r="235" spans="2:5">
      <c r="B235" s="16"/>
      <c r="C235" s="16"/>
      <c r="D235" s="16"/>
      <c r="E235" s="16"/>
    </row>
    <row r="236" spans="2:5">
      <c r="B236" s="16"/>
      <c r="C236" s="16"/>
      <c r="D236" s="16"/>
      <c r="E236" s="16"/>
    </row>
    <row r="237" spans="2:5">
      <c r="B237" s="16"/>
      <c r="C237" s="16"/>
      <c r="D237" s="16"/>
      <c r="E237" s="16"/>
    </row>
    <row r="238" spans="2:5">
      <c r="B238" s="16"/>
      <c r="C238" s="16"/>
      <c r="D238" s="16"/>
      <c r="E238" s="16"/>
    </row>
    <row r="239" spans="2:5">
      <c r="B239" s="16"/>
      <c r="C239" s="16"/>
      <c r="D239" s="16"/>
      <c r="E239" s="16"/>
    </row>
    <row r="240" spans="2:5">
      <c r="B240" s="16"/>
      <c r="C240" s="16"/>
      <c r="D240" s="16"/>
      <c r="E240" s="16"/>
    </row>
    <row r="241" spans="2:5">
      <c r="B241" s="16"/>
      <c r="C241" s="16"/>
      <c r="D241" s="16"/>
      <c r="E241" s="16"/>
    </row>
    <row r="242" spans="2:5">
      <c r="B242" s="16"/>
      <c r="C242" s="16"/>
      <c r="D242" s="16"/>
      <c r="E242" s="16"/>
    </row>
    <row r="243" spans="2:5">
      <c r="B243" s="16"/>
      <c r="C243" s="16"/>
      <c r="D243" s="16"/>
      <c r="E243" s="16"/>
    </row>
    <row r="244" spans="2:5">
      <c r="B244" s="16"/>
      <c r="C244" s="16"/>
      <c r="D244" s="16"/>
      <c r="E244" s="16"/>
    </row>
    <row r="245" spans="2:5">
      <c r="B245" s="16"/>
      <c r="C245" s="16"/>
      <c r="D245" s="16"/>
      <c r="E245" s="16"/>
    </row>
    <row r="246" spans="2:5">
      <c r="B246" s="16"/>
      <c r="C246" s="16"/>
      <c r="D246" s="16"/>
      <c r="E246" s="16"/>
    </row>
    <row r="247" spans="2:5">
      <c r="B247" s="16"/>
      <c r="C247" s="16"/>
      <c r="D247" s="16"/>
      <c r="E247" s="16"/>
    </row>
    <row r="248" spans="2:5">
      <c r="B248" s="16"/>
      <c r="C248" s="16"/>
      <c r="D248" s="16"/>
      <c r="E248" s="16"/>
    </row>
    <row r="249" spans="2:5">
      <c r="B249" s="16"/>
      <c r="C249" s="16"/>
      <c r="D249" s="16"/>
      <c r="E249" s="16"/>
    </row>
    <row r="250" spans="2:5">
      <c r="B250" s="16"/>
      <c r="C250" s="16"/>
      <c r="D250" s="16"/>
      <c r="E250" s="16"/>
    </row>
    <row r="251" spans="2:5">
      <c r="B251" s="16"/>
      <c r="C251" s="16"/>
      <c r="D251" s="16"/>
      <c r="E251" s="16"/>
    </row>
    <row r="252" spans="2:5">
      <c r="B252" s="16"/>
      <c r="C252" s="16"/>
      <c r="D252" s="16"/>
      <c r="E252" s="16"/>
    </row>
    <row r="253" spans="2:5">
      <c r="B253" s="16"/>
      <c r="C253" s="16"/>
      <c r="D253" s="16"/>
      <c r="E253" s="16"/>
    </row>
    <row r="254" spans="2:5">
      <c r="B254" s="16"/>
      <c r="C254" s="16"/>
      <c r="D254" s="16"/>
      <c r="E254" s="16"/>
    </row>
    <row r="255" spans="2:5">
      <c r="B255" s="16"/>
      <c r="C255" s="16"/>
      <c r="D255" s="16"/>
      <c r="E255" s="16"/>
    </row>
    <row r="256" spans="2:5">
      <c r="B256" s="16"/>
      <c r="C256" s="16"/>
      <c r="D256" s="16"/>
      <c r="E256" s="16"/>
    </row>
    <row r="257" spans="2:5">
      <c r="B257" s="16"/>
      <c r="C257" s="16"/>
      <c r="D257" s="16"/>
      <c r="E257" s="16"/>
    </row>
    <row r="258" spans="2:5">
      <c r="B258" s="16"/>
      <c r="C258" s="16"/>
      <c r="D258" s="16"/>
      <c r="E258" s="16"/>
    </row>
    <row r="259" spans="2:5">
      <c r="B259" s="16"/>
      <c r="C259" s="16"/>
      <c r="D259" s="16"/>
      <c r="E259" s="16"/>
    </row>
    <row r="260" spans="2:5">
      <c r="B260" s="16"/>
      <c r="C260" s="16"/>
      <c r="D260" s="16"/>
      <c r="E260" s="16"/>
    </row>
    <row r="261" spans="2:5">
      <c r="B261" s="16"/>
      <c r="C261" s="16"/>
      <c r="D261" s="16"/>
      <c r="E261" s="16"/>
    </row>
    <row r="262" spans="2:5">
      <c r="B262" s="16"/>
      <c r="C262" s="16"/>
      <c r="D262" s="16"/>
      <c r="E262" s="16"/>
    </row>
    <row r="263" spans="2:5">
      <c r="B263" s="16"/>
      <c r="C263" s="16"/>
      <c r="D263" s="16"/>
      <c r="E263" s="16"/>
    </row>
    <row r="264" spans="2:5">
      <c r="B264" s="16"/>
      <c r="C264" s="16"/>
      <c r="D264" s="16"/>
      <c r="E264" s="16"/>
    </row>
    <row r="265" spans="2:5">
      <c r="B265" s="16"/>
      <c r="C265" s="16"/>
      <c r="D265" s="16"/>
      <c r="E265" s="16"/>
    </row>
    <row r="266" spans="2:5">
      <c r="B266" s="16"/>
      <c r="C266" s="16"/>
      <c r="D266" s="16"/>
      <c r="E266" s="16"/>
    </row>
    <row r="267" spans="2:5">
      <c r="B267" s="16"/>
      <c r="C267" s="16"/>
      <c r="D267" s="16"/>
      <c r="E267" s="16"/>
    </row>
    <row r="268" spans="2:5">
      <c r="B268" s="16"/>
      <c r="C268" s="16"/>
      <c r="D268" s="16"/>
      <c r="E268" s="16"/>
    </row>
    <row r="269" spans="2:5">
      <c r="B269" s="16"/>
      <c r="C269" s="16"/>
      <c r="D269" s="16"/>
      <c r="E269" s="16"/>
    </row>
    <row r="270" spans="2:5">
      <c r="B270" s="16"/>
      <c r="C270" s="16"/>
      <c r="D270" s="16"/>
      <c r="E270" s="16"/>
    </row>
    <row r="271" spans="2:5">
      <c r="B271" s="16"/>
      <c r="C271" s="16"/>
      <c r="D271" s="16"/>
      <c r="E271" s="16"/>
    </row>
    <row r="272" spans="2:5">
      <c r="B272" s="16"/>
      <c r="C272" s="16"/>
      <c r="D272" s="16"/>
      <c r="E272" s="16"/>
    </row>
    <row r="273" spans="2:5">
      <c r="B273" s="16"/>
      <c r="C273" s="16"/>
      <c r="D273" s="16"/>
      <c r="E273" s="16"/>
    </row>
    <row r="274" spans="2:5">
      <c r="B274" s="16"/>
      <c r="C274" s="16"/>
      <c r="D274" s="16"/>
      <c r="E274" s="16"/>
    </row>
    <row r="275" spans="2:5">
      <c r="B275" s="16"/>
      <c r="C275" s="16"/>
      <c r="D275" s="16"/>
      <c r="E275" s="16"/>
    </row>
    <row r="276" spans="2:5">
      <c r="B276" s="16"/>
      <c r="C276" s="16"/>
      <c r="D276" s="16"/>
      <c r="E276" s="16"/>
    </row>
    <row r="277" spans="2:5">
      <c r="B277" s="16"/>
      <c r="C277" s="16"/>
      <c r="D277" s="16"/>
      <c r="E277" s="16"/>
    </row>
    <row r="278" spans="2:5">
      <c r="B278" s="16"/>
      <c r="C278" s="16"/>
      <c r="D278" s="16"/>
      <c r="E278" s="16"/>
    </row>
    <row r="279" spans="2:5">
      <c r="B279" s="16"/>
      <c r="C279" s="16"/>
      <c r="D279" s="16"/>
      <c r="E279" s="16"/>
    </row>
    <row r="280" spans="2:5">
      <c r="B280" s="16"/>
      <c r="C280" s="16"/>
      <c r="D280" s="16"/>
      <c r="E280" s="16"/>
    </row>
    <row r="281" spans="2:5">
      <c r="B281" s="16"/>
      <c r="C281" s="16"/>
      <c r="D281" s="16"/>
      <c r="E281" s="16"/>
    </row>
    <row r="282" spans="2:5">
      <c r="B282" s="16"/>
      <c r="C282" s="16"/>
      <c r="D282" s="16"/>
      <c r="E282" s="16"/>
    </row>
    <row r="283" spans="2:5">
      <c r="B283" s="16"/>
      <c r="C283" s="16"/>
      <c r="D283" s="16"/>
      <c r="E283" s="16"/>
    </row>
    <row r="284" spans="2:5">
      <c r="B284" s="16"/>
      <c r="C284" s="16"/>
      <c r="D284" s="16"/>
      <c r="E284" s="16"/>
    </row>
    <row r="285" spans="2:5">
      <c r="B285" s="16"/>
      <c r="C285" s="16"/>
      <c r="D285" s="16"/>
      <c r="E285" s="16"/>
    </row>
    <row r="286" spans="2:5">
      <c r="B286" s="16"/>
      <c r="C286" s="16"/>
      <c r="D286" s="16"/>
      <c r="E286" s="16"/>
    </row>
    <row r="287" spans="2:5">
      <c r="B287" s="16"/>
      <c r="C287" s="16"/>
      <c r="D287" s="16"/>
      <c r="E287" s="16"/>
    </row>
    <row r="288" spans="2:5">
      <c r="B288" s="16"/>
      <c r="C288" s="16"/>
      <c r="D288" s="16"/>
      <c r="E288" s="16"/>
    </row>
    <row r="289" spans="2:5">
      <c r="B289" s="16"/>
      <c r="C289" s="16"/>
      <c r="D289" s="16"/>
      <c r="E289" s="16"/>
    </row>
    <row r="290" spans="2:5">
      <c r="B290" s="16"/>
      <c r="C290" s="16"/>
      <c r="D290" s="16"/>
      <c r="E290" s="16"/>
    </row>
    <row r="291" spans="2:5">
      <c r="B291" s="16"/>
      <c r="C291" s="16"/>
      <c r="D291" s="16"/>
      <c r="E291" s="16"/>
    </row>
    <row r="292" spans="2:5">
      <c r="B292" s="16"/>
      <c r="C292" s="16"/>
      <c r="D292" s="16"/>
      <c r="E292" s="16"/>
    </row>
    <row r="293" spans="2:5">
      <c r="B293" s="16"/>
      <c r="C293" s="16"/>
      <c r="D293" s="16"/>
      <c r="E293" s="16"/>
    </row>
    <row r="294" spans="2:5">
      <c r="B294" s="16"/>
      <c r="C294" s="16"/>
      <c r="D294" s="16"/>
      <c r="E294" s="16"/>
    </row>
    <row r="295" spans="2:5">
      <c r="B295" s="16"/>
      <c r="C295" s="16"/>
      <c r="D295" s="16"/>
      <c r="E295" s="16"/>
    </row>
    <row r="296" spans="2:5">
      <c r="B296" s="16"/>
      <c r="C296" s="16"/>
      <c r="D296" s="16"/>
      <c r="E296" s="16"/>
    </row>
    <row r="297" spans="2:5">
      <c r="B297" s="16"/>
      <c r="C297" s="16"/>
      <c r="D297" s="16"/>
      <c r="E297" s="16"/>
    </row>
    <row r="298" spans="2:5">
      <c r="B298" s="16"/>
      <c r="C298" s="16"/>
      <c r="D298" s="16"/>
      <c r="E298" s="16"/>
    </row>
    <row r="299" spans="2:5">
      <c r="B299" s="16"/>
      <c r="C299" s="16"/>
      <c r="D299" s="16"/>
      <c r="E299" s="16"/>
    </row>
    <row r="300" spans="2:5">
      <c r="B300" s="16"/>
      <c r="C300" s="16"/>
      <c r="D300" s="16"/>
      <c r="E300" s="16"/>
    </row>
    <row r="301" spans="2:5">
      <c r="B301" s="16"/>
      <c r="C301" s="16"/>
      <c r="D301" s="16"/>
      <c r="E301" s="16"/>
    </row>
    <row r="302" spans="2:5">
      <c r="B302" s="16"/>
      <c r="C302" s="16"/>
      <c r="D302" s="16"/>
      <c r="E302" s="16"/>
    </row>
    <row r="303" spans="2:5">
      <c r="B303" s="16"/>
      <c r="C303" s="16"/>
      <c r="D303" s="16"/>
      <c r="E303" s="16"/>
    </row>
    <row r="304" spans="2:5">
      <c r="B304" s="16"/>
      <c r="C304" s="16"/>
      <c r="D304" s="16"/>
      <c r="E304" s="16"/>
    </row>
    <row r="305" spans="2:5">
      <c r="B305" s="16"/>
      <c r="C305" s="16"/>
      <c r="D305" s="16"/>
      <c r="E305" s="16"/>
    </row>
    <row r="306" spans="2:5">
      <c r="B306" s="16"/>
      <c r="C306" s="16"/>
      <c r="D306" s="16"/>
      <c r="E306" s="16"/>
    </row>
    <row r="307" spans="2:5">
      <c r="B307" s="16"/>
      <c r="C307" s="16"/>
      <c r="D307" s="16"/>
      <c r="E307" s="16"/>
    </row>
    <row r="308" spans="2:5">
      <c r="B308" s="16"/>
      <c r="C308" s="16"/>
      <c r="D308" s="16"/>
      <c r="E308" s="16"/>
    </row>
    <row r="309" spans="2:5">
      <c r="B309" s="16"/>
      <c r="C309" s="16"/>
      <c r="D309" s="16"/>
      <c r="E309" s="16"/>
    </row>
    <row r="310" spans="2:5">
      <c r="B310" s="16"/>
      <c r="C310" s="16"/>
      <c r="D310" s="16"/>
      <c r="E310" s="16"/>
    </row>
    <row r="311" spans="2:5">
      <c r="B311" s="16"/>
      <c r="C311" s="16"/>
      <c r="D311" s="16"/>
      <c r="E311" s="16"/>
    </row>
    <row r="312" spans="2:5">
      <c r="B312" s="16"/>
      <c r="C312" s="16"/>
      <c r="D312" s="16"/>
      <c r="E312" s="16"/>
    </row>
    <row r="313" spans="2:5">
      <c r="B313" s="16"/>
      <c r="C313" s="16"/>
      <c r="D313" s="16"/>
      <c r="E313" s="16"/>
    </row>
    <row r="314" spans="2:5">
      <c r="B314" s="16"/>
      <c r="C314" s="16"/>
      <c r="D314" s="16"/>
      <c r="E314" s="16"/>
    </row>
    <row r="315" spans="2:5">
      <c r="B315" s="16"/>
      <c r="C315" s="16"/>
      <c r="D315" s="16"/>
      <c r="E315" s="16"/>
    </row>
    <row r="316" spans="2:5">
      <c r="B316" s="16"/>
      <c r="C316" s="16"/>
      <c r="D316" s="16"/>
      <c r="E316" s="16"/>
    </row>
    <row r="317" spans="2:5">
      <c r="B317" s="16"/>
      <c r="C317" s="16"/>
      <c r="D317" s="16"/>
      <c r="E317" s="16"/>
    </row>
    <row r="318" spans="2:5">
      <c r="B318" s="16"/>
      <c r="C318" s="16"/>
      <c r="D318" s="16"/>
      <c r="E318" s="16"/>
    </row>
    <row r="319" spans="2:5">
      <c r="B319" s="16"/>
      <c r="C319" s="16"/>
      <c r="D319" s="16"/>
      <c r="E319" s="16"/>
    </row>
    <row r="320" spans="2:5">
      <c r="B320" s="16"/>
      <c r="C320" s="16"/>
      <c r="D320" s="16"/>
      <c r="E320" s="16"/>
    </row>
    <row r="321" spans="2:5">
      <c r="B321" s="16"/>
      <c r="C321" s="16"/>
      <c r="D321" s="16"/>
      <c r="E321" s="16"/>
    </row>
    <row r="322" spans="2:5">
      <c r="B322" s="16"/>
      <c r="C322" s="16"/>
      <c r="D322" s="16"/>
      <c r="E322" s="16"/>
    </row>
    <row r="323" spans="2:5">
      <c r="B323" s="16"/>
      <c r="C323" s="16"/>
      <c r="D323" s="16"/>
      <c r="E323" s="16"/>
    </row>
    <row r="324" spans="2:5">
      <c r="B324" s="16"/>
      <c r="C324" s="16"/>
      <c r="D324" s="16"/>
      <c r="E324" s="16"/>
    </row>
    <row r="325" spans="2:5">
      <c r="B325" s="16"/>
      <c r="C325" s="16"/>
      <c r="D325" s="16"/>
      <c r="E325" s="16"/>
    </row>
    <row r="326" spans="2:5">
      <c r="B326" s="16"/>
      <c r="C326" s="16"/>
      <c r="D326" s="16"/>
      <c r="E326" s="16"/>
    </row>
    <row r="327" spans="2:5">
      <c r="B327" s="16"/>
      <c r="C327" s="16"/>
      <c r="D327" s="16"/>
      <c r="E327" s="16"/>
    </row>
    <row r="328" spans="2:5">
      <c r="B328" s="16"/>
      <c r="C328" s="16"/>
      <c r="D328" s="16"/>
      <c r="E328" s="16"/>
    </row>
    <row r="329" spans="2:5">
      <c r="B329" s="16"/>
      <c r="C329" s="16"/>
      <c r="D329" s="16"/>
      <c r="E329" s="16"/>
    </row>
    <row r="330" spans="2:5">
      <c r="B330" s="16"/>
      <c r="C330" s="16"/>
      <c r="D330" s="16"/>
      <c r="E330" s="16"/>
    </row>
    <row r="331" spans="2:5">
      <c r="B331" s="16"/>
      <c r="C331" s="16"/>
      <c r="D331" s="16"/>
      <c r="E331" s="16"/>
    </row>
    <row r="332" spans="2:5">
      <c r="B332" s="16"/>
      <c r="C332" s="16"/>
      <c r="D332" s="16"/>
      <c r="E332" s="16"/>
    </row>
    <row r="333" spans="2:5">
      <c r="B333" s="16"/>
      <c r="C333" s="16"/>
      <c r="D333" s="16"/>
      <c r="E333" s="16"/>
    </row>
    <row r="334" spans="2:5">
      <c r="B334" s="16"/>
      <c r="C334" s="16"/>
      <c r="D334" s="16"/>
      <c r="E334" s="16"/>
    </row>
    <row r="335" spans="2:5">
      <c r="B335" s="16"/>
      <c r="C335" s="16"/>
      <c r="D335" s="16"/>
      <c r="E335" s="16"/>
    </row>
    <row r="336" spans="2:5">
      <c r="B336" s="16"/>
      <c r="C336" s="16"/>
      <c r="D336" s="16"/>
      <c r="E336" s="16"/>
    </row>
    <row r="337" spans="2:5">
      <c r="B337" s="16"/>
      <c r="C337" s="16"/>
      <c r="D337" s="16"/>
      <c r="E337" s="16"/>
    </row>
    <row r="338" spans="2:5">
      <c r="B338" s="16"/>
      <c r="C338" s="16"/>
      <c r="D338" s="16"/>
      <c r="E338" s="16"/>
    </row>
    <row r="339" spans="2:5">
      <c r="B339" s="16"/>
      <c r="C339" s="16"/>
      <c r="D339" s="16"/>
      <c r="E339" s="16"/>
    </row>
    <row r="340" spans="2:5">
      <c r="B340" s="16"/>
      <c r="C340" s="16"/>
      <c r="D340" s="16"/>
      <c r="E340" s="16"/>
    </row>
    <row r="341" spans="2:5">
      <c r="B341" s="16"/>
      <c r="C341" s="16"/>
      <c r="D341" s="16"/>
      <c r="E341" s="16"/>
    </row>
    <row r="342" spans="2:5">
      <c r="B342" s="16"/>
      <c r="C342" s="16"/>
      <c r="D342" s="16"/>
      <c r="E342" s="16"/>
    </row>
    <row r="343" spans="2:5">
      <c r="B343" s="16"/>
      <c r="C343" s="16"/>
      <c r="D343" s="16"/>
      <c r="E343" s="16"/>
    </row>
    <row r="344" spans="2:5">
      <c r="B344" s="16"/>
      <c r="C344" s="16"/>
      <c r="D344" s="16"/>
      <c r="E344" s="16"/>
    </row>
    <row r="345" spans="2:5">
      <c r="B345" s="16"/>
      <c r="C345" s="16"/>
      <c r="D345" s="16"/>
      <c r="E345" s="16"/>
    </row>
    <row r="346" spans="2:5">
      <c r="B346" s="16"/>
      <c r="C346" s="16"/>
      <c r="D346" s="16"/>
      <c r="E346" s="16"/>
    </row>
    <row r="347" spans="2:5">
      <c r="B347" s="16"/>
      <c r="C347" s="16"/>
      <c r="D347" s="16"/>
      <c r="E347" s="16"/>
    </row>
    <row r="348" spans="2:5">
      <c r="B348" s="16"/>
      <c r="C348" s="16"/>
      <c r="D348" s="16"/>
      <c r="E348" s="16"/>
    </row>
    <row r="349" spans="2:5">
      <c r="B349" s="16"/>
      <c r="C349" s="16"/>
      <c r="D349" s="16"/>
      <c r="E349" s="16"/>
    </row>
    <row r="350" spans="2:5">
      <c r="B350" s="16"/>
      <c r="C350" s="16"/>
      <c r="D350" s="16"/>
      <c r="E350" s="16"/>
    </row>
    <row r="351" spans="2:5">
      <c r="B351" s="16"/>
      <c r="C351" s="16"/>
      <c r="D351" s="16"/>
      <c r="E351" s="16"/>
    </row>
    <row r="352" spans="2:5">
      <c r="B352" s="16"/>
      <c r="C352" s="16"/>
      <c r="D352" s="16"/>
      <c r="E352" s="16"/>
    </row>
    <row r="353" spans="2:5">
      <c r="B353" s="16"/>
      <c r="C353" s="16"/>
      <c r="D353" s="16"/>
      <c r="E353" s="16"/>
    </row>
    <row r="354" spans="2:5">
      <c r="B354" s="16"/>
      <c r="C354" s="16"/>
      <c r="D354" s="16"/>
      <c r="E354" s="16"/>
    </row>
    <row r="355" spans="2:5">
      <c r="B355" s="16"/>
      <c r="C355" s="16"/>
      <c r="D355" s="16"/>
      <c r="E355" s="16"/>
    </row>
    <row r="356" spans="2:5">
      <c r="B356" s="16"/>
      <c r="C356" s="16"/>
      <c r="D356" s="16"/>
      <c r="E356" s="16"/>
    </row>
    <row r="357" spans="2:5">
      <c r="B357" s="16"/>
      <c r="C357" s="16"/>
      <c r="D357" s="16"/>
      <c r="E357" s="16"/>
    </row>
    <row r="358" spans="2:5">
      <c r="B358" s="16"/>
      <c r="C358" s="16"/>
      <c r="D358" s="16"/>
      <c r="E358" s="16"/>
    </row>
    <row r="359" spans="2:5">
      <c r="B359" s="16"/>
      <c r="C359" s="16"/>
      <c r="D359" s="16"/>
      <c r="E359" s="16"/>
    </row>
    <row r="360" spans="2:5">
      <c r="B360" s="16"/>
      <c r="C360" s="16"/>
      <c r="D360" s="16"/>
      <c r="E360" s="16"/>
    </row>
    <row r="361" spans="2:5">
      <c r="B361" s="16"/>
      <c r="C361" s="16"/>
      <c r="D361" s="16"/>
      <c r="E361" s="16"/>
    </row>
    <row r="362" spans="2:5">
      <c r="B362" s="16"/>
      <c r="C362" s="16"/>
      <c r="D362" s="16"/>
      <c r="E362" s="16"/>
    </row>
    <row r="363" spans="2:5">
      <c r="B363" s="16"/>
      <c r="C363" s="16"/>
      <c r="D363" s="16"/>
      <c r="E363" s="16"/>
    </row>
    <row r="364" spans="2:5">
      <c r="B364" s="16"/>
      <c r="C364" s="16"/>
      <c r="D364" s="16"/>
      <c r="E364" s="16"/>
    </row>
    <row r="365" spans="2:5">
      <c r="B365" s="16"/>
      <c r="C365" s="16"/>
      <c r="D365" s="16"/>
      <c r="E365" s="16"/>
    </row>
    <row r="366" spans="2:5">
      <c r="B366" s="16"/>
      <c r="C366" s="16"/>
      <c r="D366" s="16"/>
      <c r="E366" s="16"/>
    </row>
    <row r="367" spans="2:5">
      <c r="B367" s="16"/>
      <c r="C367" s="16"/>
      <c r="D367" s="16"/>
      <c r="E367" s="16"/>
    </row>
    <row r="368" spans="2:5">
      <c r="B368" s="16"/>
      <c r="C368" s="16"/>
      <c r="D368" s="16"/>
      <c r="E368" s="16"/>
    </row>
    <row r="369" spans="2:5">
      <c r="B369" s="16"/>
      <c r="C369" s="16"/>
      <c r="D369" s="16"/>
      <c r="E369" s="16"/>
    </row>
    <row r="370" spans="2:5">
      <c r="B370" s="16"/>
      <c r="C370" s="16"/>
      <c r="D370" s="16"/>
      <c r="E370" s="16"/>
    </row>
    <row r="371" spans="2:5">
      <c r="B371" s="16"/>
      <c r="C371" s="16"/>
      <c r="D371" s="16"/>
      <c r="E371" s="16"/>
    </row>
    <row r="372" spans="2:5">
      <c r="B372" s="16"/>
      <c r="C372" s="16"/>
      <c r="D372" s="16"/>
      <c r="E372" s="16"/>
    </row>
    <row r="373" spans="2:5">
      <c r="B373" s="16"/>
      <c r="C373" s="16"/>
      <c r="D373" s="16"/>
      <c r="E373" s="16"/>
    </row>
    <row r="374" spans="2:5">
      <c r="B374" s="16"/>
      <c r="C374" s="16"/>
      <c r="D374" s="16"/>
      <c r="E374" s="16"/>
    </row>
    <row r="375" spans="2:5">
      <c r="B375" s="16"/>
      <c r="C375" s="16"/>
      <c r="D375" s="16"/>
      <c r="E375" s="16"/>
    </row>
    <row r="376" spans="2:5">
      <c r="B376" s="16"/>
      <c r="C376" s="16"/>
      <c r="D376" s="16"/>
      <c r="E376" s="16"/>
    </row>
    <row r="377" spans="2:5">
      <c r="B377" s="16"/>
      <c r="C377" s="16"/>
      <c r="D377" s="16"/>
      <c r="E377" s="16"/>
    </row>
    <row r="378" spans="2:5">
      <c r="B378" s="16"/>
      <c r="C378" s="16"/>
      <c r="D378" s="16"/>
      <c r="E378" s="16"/>
    </row>
    <row r="379" spans="2:5">
      <c r="B379" s="16"/>
      <c r="C379" s="16"/>
      <c r="D379" s="16"/>
      <c r="E379" s="16"/>
    </row>
    <row r="380" spans="2:5">
      <c r="B380" s="16"/>
      <c r="C380" s="16"/>
      <c r="D380" s="16"/>
      <c r="E380" s="16"/>
    </row>
    <row r="381" spans="2:5">
      <c r="B381" s="16"/>
      <c r="C381" s="16"/>
      <c r="D381" s="16"/>
      <c r="E381" s="16"/>
    </row>
    <row r="382" spans="2:5">
      <c r="B382" s="16"/>
      <c r="C382" s="16"/>
      <c r="D382" s="16"/>
      <c r="E382" s="16"/>
    </row>
    <row r="383" spans="2:5">
      <c r="B383" s="16"/>
      <c r="C383" s="16"/>
      <c r="D383" s="16"/>
      <c r="E383" s="16"/>
    </row>
    <row r="384" spans="2:5">
      <c r="B384" s="16"/>
      <c r="C384" s="16"/>
      <c r="D384" s="16"/>
      <c r="E384" s="16"/>
    </row>
    <row r="385" spans="2:5">
      <c r="B385" s="16"/>
      <c r="C385" s="16"/>
      <c r="D385" s="16"/>
      <c r="E385" s="16"/>
    </row>
    <row r="386" spans="2:5">
      <c r="B386" s="16"/>
      <c r="C386" s="16"/>
      <c r="D386" s="16"/>
      <c r="E386" s="16"/>
    </row>
    <row r="387" spans="2:5">
      <c r="B387" s="16"/>
      <c r="C387" s="16"/>
      <c r="D387" s="16"/>
      <c r="E387" s="16"/>
    </row>
    <row r="388" spans="2:5">
      <c r="B388" s="16"/>
      <c r="C388" s="16"/>
      <c r="D388" s="16"/>
      <c r="E388" s="16"/>
    </row>
    <row r="389" spans="2:5">
      <c r="B389" s="16"/>
      <c r="C389" s="16"/>
      <c r="D389" s="16"/>
      <c r="E389" s="16"/>
    </row>
    <row r="390" spans="2:5">
      <c r="B390" s="16"/>
      <c r="C390" s="16"/>
      <c r="D390" s="16"/>
      <c r="E390" s="16"/>
    </row>
    <row r="391" spans="2:5">
      <c r="B391" s="16"/>
      <c r="C391" s="16"/>
      <c r="D391" s="16"/>
      <c r="E391" s="16"/>
    </row>
    <row r="392" spans="2:5">
      <c r="B392" s="16"/>
      <c r="C392" s="16"/>
      <c r="D392" s="16"/>
      <c r="E392" s="16"/>
    </row>
    <row r="393" spans="2:5">
      <c r="B393" s="16"/>
      <c r="C393" s="16"/>
      <c r="D393" s="16"/>
      <c r="E393" s="16"/>
    </row>
    <row r="394" spans="2:5">
      <c r="B394" s="16"/>
      <c r="C394" s="16"/>
      <c r="D394" s="16"/>
      <c r="E394" s="16"/>
    </row>
    <row r="395" spans="2:5">
      <c r="B395" s="16"/>
      <c r="C395" s="16"/>
      <c r="D395" s="16"/>
      <c r="E395" s="16"/>
    </row>
    <row r="396" spans="2:5">
      <c r="B396" s="16"/>
      <c r="C396" s="16"/>
      <c r="D396" s="16"/>
      <c r="E396" s="16"/>
    </row>
    <row r="397" spans="2:5">
      <c r="B397" s="16"/>
      <c r="C397" s="16"/>
      <c r="D397" s="16"/>
      <c r="E397" s="16"/>
    </row>
    <row r="398" spans="2:5">
      <c r="B398" s="16"/>
      <c r="C398" s="16"/>
      <c r="D398" s="16"/>
      <c r="E398" s="16"/>
    </row>
    <row r="399" spans="2:5">
      <c r="B399" s="16"/>
      <c r="C399" s="16"/>
      <c r="D399" s="16"/>
      <c r="E399" s="16"/>
    </row>
    <row r="400" spans="2:5">
      <c r="B400" s="16"/>
      <c r="C400" s="16"/>
      <c r="D400" s="16"/>
      <c r="E400" s="16"/>
    </row>
    <row r="401" spans="2:5">
      <c r="B401" s="16"/>
      <c r="C401" s="16"/>
      <c r="D401" s="16"/>
      <c r="E401" s="16"/>
    </row>
    <row r="402" spans="2:5">
      <c r="B402" s="16"/>
      <c r="C402" s="16"/>
      <c r="D402" s="16"/>
      <c r="E402" s="16"/>
    </row>
    <row r="403" spans="2:5">
      <c r="B403" s="16"/>
      <c r="C403" s="16"/>
      <c r="D403" s="16"/>
      <c r="E403" s="16"/>
    </row>
    <row r="404" spans="2:5">
      <c r="B404" s="16"/>
      <c r="C404" s="16"/>
      <c r="D404" s="16"/>
      <c r="E404" s="16"/>
    </row>
    <row r="405" spans="2:5">
      <c r="B405" s="16"/>
      <c r="C405" s="16"/>
      <c r="D405" s="16"/>
      <c r="E405" s="16"/>
    </row>
    <row r="406" spans="2:5">
      <c r="B406" s="16"/>
      <c r="C406" s="16"/>
      <c r="D406" s="16"/>
      <c r="E406" s="16"/>
    </row>
    <row r="407" spans="2:5">
      <c r="B407" s="16"/>
      <c r="C407" s="16"/>
      <c r="D407" s="16"/>
      <c r="E407" s="16"/>
    </row>
    <row r="408" spans="2:5">
      <c r="B408" s="16"/>
      <c r="C408" s="16"/>
      <c r="D408" s="16"/>
      <c r="E408" s="16"/>
    </row>
    <row r="409" spans="2:5">
      <c r="B409" s="16"/>
      <c r="C409" s="16"/>
      <c r="D409" s="16"/>
      <c r="E409" s="16"/>
    </row>
    <row r="410" spans="2:5">
      <c r="B410" s="16"/>
      <c r="C410" s="16"/>
      <c r="D410" s="16"/>
      <c r="E410" s="16"/>
    </row>
    <row r="411" spans="2:5">
      <c r="B411" s="16"/>
      <c r="C411" s="16"/>
      <c r="D411" s="16"/>
      <c r="E411" s="16"/>
    </row>
    <row r="412" spans="2:5">
      <c r="B412" s="16"/>
      <c r="C412" s="16"/>
      <c r="D412" s="16"/>
      <c r="E412" s="16"/>
    </row>
    <row r="413" spans="2:5">
      <c r="B413" s="16"/>
      <c r="C413" s="16"/>
      <c r="D413" s="16"/>
      <c r="E413" s="16"/>
    </row>
    <row r="414" spans="2:5">
      <c r="B414" s="16"/>
      <c r="C414" s="16"/>
      <c r="D414" s="16"/>
      <c r="E414" s="16"/>
    </row>
    <row r="415" spans="2:5">
      <c r="B415" s="16"/>
      <c r="C415" s="16"/>
      <c r="D415" s="16"/>
      <c r="E415" s="16"/>
    </row>
    <row r="416" spans="2:5">
      <c r="B416" s="16"/>
      <c r="C416" s="16"/>
      <c r="D416" s="16"/>
      <c r="E416" s="16"/>
    </row>
    <row r="417" spans="2:5">
      <c r="B417" s="16"/>
      <c r="C417" s="16"/>
      <c r="D417" s="16"/>
      <c r="E417" s="16"/>
    </row>
    <row r="418" spans="2:5">
      <c r="B418" s="16"/>
      <c r="C418" s="16"/>
      <c r="D418" s="16"/>
      <c r="E418" s="16"/>
    </row>
    <row r="419" spans="2:5">
      <c r="B419" s="16"/>
      <c r="C419" s="16"/>
      <c r="D419" s="16"/>
      <c r="E419" s="16"/>
    </row>
    <row r="420" spans="2:5">
      <c r="B420" s="16"/>
      <c r="C420" s="16"/>
      <c r="D420" s="16"/>
      <c r="E420" s="16"/>
    </row>
    <row r="421" spans="2:5">
      <c r="B421" s="16"/>
      <c r="C421" s="16"/>
      <c r="D421" s="16"/>
      <c r="E421" s="16"/>
    </row>
    <row r="422" spans="2:5">
      <c r="B422" s="16"/>
      <c r="C422" s="16"/>
      <c r="D422" s="16"/>
      <c r="E422" s="16"/>
    </row>
    <row r="423" spans="2:5">
      <c r="B423" s="16"/>
      <c r="C423" s="16"/>
      <c r="D423" s="16"/>
      <c r="E423" s="16"/>
    </row>
    <row r="424" spans="2:5">
      <c r="B424" s="16"/>
      <c r="C424" s="16"/>
      <c r="D424" s="16"/>
      <c r="E424" s="16"/>
    </row>
    <row r="425" spans="2:5">
      <c r="B425" s="16"/>
      <c r="C425" s="16"/>
      <c r="D425" s="16"/>
      <c r="E425" s="16"/>
    </row>
    <row r="426" spans="2:5">
      <c r="B426" s="16"/>
      <c r="C426" s="16"/>
      <c r="D426" s="16"/>
      <c r="E426" s="16"/>
    </row>
    <row r="427" spans="2:5">
      <c r="B427" s="16"/>
      <c r="C427" s="16"/>
      <c r="D427" s="16"/>
      <c r="E427" s="16"/>
    </row>
    <row r="428" spans="2:5">
      <c r="B428" s="16"/>
      <c r="C428" s="16"/>
      <c r="D428" s="16"/>
      <c r="E428" s="16"/>
    </row>
    <row r="429" spans="2:5">
      <c r="B429" s="16"/>
      <c r="C429" s="16"/>
      <c r="D429" s="16"/>
      <c r="E429" s="16"/>
    </row>
    <row r="430" spans="2:5">
      <c r="B430" s="16"/>
      <c r="C430" s="16"/>
      <c r="D430" s="16"/>
      <c r="E430" s="16"/>
    </row>
    <row r="431" spans="2:5">
      <c r="B431" s="16"/>
      <c r="C431" s="16"/>
      <c r="D431" s="16"/>
      <c r="E431" s="16"/>
    </row>
    <row r="432" spans="2:5">
      <c r="B432" s="16"/>
      <c r="C432" s="16"/>
      <c r="D432" s="16"/>
      <c r="E432" s="16"/>
    </row>
    <row r="433" spans="2:5">
      <c r="B433" s="16"/>
      <c r="C433" s="16"/>
      <c r="D433" s="16"/>
      <c r="E433" s="16"/>
    </row>
    <row r="434" spans="2:5">
      <c r="B434" s="16"/>
      <c r="C434" s="16"/>
      <c r="D434" s="16"/>
      <c r="E434" s="16"/>
    </row>
    <row r="435" spans="2:5">
      <c r="B435" s="16"/>
      <c r="C435" s="16"/>
      <c r="D435" s="16"/>
      <c r="E435" s="16"/>
    </row>
    <row r="436" spans="2:5">
      <c r="B436" s="16"/>
      <c r="C436" s="16"/>
      <c r="D436" s="16"/>
      <c r="E436" s="16"/>
    </row>
    <row r="437" spans="2:5">
      <c r="B437" s="16"/>
      <c r="C437" s="16"/>
      <c r="D437" s="16"/>
      <c r="E437" s="16"/>
    </row>
    <row r="438" spans="2:5">
      <c r="B438" s="16"/>
      <c r="C438" s="16"/>
      <c r="D438" s="16"/>
      <c r="E438" s="16"/>
    </row>
    <row r="439" spans="2:5">
      <c r="B439" s="16"/>
      <c r="C439" s="16"/>
      <c r="D439" s="16"/>
      <c r="E439" s="16"/>
    </row>
    <row r="440" spans="2:5">
      <c r="B440" s="16"/>
      <c r="C440" s="16"/>
      <c r="D440" s="16"/>
      <c r="E440" s="16"/>
    </row>
    <row r="441" spans="2:5">
      <c r="B441" s="16"/>
      <c r="C441" s="16"/>
      <c r="D441" s="16"/>
      <c r="E441" s="16"/>
    </row>
    <row r="442" spans="2:5">
      <c r="B442" s="16"/>
      <c r="C442" s="16"/>
      <c r="D442" s="16"/>
      <c r="E442" s="16"/>
    </row>
    <row r="443" spans="2:5">
      <c r="B443" s="16"/>
      <c r="C443" s="16"/>
      <c r="D443" s="16"/>
      <c r="E443" s="16"/>
    </row>
    <row r="444" spans="2:5">
      <c r="B444" s="16"/>
      <c r="C444" s="16"/>
      <c r="D444" s="16"/>
      <c r="E444" s="16"/>
    </row>
    <row r="445" spans="2:5">
      <c r="B445" s="16"/>
      <c r="C445" s="16"/>
      <c r="D445" s="16"/>
      <c r="E445" s="16"/>
    </row>
    <row r="446" spans="2:5">
      <c r="B446" s="16"/>
      <c r="C446" s="16"/>
      <c r="D446" s="16"/>
      <c r="E446" s="16"/>
    </row>
    <row r="447" spans="2:5">
      <c r="B447" s="16"/>
      <c r="C447" s="16"/>
      <c r="D447" s="16"/>
      <c r="E447" s="16"/>
    </row>
    <row r="448" spans="2:5">
      <c r="B448" s="16"/>
      <c r="C448" s="16"/>
      <c r="D448" s="16"/>
      <c r="E448" s="16"/>
    </row>
    <row r="449" spans="2:5">
      <c r="B449" s="16"/>
      <c r="C449" s="16"/>
      <c r="D449" s="16"/>
      <c r="E449" s="16"/>
    </row>
    <row r="450" spans="2:5">
      <c r="B450" s="16"/>
      <c r="C450" s="16"/>
      <c r="D450" s="16"/>
      <c r="E450" s="16"/>
    </row>
    <row r="451" spans="2:5">
      <c r="B451" s="16"/>
      <c r="C451" s="16"/>
      <c r="D451" s="16"/>
      <c r="E451" s="16"/>
    </row>
    <row r="452" spans="2:5">
      <c r="B452" s="16"/>
      <c r="C452" s="16"/>
      <c r="D452" s="16"/>
      <c r="E452" s="16"/>
    </row>
    <row r="453" spans="2:5">
      <c r="B453" s="16"/>
      <c r="C453" s="16"/>
      <c r="D453" s="16"/>
      <c r="E453" s="16"/>
    </row>
    <row r="454" spans="2:5">
      <c r="B454" s="16"/>
      <c r="C454" s="16"/>
      <c r="D454" s="16"/>
      <c r="E454" s="16"/>
    </row>
    <row r="455" spans="2:5">
      <c r="B455" s="16"/>
      <c r="C455" s="16"/>
      <c r="D455" s="16"/>
      <c r="E455" s="16"/>
    </row>
    <row r="456" spans="2:5">
      <c r="B456" s="16"/>
      <c r="C456" s="16"/>
      <c r="D456" s="16"/>
      <c r="E456" s="16"/>
    </row>
    <row r="457" spans="2:5">
      <c r="B457" s="16"/>
      <c r="C457" s="16"/>
      <c r="D457" s="16"/>
      <c r="E457" s="16"/>
    </row>
    <row r="458" spans="2:5">
      <c r="B458" s="16"/>
      <c r="C458" s="16"/>
      <c r="D458" s="16"/>
      <c r="E458" s="16"/>
    </row>
    <row r="459" spans="2:5">
      <c r="B459" s="16"/>
      <c r="C459" s="16"/>
      <c r="D459" s="16"/>
      <c r="E459" s="16"/>
    </row>
    <row r="460" spans="2:5">
      <c r="B460" s="16"/>
      <c r="C460" s="16"/>
      <c r="D460" s="16"/>
      <c r="E460" s="16"/>
    </row>
    <row r="461" spans="2:5">
      <c r="B461" s="16"/>
      <c r="C461" s="16"/>
      <c r="D461" s="16"/>
      <c r="E461" s="16"/>
    </row>
    <row r="462" spans="2:5">
      <c r="B462" s="16"/>
      <c r="C462" s="16"/>
      <c r="D462" s="16"/>
      <c r="E462" s="16"/>
    </row>
    <row r="463" spans="2:5">
      <c r="B463" s="16"/>
      <c r="C463" s="16"/>
      <c r="D463" s="16"/>
      <c r="E463" s="16"/>
    </row>
    <row r="464" spans="2:5">
      <c r="B464" s="16"/>
      <c r="C464" s="16"/>
      <c r="D464" s="16"/>
      <c r="E464" s="16"/>
    </row>
    <row r="465" spans="2:5">
      <c r="B465" s="16"/>
      <c r="C465" s="16"/>
      <c r="D465" s="16"/>
      <c r="E465" s="16"/>
    </row>
    <row r="466" spans="2:5">
      <c r="B466" s="16"/>
      <c r="C466" s="16"/>
      <c r="D466" s="16"/>
      <c r="E466" s="16"/>
    </row>
    <row r="467" spans="2:5">
      <c r="B467" s="16"/>
      <c r="C467" s="16"/>
      <c r="D467" s="16"/>
      <c r="E467" s="16"/>
    </row>
    <row r="468" spans="2:5">
      <c r="B468" s="16"/>
      <c r="C468" s="16"/>
      <c r="D468" s="16"/>
      <c r="E468" s="16"/>
    </row>
    <row r="469" spans="2:5">
      <c r="B469" s="16"/>
      <c r="C469" s="16"/>
      <c r="D469" s="16"/>
      <c r="E469" s="16"/>
    </row>
    <row r="470" spans="2:5">
      <c r="B470" s="16"/>
      <c r="C470" s="16"/>
      <c r="D470" s="16"/>
      <c r="E470" s="16"/>
    </row>
    <row r="471" spans="2:5">
      <c r="B471" s="16"/>
      <c r="C471" s="16"/>
      <c r="D471" s="16"/>
      <c r="E471" s="16"/>
    </row>
    <row r="472" spans="2:5">
      <c r="B472" s="16"/>
      <c r="C472" s="16"/>
      <c r="D472" s="16"/>
      <c r="E472" s="16"/>
    </row>
    <row r="473" spans="2:5">
      <c r="B473" s="16"/>
      <c r="C473" s="16"/>
      <c r="D473" s="16"/>
      <c r="E473" s="16"/>
    </row>
    <row r="474" spans="2:5">
      <c r="B474" s="16"/>
      <c r="C474" s="16"/>
      <c r="D474" s="16"/>
      <c r="E474" s="16"/>
    </row>
    <row r="475" spans="2:5">
      <c r="B475" s="16"/>
      <c r="C475" s="16"/>
      <c r="D475" s="16"/>
      <c r="E475" s="16"/>
    </row>
    <row r="476" spans="2:5">
      <c r="B476" s="16"/>
      <c r="C476" s="16"/>
      <c r="D476" s="16"/>
      <c r="E476" s="16"/>
    </row>
    <row r="477" spans="2:5">
      <c r="B477" s="16"/>
      <c r="C477" s="16"/>
      <c r="D477" s="16"/>
      <c r="E477" s="16"/>
    </row>
    <row r="478" spans="2:5">
      <c r="B478" s="16"/>
      <c r="C478" s="16"/>
      <c r="D478" s="16"/>
      <c r="E478" s="16"/>
    </row>
    <row r="479" spans="2:5">
      <c r="B479" s="16"/>
      <c r="C479" s="16"/>
      <c r="D479" s="16"/>
      <c r="E479" s="16"/>
    </row>
    <row r="480" spans="2:5">
      <c r="B480" s="16"/>
      <c r="C480" s="16"/>
      <c r="D480" s="16"/>
      <c r="E480" s="16"/>
    </row>
    <row r="481" spans="2:5">
      <c r="B481" s="16"/>
      <c r="C481" s="16"/>
      <c r="D481" s="16"/>
      <c r="E481" s="16"/>
    </row>
    <row r="482" spans="2:5">
      <c r="B482" s="16"/>
      <c r="C482" s="16"/>
      <c r="D482" s="16"/>
      <c r="E482" s="16"/>
    </row>
    <row r="483" spans="2:5">
      <c r="B483" s="16"/>
      <c r="C483" s="16"/>
      <c r="D483" s="16"/>
      <c r="E483" s="16"/>
    </row>
    <row r="484" spans="2:5">
      <c r="B484" s="16"/>
      <c r="C484" s="16"/>
      <c r="D484" s="16"/>
      <c r="E484" s="16"/>
    </row>
    <row r="485" spans="2:5">
      <c r="B485" s="16"/>
      <c r="C485" s="16"/>
      <c r="D485" s="16"/>
      <c r="E485" s="16"/>
    </row>
    <row r="486" spans="2:5">
      <c r="B486" s="16"/>
      <c r="C486" s="16"/>
      <c r="D486" s="16"/>
      <c r="E486" s="16"/>
    </row>
    <row r="487" spans="2:5">
      <c r="B487" s="16"/>
      <c r="C487" s="16"/>
      <c r="D487" s="16"/>
      <c r="E487" s="16"/>
    </row>
    <row r="488" spans="2:5">
      <c r="B488" s="16"/>
      <c r="C488" s="16"/>
      <c r="D488" s="16"/>
      <c r="E488" s="16"/>
    </row>
    <row r="489" spans="2:5">
      <c r="B489" s="16"/>
      <c r="C489" s="16"/>
      <c r="D489" s="16"/>
      <c r="E489" s="16"/>
    </row>
    <row r="490" spans="2:5">
      <c r="B490" s="16"/>
      <c r="C490" s="16"/>
      <c r="D490" s="16"/>
      <c r="E490" s="16"/>
    </row>
    <row r="491" spans="2:5">
      <c r="B491" s="16"/>
      <c r="C491" s="16"/>
      <c r="D491" s="16"/>
      <c r="E491" s="16"/>
    </row>
    <row r="492" spans="2:5">
      <c r="B492" s="16"/>
      <c r="C492" s="16"/>
      <c r="D492" s="16"/>
      <c r="E492" s="16"/>
    </row>
    <row r="493" spans="2:5">
      <c r="B493" s="16"/>
      <c r="C493" s="16"/>
      <c r="D493" s="16"/>
      <c r="E493" s="16"/>
    </row>
    <row r="494" spans="2:5">
      <c r="B494" s="16"/>
      <c r="C494" s="16"/>
      <c r="D494" s="16"/>
      <c r="E494" s="16"/>
    </row>
    <row r="495" spans="2:5">
      <c r="B495" s="16"/>
      <c r="C495" s="16"/>
      <c r="D495" s="16"/>
      <c r="E495" s="16"/>
    </row>
    <row r="496" spans="2:5">
      <c r="B496" s="16"/>
      <c r="C496" s="16"/>
      <c r="D496" s="16"/>
      <c r="E496" s="16"/>
    </row>
    <row r="497" spans="2:5">
      <c r="B497" s="16"/>
      <c r="C497" s="16"/>
      <c r="D497" s="16"/>
      <c r="E497" s="16"/>
    </row>
    <row r="498" spans="2:5">
      <c r="B498" s="16"/>
      <c r="C498" s="16"/>
      <c r="D498" s="16"/>
      <c r="E498" s="16"/>
    </row>
    <row r="499" spans="2:5">
      <c r="B499" s="16"/>
      <c r="C499" s="16"/>
      <c r="D499" s="16"/>
      <c r="E499" s="16"/>
    </row>
    <row r="500" spans="2:5">
      <c r="B500" s="16"/>
      <c r="C500" s="16"/>
      <c r="D500" s="16"/>
      <c r="E500" s="16"/>
    </row>
    <row r="501" spans="2:5">
      <c r="B501" s="16"/>
      <c r="C501" s="16"/>
      <c r="D501" s="16"/>
      <c r="E501" s="16"/>
    </row>
    <row r="502" spans="2:5">
      <c r="B502" s="16"/>
      <c r="C502" s="16"/>
      <c r="D502" s="16"/>
      <c r="E502" s="16"/>
    </row>
    <row r="503" spans="2:5">
      <c r="B503" s="16"/>
      <c r="C503" s="16"/>
      <c r="D503" s="16"/>
      <c r="E503" s="16"/>
    </row>
    <row r="504" spans="2:5">
      <c r="B504" s="16"/>
      <c r="C504" s="16"/>
      <c r="D504" s="16"/>
      <c r="E504" s="16"/>
    </row>
    <row r="505" spans="2:5">
      <c r="B505" s="16"/>
      <c r="C505" s="16"/>
      <c r="D505" s="16"/>
      <c r="E505" s="16"/>
    </row>
    <row r="506" spans="2:5">
      <c r="B506" s="16"/>
      <c r="C506" s="16"/>
      <c r="D506" s="16"/>
      <c r="E506" s="16"/>
    </row>
    <row r="507" spans="2:5">
      <c r="B507" s="16"/>
      <c r="C507" s="16"/>
      <c r="D507" s="16"/>
      <c r="E507" s="16"/>
    </row>
    <row r="508" spans="2:5">
      <c r="B508" s="16"/>
      <c r="C508" s="16"/>
      <c r="D508" s="16"/>
      <c r="E508" s="16"/>
    </row>
    <row r="509" spans="2:5">
      <c r="B509" s="16"/>
      <c r="C509" s="16"/>
      <c r="D509" s="16"/>
      <c r="E509" s="16"/>
    </row>
    <row r="510" spans="2:5">
      <c r="B510" s="16"/>
      <c r="C510" s="16"/>
      <c r="D510" s="16"/>
      <c r="E510" s="16"/>
    </row>
    <row r="511" spans="2:5">
      <c r="B511" s="16"/>
      <c r="C511" s="16"/>
      <c r="D511" s="16"/>
      <c r="E511" s="16"/>
    </row>
    <row r="512" spans="2:5">
      <c r="B512" s="16"/>
      <c r="C512" s="16"/>
      <c r="D512" s="16"/>
      <c r="E512" s="16"/>
    </row>
    <row r="513" spans="2:5">
      <c r="B513" s="16"/>
      <c r="C513" s="16"/>
      <c r="D513" s="16"/>
      <c r="E513" s="16"/>
    </row>
    <row r="514" spans="2:5">
      <c r="B514" s="16"/>
      <c r="C514" s="16"/>
      <c r="D514" s="16"/>
      <c r="E514" s="16"/>
    </row>
    <row r="515" spans="2:5">
      <c r="B515" s="16"/>
      <c r="C515" s="16"/>
      <c r="D515" s="16"/>
      <c r="E515" s="16"/>
    </row>
    <row r="516" spans="2:5">
      <c r="B516" s="16"/>
      <c r="C516" s="16"/>
      <c r="D516" s="16"/>
      <c r="E516" s="16"/>
    </row>
    <row r="517" spans="2:5">
      <c r="B517" s="16"/>
      <c r="C517" s="16"/>
      <c r="D517" s="16"/>
      <c r="E517" s="16"/>
    </row>
    <row r="518" spans="2:5">
      <c r="B518" s="16"/>
      <c r="C518" s="16"/>
      <c r="D518" s="16"/>
      <c r="E518" s="16"/>
    </row>
    <row r="519" spans="2:5">
      <c r="B519" s="16"/>
      <c r="C519" s="16"/>
      <c r="D519" s="16"/>
      <c r="E519" s="16"/>
    </row>
    <row r="520" spans="2:5">
      <c r="B520" s="16"/>
      <c r="C520" s="16"/>
      <c r="D520" s="16"/>
      <c r="E520" s="16"/>
    </row>
    <row r="521" spans="2:5">
      <c r="B521" s="16"/>
      <c r="C521" s="16"/>
      <c r="D521" s="16"/>
      <c r="E521" s="16"/>
    </row>
    <row r="522" spans="2:5">
      <c r="B522" s="16"/>
      <c r="C522" s="16"/>
      <c r="D522" s="16"/>
      <c r="E522" s="16"/>
    </row>
    <row r="523" spans="2:5">
      <c r="B523" s="16"/>
      <c r="C523" s="16"/>
      <c r="D523" s="16"/>
      <c r="E523" s="16"/>
    </row>
    <row r="524" spans="2:5">
      <c r="B524" s="16"/>
      <c r="C524" s="16"/>
      <c r="D524" s="16"/>
      <c r="E524" s="16"/>
    </row>
    <row r="525" spans="2:5">
      <c r="B525" s="16"/>
      <c r="C525" s="16"/>
      <c r="D525" s="16"/>
      <c r="E525" s="16"/>
    </row>
    <row r="526" spans="2:5">
      <c r="B526" s="16"/>
      <c r="C526" s="16"/>
      <c r="D526" s="16"/>
      <c r="E526" s="16"/>
    </row>
    <row r="527" spans="2:5">
      <c r="B527" s="16"/>
      <c r="C527" s="16"/>
      <c r="D527" s="16"/>
      <c r="E527" s="16"/>
    </row>
    <row r="528" spans="2:5">
      <c r="B528" s="16"/>
      <c r="C528" s="16"/>
      <c r="D528" s="16"/>
      <c r="E528" s="16"/>
    </row>
    <row r="529" spans="2:5">
      <c r="B529" s="16"/>
      <c r="C529" s="16"/>
      <c r="D529" s="16"/>
      <c r="E529" s="16"/>
    </row>
    <row r="530" spans="2:5">
      <c r="B530" s="16"/>
      <c r="C530" s="16"/>
      <c r="D530" s="16"/>
      <c r="E530" s="16"/>
    </row>
    <row r="531" spans="2:5">
      <c r="B531" s="16"/>
      <c r="C531" s="16"/>
      <c r="D531" s="16"/>
      <c r="E531" s="16"/>
    </row>
    <row r="532" spans="2:5">
      <c r="B532" s="16"/>
      <c r="C532" s="16"/>
      <c r="D532" s="16"/>
      <c r="E532" s="16"/>
    </row>
    <row r="533" spans="2:5">
      <c r="B533" s="16"/>
      <c r="C533" s="16"/>
      <c r="D533" s="16"/>
      <c r="E533" s="16"/>
    </row>
    <row r="534" spans="2:5">
      <c r="B534" s="16"/>
      <c r="C534" s="16"/>
      <c r="D534" s="16"/>
      <c r="E534" s="16"/>
    </row>
    <row r="535" spans="2:5">
      <c r="B535" s="16"/>
      <c r="C535" s="16"/>
      <c r="D535" s="16"/>
      <c r="E535" s="16"/>
    </row>
    <row r="536" spans="2:5">
      <c r="B536" s="16"/>
      <c r="C536" s="16"/>
      <c r="D536" s="16"/>
      <c r="E536" s="16"/>
    </row>
    <row r="537" spans="2:5">
      <c r="B537" s="16"/>
      <c r="C537" s="16"/>
      <c r="D537" s="16"/>
      <c r="E537" s="16"/>
    </row>
    <row r="538" spans="2:5">
      <c r="B538" s="16"/>
      <c r="C538" s="16"/>
      <c r="D538" s="16"/>
      <c r="E538" s="16"/>
    </row>
    <row r="539" spans="2:5">
      <c r="B539" s="16"/>
      <c r="C539" s="16"/>
      <c r="D539" s="16"/>
      <c r="E539" s="16"/>
    </row>
    <row r="540" spans="2:5">
      <c r="B540" s="16"/>
      <c r="C540" s="16"/>
      <c r="D540" s="16"/>
      <c r="E540" s="16"/>
    </row>
    <row r="541" spans="2:5">
      <c r="B541" s="16"/>
      <c r="C541" s="16"/>
      <c r="D541" s="16"/>
      <c r="E541" s="16"/>
    </row>
    <row r="542" spans="2:5">
      <c r="B542" s="16"/>
      <c r="C542" s="16"/>
      <c r="D542" s="16"/>
      <c r="E542" s="16"/>
    </row>
    <row r="543" spans="2:5">
      <c r="B543" s="16"/>
      <c r="C543" s="16"/>
      <c r="D543" s="16"/>
      <c r="E543" s="16"/>
    </row>
    <row r="544" spans="2:5">
      <c r="B544" s="16"/>
      <c r="C544" s="16"/>
      <c r="D544" s="16"/>
      <c r="E544" s="16"/>
    </row>
    <row r="545" spans="2:5">
      <c r="B545" s="16"/>
      <c r="C545" s="16"/>
      <c r="D545" s="16"/>
      <c r="E545" s="16"/>
    </row>
    <row r="546" spans="2:5">
      <c r="B546" s="16"/>
      <c r="C546" s="16"/>
      <c r="D546" s="16"/>
      <c r="E546" s="16"/>
    </row>
    <row r="547" spans="2:5">
      <c r="B547" s="16"/>
      <c r="C547" s="16"/>
      <c r="D547" s="16"/>
      <c r="E547" s="16"/>
    </row>
    <row r="548" spans="2:5">
      <c r="B548" s="16"/>
      <c r="C548" s="16"/>
      <c r="D548" s="16"/>
      <c r="E548" s="16"/>
    </row>
    <row r="549" spans="2:5">
      <c r="B549" s="16"/>
      <c r="C549" s="16"/>
      <c r="D549" s="16"/>
      <c r="E549" s="16"/>
    </row>
    <row r="550" spans="2:5">
      <c r="B550" s="16"/>
      <c r="C550" s="16"/>
      <c r="D550" s="16"/>
      <c r="E550" s="16"/>
    </row>
    <row r="551" spans="2:5">
      <c r="B551" s="16"/>
      <c r="C551" s="16"/>
      <c r="D551" s="16"/>
      <c r="E551" s="16"/>
    </row>
    <row r="552" spans="2:5">
      <c r="B552" s="16"/>
      <c r="C552" s="16"/>
      <c r="D552" s="16"/>
      <c r="E552" s="16"/>
    </row>
    <row r="553" spans="2:5">
      <c r="B553" s="16"/>
      <c r="C553" s="16"/>
      <c r="D553" s="16"/>
      <c r="E553" s="16"/>
    </row>
    <row r="554" spans="2:5">
      <c r="B554" s="16"/>
      <c r="C554" s="16"/>
      <c r="D554" s="16"/>
      <c r="E554" s="16"/>
    </row>
    <row r="555" spans="2:5">
      <c r="B555" s="16"/>
      <c r="C555" s="16"/>
      <c r="D555" s="16"/>
      <c r="E555" s="16"/>
    </row>
    <row r="556" spans="2:5">
      <c r="B556" s="16"/>
      <c r="C556" s="16"/>
      <c r="D556" s="16"/>
      <c r="E556" s="16"/>
    </row>
    <row r="557" spans="2:5">
      <c r="B557" s="16"/>
      <c r="C557" s="16"/>
      <c r="D557" s="16"/>
      <c r="E557" s="16"/>
    </row>
    <row r="558" spans="2:5">
      <c r="B558" s="16"/>
      <c r="C558" s="16"/>
      <c r="D558" s="16"/>
      <c r="E558" s="16"/>
    </row>
    <row r="559" spans="2:5">
      <c r="B559" s="16"/>
      <c r="C559" s="16"/>
      <c r="D559" s="16"/>
      <c r="E559" s="16"/>
    </row>
    <row r="560" spans="2:5">
      <c r="B560" s="16"/>
      <c r="C560" s="16"/>
      <c r="D560" s="16"/>
      <c r="E560" s="16"/>
    </row>
    <row r="561" spans="2:5">
      <c r="B561" s="16"/>
      <c r="C561" s="16"/>
      <c r="D561" s="16"/>
      <c r="E561" s="16"/>
    </row>
    <row r="562" spans="2:5">
      <c r="B562" s="16"/>
      <c r="C562" s="16"/>
      <c r="D562" s="16"/>
      <c r="E562" s="16"/>
    </row>
    <row r="563" spans="2:5">
      <c r="B563" s="16"/>
      <c r="C563" s="16"/>
      <c r="D563" s="16"/>
      <c r="E563" s="16"/>
    </row>
    <row r="564" spans="2:5">
      <c r="B564" s="16"/>
      <c r="C564" s="16"/>
      <c r="D564" s="16"/>
      <c r="E564" s="16"/>
    </row>
    <row r="565" spans="2:5">
      <c r="B565" s="16"/>
      <c r="C565" s="16"/>
      <c r="D565" s="16"/>
      <c r="E565" s="16"/>
    </row>
    <row r="566" spans="2:5">
      <c r="B566" s="16"/>
      <c r="C566" s="16"/>
      <c r="D566" s="16"/>
      <c r="E566" s="16"/>
    </row>
    <row r="567" spans="2:5">
      <c r="B567" s="16"/>
      <c r="C567" s="16"/>
      <c r="D567" s="16"/>
      <c r="E567" s="16"/>
    </row>
    <row r="568" spans="2:5">
      <c r="B568" s="16"/>
      <c r="C568" s="16"/>
      <c r="D568" s="16"/>
      <c r="E568" s="16"/>
    </row>
    <row r="569" spans="2:5">
      <c r="B569" s="16"/>
      <c r="C569" s="16"/>
      <c r="D569" s="16"/>
      <c r="E569" s="16"/>
    </row>
    <row r="570" spans="2:5">
      <c r="B570" s="16"/>
      <c r="C570" s="16"/>
      <c r="D570" s="16"/>
      <c r="E570" s="16"/>
    </row>
    <row r="571" spans="2:5">
      <c r="B571" s="16"/>
      <c r="C571" s="16"/>
      <c r="D571" s="16"/>
      <c r="E571" s="16"/>
    </row>
    <row r="572" spans="2:5">
      <c r="B572" s="16"/>
      <c r="C572" s="16"/>
      <c r="D572" s="16"/>
      <c r="E572" s="16"/>
    </row>
    <row r="573" spans="2:5">
      <c r="B573" s="16"/>
      <c r="C573" s="16"/>
      <c r="D573" s="16"/>
      <c r="E573" s="16"/>
    </row>
    <row r="574" spans="2:5">
      <c r="B574" s="16"/>
      <c r="C574" s="16"/>
      <c r="D574" s="16"/>
      <c r="E574" s="16"/>
    </row>
    <row r="575" spans="2:5">
      <c r="B575" s="16"/>
      <c r="C575" s="16"/>
      <c r="D575" s="16"/>
      <c r="E575" s="16"/>
    </row>
    <row r="576" spans="2:5">
      <c r="B576" s="16"/>
      <c r="C576" s="16"/>
      <c r="D576" s="16"/>
      <c r="E576" s="16"/>
    </row>
    <row r="577" spans="2:5">
      <c r="B577" s="16"/>
      <c r="C577" s="16"/>
      <c r="D577" s="16"/>
      <c r="E577" s="16"/>
    </row>
    <row r="578" spans="2:5">
      <c r="B578" s="16"/>
      <c r="C578" s="16"/>
      <c r="D578" s="16"/>
      <c r="E578" s="16"/>
    </row>
    <row r="579" spans="2:5">
      <c r="B579" s="16"/>
      <c r="C579" s="16"/>
      <c r="D579" s="16"/>
      <c r="E579" s="16"/>
    </row>
    <row r="580" spans="2:5">
      <c r="B580" s="16"/>
      <c r="C580" s="16"/>
      <c r="D580" s="16"/>
      <c r="E580" s="16"/>
    </row>
    <row r="581" spans="2:5">
      <c r="B581" s="16"/>
      <c r="C581" s="16"/>
      <c r="D581" s="16"/>
      <c r="E581" s="16"/>
    </row>
    <row r="582" spans="2:5">
      <c r="B582" s="16"/>
      <c r="C582" s="16"/>
      <c r="D582" s="16"/>
      <c r="E582" s="16"/>
    </row>
    <row r="583" spans="2:5">
      <c r="B583" s="16"/>
      <c r="C583" s="16"/>
      <c r="D583" s="16"/>
      <c r="E583" s="16"/>
    </row>
    <row r="584" spans="2:5">
      <c r="B584" s="16"/>
      <c r="C584" s="16"/>
      <c r="D584" s="16"/>
      <c r="E584" s="16"/>
    </row>
    <row r="585" spans="2:5">
      <c r="B585" s="16"/>
      <c r="C585" s="16"/>
      <c r="D585" s="16"/>
      <c r="E585" s="16"/>
    </row>
    <row r="586" spans="2:5">
      <c r="B586" s="16"/>
      <c r="C586" s="16"/>
      <c r="D586" s="16"/>
      <c r="E586" s="16"/>
    </row>
    <row r="587" spans="2:5">
      <c r="B587" s="16"/>
      <c r="C587" s="16"/>
      <c r="D587" s="16"/>
      <c r="E587" s="16"/>
    </row>
    <row r="588" spans="2:5">
      <c r="B588" s="16"/>
      <c r="C588" s="16"/>
      <c r="D588" s="16"/>
      <c r="E588" s="16"/>
    </row>
    <row r="589" spans="2:5">
      <c r="B589" s="16"/>
      <c r="C589" s="16"/>
      <c r="D589" s="16"/>
      <c r="E589" s="16"/>
    </row>
    <row r="590" spans="2:5">
      <c r="B590" s="16"/>
      <c r="C590" s="16"/>
      <c r="D590" s="16"/>
      <c r="E590" s="16"/>
    </row>
    <row r="591" spans="2:5">
      <c r="B591" s="16"/>
      <c r="C591" s="16"/>
      <c r="D591" s="16"/>
      <c r="E591" s="16"/>
    </row>
    <row r="592" spans="2:5">
      <c r="B592" s="16"/>
      <c r="C592" s="16"/>
      <c r="D592" s="16"/>
      <c r="E592" s="16"/>
    </row>
    <row r="593" spans="2:5">
      <c r="B593" s="16"/>
      <c r="C593" s="16"/>
      <c r="D593" s="16"/>
      <c r="E593" s="16"/>
    </row>
    <row r="594" spans="2:5">
      <c r="B594" s="16"/>
      <c r="C594" s="16"/>
      <c r="D594" s="16"/>
      <c r="E594" s="16"/>
    </row>
    <row r="595" spans="2:5">
      <c r="B595" s="16"/>
      <c r="C595" s="16"/>
      <c r="D595" s="16"/>
      <c r="E595" s="16"/>
    </row>
    <row r="596" spans="2:5">
      <c r="B596" s="16"/>
      <c r="C596" s="16"/>
      <c r="D596" s="16"/>
      <c r="E596" s="16"/>
    </row>
    <row r="597" spans="2:5">
      <c r="B597" s="16"/>
      <c r="C597" s="16"/>
      <c r="D597" s="16"/>
      <c r="E597" s="16"/>
    </row>
    <row r="598" spans="2:5">
      <c r="B598" s="16"/>
      <c r="C598" s="16"/>
      <c r="D598" s="16"/>
      <c r="E598" s="16"/>
    </row>
    <row r="599" spans="2:5">
      <c r="B599" s="16"/>
      <c r="C599" s="16"/>
      <c r="D599" s="16"/>
      <c r="E599" s="16"/>
    </row>
    <row r="600" spans="2:5">
      <c r="B600" s="16"/>
      <c r="C600" s="16"/>
      <c r="D600" s="16"/>
      <c r="E600" s="16"/>
    </row>
    <row r="601" spans="2:5">
      <c r="B601" s="16"/>
      <c r="C601" s="16"/>
      <c r="D601" s="16"/>
      <c r="E601" s="16"/>
    </row>
    <row r="602" spans="2:5">
      <c r="B602" s="16"/>
      <c r="C602" s="16"/>
      <c r="D602" s="16"/>
      <c r="E602" s="16"/>
    </row>
    <row r="603" spans="2:5">
      <c r="B603" s="16"/>
      <c r="C603" s="16"/>
      <c r="D603" s="16"/>
      <c r="E603" s="16"/>
    </row>
    <row r="604" spans="2:5">
      <c r="B604" s="16"/>
      <c r="C604" s="16"/>
      <c r="D604" s="16"/>
      <c r="E604" s="16"/>
    </row>
    <row r="605" spans="2:5">
      <c r="B605" s="16"/>
      <c r="C605" s="16"/>
      <c r="D605" s="16"/>
      <c r="E605" s="16"/>
    </row>
    <row r="606" spans="2:5">
      <c r="B606" s="16"/>
      <c r="C606" s="16"/>
      <c r="D606" s="16"/>
      <c r="E606" s="16"/>
    </row>
    <row r="607" spans="2:5">
      <c r="B607" s="16"/>
      <c r="C607" s="16"/>
      <c r="D607" s="16"/>
      <c r="E607" s="16"/>
    </row>
    <row r="608" spans="2:5">
      <c r="B608" s="16"/>
      <c r="C608" s="16"/>
      <c r="D608" s="16"/>
      <c r="E608" s="16"/>
    </row>
    <row r="609" spans="2:5">
      <c r="B609" s="16"/>
      <c r="C609" s="16"/>
      <c r="D609" s="16"/>
      <c r="E609" s="16"/>
    </row>
    <row r="610" spans="2:5">
      <c r="B610" s="16"/>
      <c r="C610" s="16"/>
      <c r="D610" s="16"/>
      <c r="E610" s="16"/>
    </row>
    <row r="611" spans="2:5">
      <c r="B611" s="16"/>
      <c r="C611" s="16"/>
      <c r="D611" s="16"/>
      <c r="E611" s="16"/>
    </row>
    <row r="612" spans="2:5">
      <c r="B612" s="16"/>
      <c r="C612" s="16"/>
      <c r="D612" s="16"/>
      <c r="E612" s="16"/>
    </row>
    <row r="613" spans="2:5">
      <c r="B613" s="16"/>
      <c r="C613" s="16"/>
      <c r="D613" s="16"/>
      <c r="E613" s="16"/>
    </row>
    <row r="614" spans="2:5">
      <c r="B614" s="16"/>
      <c r="C614" s="16"/>
      <c r="D614" s="16"/>
      <c r="E614" s="16"/>
    </row>
    <row r="615" spans="2:5">
      <c r="B615" s="16"/>
      <c r="C615" s="16"/>
      <c r="D615" s="16"/>
      <c r="E615" s="16"/>
    </row>
    <row r="616" spans="2:5">
      <c r="B616" s="16"/>
      <c r="C616" s="16"/>
      <c r="D616" s="16"/>
      <c r="E616" s="16"/>
    </row>
    <row r="617" spans="2:5">
      <c r="B617" s="16"/>
      <c r="C617" s="16"/>
      <c r="D617" s="16"/>
      <c r="E617" s="16"/>
    </row>
    <row r="618" spans="2:5">
      <c r="B618" s="16"/>
      <c r="C618" s="16"/>
      <c r="D618" s="16"/>
      <c r="E618" s="16"/>
    </row>
    <row r="619" spans="2:5">
      <c r="B619" s="16"/>
      <c r="C619" s="16"/>
      <c r="D619" s="16"/>
      <c r="E619" s="16"/>
    </row>
    <row r="620" spans="2:5">
      <c r="B620" s="16"/>
      <c r="C620" s="16"/>
      <c r="D620" s="16"/>
      <c r="E620" s="16"/>
    </row>
    <row r="621" spans="2:5">
      <c r="B621" s="16"/>
      <c r="C621" s="16"/>
      <c r="D621" s="16"/>
      <c r="E621" s="16"/>
    </row>
    <row r="622" spans="2:5">
      <c r="B622" s="16"/>
      <c r="C622" s="16"/>
      <c r="D622" s="16"/>
      <c r="E622" s="16"/>
    </row>
    <row r="623" spans="2:5">
      <c r="B623" s="16"/>
      <c r="C623" s="16"/>
      <c r="D623" s="16"/>
      <c r="E623" s="16"/>
    </row>
    <row r="624" spans="2:5">
      <c r="B624" s="16"/>
      <c r="C624" s="16"/>
      <c r="D624" s="16"/>
      <c r="E624" s="16"/>
    </row>
    <row r="625" spans="2:5">
      <c r="B625" s="16"/>
      <c r="C625" s="16"/>
      <c r="D625" s="16"/>
      <c r="E625" s="16"/>
    </row>
    <row r="626" spans="2:5">
      <c r="B626" s="16"/>
      <c r="C626" s="16"/>
      <c r="D626" s="16"/>
      <c r="E626" s="16"/>
    </row>
    <row r="627" spans="2:5">
      <c r="B627" s="16"/>
      <c r="C627" s="16"/>
      <c r="D627" s="16"/>
      <c r="E627" s="16"/>
    </row>
    <row r="628" spans="2:5">
      <c r="B628" s="16"/>
      <c r="C628" s="16"/>
      <c r="D628" s="16"/>
      <c r="E628" s="16"/>
    </row>
    <row r="629" spans="2:5">
      <c r="B629" s="16"/>
      <c r="C629" s="16"/>
      <c r="D629" s="16"/>
      <c r="E629" s="16"/>
    </row>
    <row r="630" spans="2:5">
      <c r="B630" s="16"/>
      <c r="C630" s="16"/>
      <c r="D630" s="16"/>
      <c r="E630" s="16"/>
    </row>
    <row r="631" spans="2:5">
      <c r="B631" s="16"/>
      <c r="C631" s="16"/>
      <c r="D631" s="16"/>
      <c r="E631" s="16"/>
    </row>
    <row r="632" spans="2:5">
      <c r="B632" s="16"/>
      <c r="C632" s="16"/>
      <c r="D632" s="16"/>
      <c r="E632" s="16"/>
    </row>
    <row r="633" spans="2:5">
      <c r="B633" s="16"/>
      <c r="C633" s="16"/>
      <c r="D633" s="16"/>
      <c r="E633" s="16"/>
    </row>
    <row r="634" spans="2:5">
      <c r="B634" s="16"/>
      <c r="C634" s="16"/>
      <c r="D634" s="16"/>
      <c r="E634" s="16"/>
    </row>
    <row r="635" spans="2:5">
      <c r="B635" s="16"/>
      <c r="C635" s="16"/>
      <c r="D635" s="16"/>
      <c r="E635" s="16"/>
    </row>
    <row r="636" spans="2:5">
      <c r="B636" s="16"/>
      <c r="C636" s="16"/>
      <c r="D636" s="16"/>
      <c r="E636" s="16"/>
    </row>
    <row r="637" spans="2:5">
      <c r="B637" s="16"/>
      <c r="C637" s="16"/>
      <c r="D637" s="16"/>
      <c r="E637" s="16"/>
    </row>
    <row r="638" spans="2:5">
      <c r="B638" s="16"/>
      <c r="C638" s="16"/>
      <c r="D638" s="16"/>
      <c r="E638" s="16"/>
    </row>
    <row r="639" spans="2:5">
      <c r="B639" s="16"/>
      <c r="C639" s="16"/>
      <c r="D639" s="16"/>
      <c r="E639" s="16"/>
    </row>
    <row r="640" spans="2:5">
      <c r="B640" s="16"/>
      <c r="C640" s="16"/>
      <c r="D640" s="16"/>
      <c r="E640" s="16"/>
    </row>
    <row r="641" spans="2:5">
      <c r="B641" s="16"/>
      <c r="C641" s="16"/>
      <c r="D641" s="16"/>
      <c r="E641" s="16"/>
    </row>
    <row r="642" spans="2:5">
      <c r="B642" s="16"/>
      <c r="C642" s="16"/>
      <c r="D642" s="16"/>
      <c r="E642" s="16"/>
    </row>
    <row r="643" spans="2:5">
      <c r="B643" s="16"/>
      <c r="C643" s="16"/>
      <c r="D643" s="16"/>
      <c r="E643" s="16"/>
    </row>
    <row r="644" spans="2:5">
      <c r="B644" s="16"/>
      <c r="C644" s="16"/>
      <c r="D644" s="16"/>
      <c r="E644" s="16"/>
    </row>
    <row r="645" spans="2:5">
      <c r="B645" s="16"/>
      <c r="C645" s="16"/>
      <c r="D645" s="16"/>
      <c r="E645" s="16"/>
    </row>
    <row r="646" spans="2:5">
      <c r="B646" s="16"/>
      <c r="C646" s="16"/>
      <c r="D646" s="16"/>
      <c r="E646" s="16"/>
    </row>
    <row r="647" spans="2:5">
      <c r="B647" s="16"/>
      <c r="C647" s="16"/>
      <c r="D647" s="16"/>
      <c r="E647" s="16"/>
    </row>
    <row r="648" spans="2:5">
      <c r="B648" s="16"/>
      <c r="C648" s="16"/>
      <c r="D648" s="16"/>
      <c r="E648" s="16"/>
    </row>
    <row r="649" spans="2:5">
      <c r="B649" s="16"/>
      <c r="C649" s="16"/>
      <c r="D649" s="16"/>
      <c r="E649" s="16"/>
    </row>
    <row r="650" spans="2:5">
      <c r="B650" s="16"/>
      <c r="C650" s="16"/>
      <c r="D650" s="16"/>
      <c r="E650" s="16"/>
    </row>
    <row r="651" spans="2:5">
      <c r="B651" s="16"/>
      <c r="C651" s="16"/>
      <c r="D651" s="16"/>
      <c r="E651" s="16"/>
    </row>
    <row r="652" spans="2:5">
      <c r="B652" s="16"/>
      <c r="C652" s="16"/>
      <c r="D652" s="16"/>
      <c r="E652" s="16"/>
    </row>
    <row r="653" spans="2:5">
      <c r="B653" s="16"/>
      <c r="C653" s="16"/>
      <c r="D653" s="16"/>
      <c r="E653" s="16"/>
    </row>
    <row r="654" spans="2:5">
      <c r="B654" s="16"/>
      <c r="C654" s="16"/>
      <c r="D654" s="16"/>
      <c r="E654" s="16"/>
    </row>
    <row r="655" spans="2:5">
      <c r="B655" s="16"/>
      <c r="C655" s="16"/>
      <c r="D655" s="16"/>
      <c r="E655" s="16"/>
    </row>
    <row r="656" spans="2:5">
      <c r="B656" s="16"/>
      <c r="C656" s="16"/>
      <c r="D656" s="16"/>
      <c r="E656" s="16"/>
    </row>
    <row r="657" spans="2:5">
      <c r="B657" s="16"/>
      <c r="C657" s="16"/>
      <c r="D657" s="16"/>
      <c r="E657" s="16"/>
    </row>
    <row r="658" spans="2:5">
      <c r="B658" s="16"/>
      <c r="C658" s="16"/>
      <c r="D658" s="16"/>
      <c r="E658" s="16"/>
    </row>
    <row r="659" spans="2:5">
      <c r="B659" s="16"/>
      <c r="C659" s="16"/>
      <c r="D659" s="16"/>
      <c r="E659" s="16"/>
    </row>
    <row r="660" spans="2:5">
      <c r="B660" s="16"/>
      <c r="C660" s="16"/>
      <c r="D660" s="16"/>
      <c r="E660" s="16"/>
    </row>
    <row r="661" spans="2:5">
      <c r="B661" s="16"/>
      <c r="C661" s="16"/>
      <c r="D661" s="16"/>
      <c r="E661" s="16"/>
    </row>
    <row r="662" spans="2:5">
      <c r="B662" s="16"/>
      <c r="C662" s="16"/>
      <c r="D662" s="16"/>
      <c r="E662" s="16"/>
    </row>
    <row r="663" spans="2:5">
      <c r="B663" s="16"/>
      <c r="C663" s="16"/>
      <c r="D663" s="16"/>
      <c r="E663" s="16"/>
    </row>
    <row r="664" spans="2:5">
      <c r="B664" s="16"/>
      <c r="C664" s="16"/>
      <c r="D664" s="16"/>
      <c r="E664" s="16"/>
    </row>
    <row r="665" spans="2:5">
      <c r="B665" s="16"/>
      <c r="C665" s="16"/>
      <c r="D665" s="16"/>
      <c r="E665" s="16"/>
    </row>
    <row r="666" spans="2:5">
      <c r="B666" s="16"/>
      <c r="C666" s="16"/>
      <c r="D666" s="16"/>
      <c r="E666" s="16"/>
    </row>
    <row r="667" spans="2:5">
      <c r="B667" s="16"/>
      <c r="C667" s="16"/>
      <c r="D667" s="16"/>
      <c r="E667" s="16"/>
    </row>
    <row r="668" spans="2:5">
      <c r="B668" s="16"/>
      <c r="C668" s="16"/>
      <c r="D668" s="16"/>
      <c r="E668" s="16"/>
    </row>
    <row r="669" spans="2:5">
      <c r="B669" s="16"/>
      <c r="C669" s="16"/>
      <c r="D669" s="16"/>
      <c r="E669" s="16"/>
    </row>
    <row r="670" spans="2:5">
      <c r="B670" s="16"/>
      <c r="C670" s="16"/>
      <c r="D670" s="16"/>
      <c r="E670" s="16"/>
    </row>
    <row r="671" spans="2:5">
      <c r="B671" s="16"/>
      <c r="C671" s="16"/>
      <c r="D671" s="16"/>
      <c r="E671" s="16"/>
    </row>
    <row r="672" spans="2:5">
      <c r="B672" s="16"/>
      <c r="C672" s="16"/>
      <c r="D672" s="16"/>
      <c r="E672" s="16"/>
    </row>
    <row r="673" spans="2:5">
      <c r="B673" s="16"/>
      <c r="C673" s="16"/>
      <c r="D673" s="16"/>
      <c r="E673" s="16"/>
    </row>
    <row r="674" spans="2:5">
      <c r="B674" s="16"/>
      <c r="C674" s="16"/>
      <c r="D674" s="16"/>
      <c r="E674" s="16"/>
    </row>
    <row r="675" spans="2:5">
      <c r="B675" s="16"/>
      <c r="C675" s="16"/>
      <c r="D675" s="16"/>
      <c r="E675" s="16"/>
    </row>
    <row r="676" spans="2:5">
      <c r="B676" s="16"/>
      <c r="C676" s="16"/>
      <c r="D676" s="16"/>
      <c r="E676" s="16"/>
    </row>
    <row r="677" spans="2:5">
      <c r="B677" s="16"/>
      <c r="C677" s="16"/>
      <c r="D677" s="16"/>
      <c r="E677" s="16"/>
    </row>
    <row r="678" spans="2:5">
      <c r="B678" s="16"/>
      <c r="C678" s="16"/>
      <c r="D678" s="16"/>
      <c r="E678" s="16"/>
    </row>
    <row r="679" spans="2:5">
      <c r="B679" s="16"/>
      <c r="C679" s="16"/>
      <c r="D679" s="16"/>
      <c r="E679" s="16"/>
    </row>
    <row r="680" spans="2:5">
      <c r="B680" s="16"/>
      <c r="C680" s="16"/>
      <c r="D680" s="16"/>
      <c r="E680" s="16"/>
    </row>
    <row r="681" spans="2:5">
      <c r="B681" s="16"/>
      <c r="C681" s="16"/>
      <c r="D681" s="16"/>
      <c r="E681" s="16"/>
    </row>
    <row r="682" spans="2:5">
      <c r="B682" s="16"/>
      <c r="C682" s="16"/>
      <c r="D682" s="16"/>
      <c r="E682" s="16"/>
    </row>
    <row r="683" spans="2:5">
      <c r="B683" s="16"/>
      <c r="C683" s="16"/>
      <c r="D683" s="16"/>
      <c r="E683" s="16"/>
    </row>
    <row r="684" spans="2:5">
      <c r="B684" s="16"/>
      <c r="C684" s="16"/>
      <c r="D684" s="16"/>
      <c r="E684" s="16"/>
    </row>
    <row r="685" spans="2:5">
      <c r="B685" s="16"/>
      <c r="C685" s="16"/>
      <c r="D685" s="16"/>
      <c r="E685" s="16"/>
    </row>
    <row r="686" spans="2:5">
      <c r="B686" s="16"/>
      <c r="C686" s="16"/>
      <c r="D686" s="16"/>
      <c r="E686" s="16"/>
    </row>
    <row r="687" spans="2:5">
      <c r="B687" s="16"/>
      <c r="C687" s="16"/>
      <c r="D687" s="16"/>
      <c r="E687" s="16"/>
    </row>
    <row r="688" spans="2:5">
      <c r="B688" s="16"/>
      <c r="C688" s="16"/>
      <c r="D688" s="16"/>
      <c r="E688" s="16"/>
    </row>
    <row r="689" spans="2:5">
      <c r="B689" s="16"/>
      <c r="C689" s="16"/>
      <c r="D689" s="16"/>
      <c r="E689" s="16"/>
    </row>
    <row r="690" spans="2:5">
      <c r="B690" s="16"/>
      <c r="C690" s="16"/>
      <c r="D690" s="16"/>
      <c r="E690" s="16"/>
    </row>
    <row r="691" spans="2:5">
      <c r="B691" s="16"/>
      <c r="C691" s="16"/>
      <c r="D691" s="16"/>
      <c r="E691" s="16"/>
    </row>
    <row r="692" spans="2:5">
      <c r="B692" s="16"/>
      <c r="C692" s="16"/>
      <c r="D692" s="16"/>
      <c r="E692" s="16"/>
    </row>
    <row r="693" spans="2:5">
      <c r="B693" s="16"/>
      <c r="C693" s="16"/>
      <c r="D693" s="16"/>
      <c r="E693" s="16"/>
    </row>
    <row r="694" spans="2:5">
      <c r="B694" s="16"/>
      <c r="C694" s="16"/>
      <c r="D694" s="16"/>
      <c r="E694" s="16"/>
    </row>
    <row r="695" spans="2:5">
      <c r="B695" s="16"/>
      <c r="C695" s="16"/>
      <c r="D695" s="16"/>
      <c r="E695" s="16"/>
    </row>
    <row r="696" spans="2:5">
      <c r="B696" s="16"/>
      <c r="C696" s="16"/>
      <c r="D696" s="16"/>
      <c r="E696" s="16"/>
    </row>
    <row r="697" spans="2:5">
      <c r="B697" s="16"/>
      <c r="C697" s="16"/>
      <c r="D697" s="16"/>
      <c r="E697" s="16"/>
    </row>
    <row r="698" spans="2:5">
      <c r="B698" s="16"/>
      <c r="C698" s="16"/>
      <c r="D698" s="16"/>
      <c r="E698" s="16"/>
    </row>
    <row r="699" spans="2:5">
      <c r="B699" s="16"/>
      <c r="C699" s="16"/>
      <c r="D699" s="16"/>
      <c r="E699" s="16"/>
    </row>
    <row r="700" spans="2:5">
      <c r="B700" s="16"/>
      <c r="C700" s="16"/>
      <c r="D700" s="16"/>
      <c r="E700" s="16"/>
    </row>
    <row r="701" spans="2:5">
      <c r="B701" s="16"/>
      <c r="C701" s="16"/>
      <c r="D701" s="16"/>
      <c r="E701" s="16"/>
    </row>
    <row r="702" spans="2:5">
      <c r="B702" s="16"/>
      <c r="C702" s="16"/>
      <c r="D702" s="16"/>
      <c r="E702" s="16"/>
    </row>
    <row r="703" spans="2:5">
      <c r="B703" s="16"/>
      <c r="C703" s="16"/>
      <c r="D703" s="16"/>
      <c r="E703" s="16"/>
    </row>
    <row r="704" spans="2:5">
      <c r="B704" s="16"/>
      <c r="C704" s="16"/>
      <c r="D704" s="16"/>
      <c r="E704" s="16"/>
    </row>
    <row r="705" spans="2:5">
      <c r="B705" s="16"/>
      <c r="C705" s="16"/>
      <c r="D705" s="16"/>
      <c r="E705" s="16"/>
    </row>
    <row r="706" spans="2:5">
      <c r="B706" s="16"/>
      <c r="C706" s="16"/>
      <c r="D706" s="16"/>
      <c r="E706" s="16"/>
    </row>
    <row r="707" spans="2:5">
      <c r="B707" s="16"/>
      <c r="C707" s="16"/>
      <c r="D707" s="16"/>
      <c r="E707" s="16"/>
    </row>
    <row r="708" spans="2:5">
      <c r="B708" s="16"/>
      <c r="C708" s="16"/>
      <c r="D708" s="16"/>
      <c r="E708" s="16"/>
    </row>
    <row r="709" spans="2:5">
      <c r="B709" s="16"/>
      <c r="C709" s="16"/>
      <c r="D709" s="16"/>
      <c r="E709" s="16"/>
    </row>
    <row r="710" spans="2:5">
      <c r="B710" s="16"/>
      <c r="C710" s="16"/>
      <c r="D710" s="16"/>
      <c r="E710" s="16"/>
    </row>
    <row r="711" spans="2:5">
      <c r="B711" s="16"/>
      <c r="C711" s="16"/>
      <c r="D711" s="16"/>
      <c r="E711" s="16"/>
    </row>
    <row r="712" spans="2:5">
      <c r="B712" s="16"/>
      <c r="C712" s="16"/>
      <c r="D712" s="16"/>
      <c r="E712" s="16"/>
    </row>
    <row r="713" spans="2:5">
      <c r="B713" s="16"/>
      <c r="C713" s="16"/>
      <c r="D713" s="16"/>
      <c r="E713" s="16"/>
    </row>
    <row r="714" spans="2:5">
      <c r="B714" s="16"/>
      <c r="C714" s="16"/>
      <c r="D714" s="16"/>
      <c r="E714" s="16"/>
    </row>
    <row r="715" spans="2:5">
      <c r="B715" s="16"/>
      <c r="C715" s="16"/>
      <c r="D715" s="16"/>
      <c r="E715" s="16"/>
    </row>
    <row r="716" spans="2:5">
      <c r="B716" s="16"/>
      <c r="C716" s="16"/>
      <c r="D716" s="16"/>
      <c r="E716" s="16"/>
    </row>
    <row r="717" spans="2:5">
      <c r="B717" s="16"/>
      <c r="C717" s="16"/>
      <c r="D717" s="16"/>
      <c r="E717" s="16"/>
    </row>
    <row r="718" spans="2:5">
      <c r="B718" s="16"/>
      <c r="C718" s="16"/>
      <c r="D718" s="16"/>
      <c r="E718" s="16"/>
    </row>
    <row r="719" spans="2:5">
      <c r="B719" s="16"/>
      <c r="C719" s="16"/>
      <c r="D719" s="16"/>
      <c r="E719" s="16"/>
    </row>
    <row r="720" spans="2:5">
      <c r="B720" s="16"/>
      <c r="C720" s="16"/>
      <c r="D720" s="16"/>
      <c r="E720" s="16"/>
    </row>
    <row r="721" spans="2:5">
      <c r="B721" s="16"/>
      <c r="C721" s="16"/>
      <c r="D721" s="16"/>
      <c r="E721" s="16"/>
    </row>
    <row r="722" spans="2:5">
      <c r="B722" s="16"/>
      <c r="C722" s="16"/>
      <c r="D722" s="16"/>
      <c r="E722" s="16"/>
    </row>
    <row r="723" spans="2:5">
      <c r="B723" s="16"/>
      <c r="C723" s="16"/>
      <c r="D723" s="16"/>
      <c r="E723" s="16"/>
    </row>
    <row r="724" spans="2:5">
      <c r="B724" s="16"/>
      <c r="C724" s="16"/>
      <c r="D724" s="16"/>
      <c r="E724" s="16"/>
    </row>
    <row r="725" spans="2:5">
      <c r="B725" s="16"/>
      <c r="C725" s="16"/>
      <c r="D725" s="16"/>
      <c r="E725" s="16"/>
    </row>
    <row r="726" spans="2:5">
      <c r="B726" s="16"/>
      <c r="C726" s="16"/>
      <c r="D726" s="16"/>
      <c r="E726" s="16"/>
    </row>
    <row r="727" spans="2:5">
      <c r="B727" s="16"/>
      <c r="C727" s="16"/>
      <c r="D727" s="16"/>
      <c r="E727" s="16"/>
    </row>
    <row r="728" spans="2:5">
      <c r="B728" s="16"/>
      <c r="C728" s="16"/>
      <c r="D728" s="16"/>
      <c r="E728" s="16"/>
    </row>
    <row r="729" spans="2:5">
      <c r="B729" s="16"/>
      <c r="C729" s="16"/>
      <c r="D729" s="16"/>
      <c r="E729" s="16"/>
    </row>
    <row r="730" spans="2:5">
      <c r="B730" s="16"/>
      <c r="C730" s="16"/>
      <c r="D730" s="16"/>
      <c r="E730" s="16"/>
    </row>
    <row r="731" spans="2:5">
      <c r="B731" s="16"/>
      <c r="C731" s="16"/>
      <c r="D731" s="16"/>
      <c r="E731" s="16"/>
    </row>
    <row r="732" spans="2:5">
      <c r="B732" s="16"/>
      <c r="C732" s="16"/>
      <c r="D732" s="16"/>
      <c r="E732" s="16"/>
    </row>
    <row r="733" spans="2:5">
      <c r="B733" s="16"/>
      <c r="C733" s="16"/>
      <c r="D733" s="16"/>
      <c r="E733" s="16"/>
    </row>
    <row r="734" spans="2:5">
      <c r="B734" s="16"/>
      <c r="C734" s="16"/>
      <c r="D734" s="16"/>
      <c r="E734" s="16"/>
    </row>
    <row r="735" spans="2:5">
      <c r="B735" s="16"/>
      <c r="C735" s="16"/>
      <c r="D735" s="16"/>
      <c r="E735" s="16"/>
    </row>
    <row r="736" spans="2:5">
      <c r="B736" s="16"/>
      <c r="C736" s="16"/>
      <c r="D736" s="16"/>
      <c r="E736" s="16"/>
    </row>
    <row r="737" spans="2:5">
      <c r="B737" s="16"/>
      <c r="C737" s="16"/>
      <c r="D737" s="16"/>
      <c r="E737" s="16"/>
    </row>
    <row r="738" spans="2:5">
      <c r="B738" s="16"/>
      <c r="C738" s="16"/>
      <c r="D738" s="16"/>
      <c r="E738" s="16"/>
    </row>
    <row r="739" spans="2:5">
      <c r="B739" s="16"/>
      <c r="C739" s="16"/>
      <c r="D739" s="16"/>
      <c r="E739" s="16"/>
    </row>
    <row r="740" spans="2:5">
      <c r="B740" s="16"/>
      <c r="C740" s="16"/>
      <c r="D740" s="16"/>
      <c r="E740" s="16"/>
    </row>
    <row r="741" spans="2:5">
      <c r="B741" s="16"/>
      <c r="C741" s="16"/>
      <c r="D741" s="16"/>
      <c r="E741" s="16"/>
    </row>
    <row r="742" spans="2:5">
      <c r="B742" s="16"/>
      <c r="C742" s="16"/>
      <c r="D742" s="16"/>
      <c r="E742" s="16"/>
    </row>
    <row r="743" spans="2:5">
      <c r="B743" s="16"/>
      <c r="C743" s="16"/>
      <c r="D743" s="16"/>
      <c r="E743" s="16"/>
    </row>
    <row r="744" spans="2:5">
      <c r="B744" s="16"/>
      <c r="C744" s="16"/>
      <c r="D744" s="16"/>
      <c r="E744" s="16"/>
    </row>
    <row r="745" spans="2:5">
      <c r="B745" s="16"/>
      <c r="C745" s="16"/>
      <c r="D745" s="16"/>
      <c r="E745" s="16"/>
    </row>
    <row r="746" spans="2:5">
      <c r="B746" s="16"/>
      <c r="C746" s="16"/>
      <c r="D746" s="16"/>
      <c r="E746" s="16"/>
    </row>
    <row r="747" spans="2:5">
      <c r="B747" s="16"/>
      <c r="C747" s="16"/>
      <c r="D747" s="16"/>
      <c r="E747" s="16"/>
    </row>
    <row r="748" spans="2:5">
      <c r="B748" s="16"/>
      <c r="C748" s="16"/>
      <c r="D748" s="16"/>
      <c r="E748" s="16"/>
    </row>
    <row r="749" spans="2:5">
      <c r="B749" s="16"/>
      <c r="C749" s="16"/>
      <c r="D749" s="16"/>
      <c r="E749" s="16"/>
    </row>
    <row r="750" spans="2:5">
      <c r="B750" s="16"/>
      <c r="C750" s="16"/>
      <c r="D750" s="16"/>
      <c r="E750" s="16"/>
    </row>
    <row r="751" spans="2:5">
      <c r="B751" s="16"/>
      <c r="C751" s="16"/>
      <c r="D751" s="16"/>
      <c r="E751" s="16"/>
    </row>
    <row r="752" spans="2:5">
      <c r="B752" s="16"/>
      <c r="C752" s="16"/>
      <c r="D752" s="16"/>
      <c r="E752" s="16"/>
    </row>
    <row r="753" spans="2:5">
      <c r="B753" s="16"/>
      <c r="C753" s="16"/>
      <c r="D753" s="16"/>
      <c r="E753" s="16"/>
    </row>
    <row r="754" spans="2:5">
      <c r="B754" s="16"/>
      <c r="C754" s="16"/>
      <c r="D754" s="16"/>
      <c r="E754" s="16"/>
    </row>
    <row r="755" spans="2:5">
      <c r="B755" s="16"/>
      <c r="C755" s="16"/>
      <c r="D755" s="16"/>
      <c r="E755" s="16"/>
    </row>
    <row r="756" spans="2:5">
      <c r="B756" s="16"/>
      <c r="C756" s="16"/>
      <c r="D756" s="16"/>
      <c r="E756" s="16"/>
    </row>
    <row r="757" spans="2:5">
      <c r="B757" s="16"/>
      <c r="C757" s="16"/>
      <c r="D757" s="16"/>
      <c r="E757" s="16"/>
    </row>
    <row r="758" spans="2:5">
      <c r="B758" s="16"/>
      <c r="C758" s="16"/>
      <c r="D758" s="16"/>
      <c r="E758" s="16"/>
    </row>
    <row r="759" spans="2:5">
      <c r="B759" s="16"/>
      <c r="C759" s="16"/>
      <c r="D759" s="16"/>
      <c r="E759" s="16"/>
    </row>
    <row r="760" spans="2:5">
      <c r="B760" s="16"/>
      <c r="C760" s="16"/>
      <c r="D760" s="16"/>
      <c r="E760" s="16"/>
    </row>
    <row r="761" spans="2:5">
      <c r="B761" s="16"/>
      <c r="C761" s="16"/>
      <c r="D761" s="16"/>
      <c r="E761" s="16"/>
    </row>
    <row r="762" spans="2:5">
      <c r="B762" s="16"/>
      <c r="C762" s="16"/>
      <c r="D762" s="16"/>
      <c r="E762" s="16"/>
    </row>
    <row r="763" spans="2:5">
      <c r="B763" s="16"/>
      <c r="C763" s="16"/>
      <c r="D763" s="16"/>
      <c r="E763" s="16"/>
    </row>
    <row r="764" spans="2:5">
      <c r="B764" s="16"/>
      <c r="C764" s="16"/>
      <c r="D764" s="16"/>
      <c r="E764" s="16"/>
    </row>
    <row r="765" spans="2:5">
      <c r="B765" s="16"/>
      <c r="C765" s="16"/>
      <c r="D765" s="16"/>
      <c r="E765" s="16"/>
    </row>
    <row r="766" spans="2:5">
      <c r="B766" s="16"/>
      <c r="C766" s="16"/>
      <c r="D766" s="16"/>
      <c r="E766" s="16"/>
    </row>
    <row r="767" spans="2:5">
      <c r="B767" s="16"/>
      <c r="C767" s="16"/>
      <c r="D767" s="16"/>
      <c r="E767" s="16"/>
    </row>
    <row r="768" spans="2:5">
      <c r="B768" s="16"/>
      <c r="C768" s="16"/>
      <c r="D768" s="16"/>
      <c r="E768" s="16"/>
    </row>
    <row r="769" spans="2:5">
      <c r="B769" s="16"/>
      <c r="C769" s="16"/>
      <c r="D769" s="16"/>
      <c r="E769" s="16"/>
    </row>
    <row r="770" spans="2:5">
      <c r="B770" s="16"/>
      <c r="C770" s="16"/>
      <c r="D770" s="16"/>
      <c r="E770" s="16"/>
    </row>
    <row r="771" spans="2:5">
      <c r="B771" s="16"/>
      <c r="C771" s="16"/>
      <c r="D771" s="16"/>
      <c r="E771" s="16"/>
    </row>
    <row r="772" spans="2:5">
      <c r="B772" s="16"/>
      <c r="C772" s="16"/>
      <c r="D772" s="16"/>
      <c r="E772" s="16"/>
    </row>
    <row r="773" spans="2:5">
      <c r="B773" s="16"/>
      <c r="C773" s="16"/>
      <c r="D773" s="16"/>
      <c r="E773" s="16"/>
    </row>
    <row r="774" spans="2:5">
      <c r="B774" s="16"/>
      <c r="C774" s="16"/>
      <c r="D774" s="16"/>
      <c r="E774" s="16"/>
    </row>
    <row r="775" spans="2:5">
      <c r="B775" s="16"/>
      <c r="C775" s="16"/>
      <c r="D775" s="16"/>
      <c r="E775" s="16"/>
    </row>
    <row r="776" spans="2:5">
      <c r="B776" s="16"/>
      <c r="C776" s="16"/>
      <c r="D776" s="16"/>
      <c r="E776" s="16"/>
    </row>
    <row r="777" spans="2:5">
      <c r="B777" s="16"/>
      <c r="C777" s="16"/>
      <c r="D777" s="16"/>
      <c r="E777" s="16"/>
    </row>
    <row r="778" spans="2:5">
      <c r="B778" s="16"/>
      <c r="C778" s="16"/>
      <c r="D778" s="16"/>
      <c r="E778" s="16"/>
    </row>
    <row r="779" spans="2:5">
      <c r="B779" s="16"/>
      <c r="C779" s="16"/>
      <c r="D779" s="16"/>
      <c r="E779" s="16"/>
    </row>
    <row r="780" spans="2:5">
      <c r="B780" s="16"/>
      <c r="C780" s="16"/>
      <c r="D780" s="16"/>
      <c r="E780" s="16"/>
    </row>
    <row r="781" spans="2:5">
      <c r="B781" s="16"/>
      <c r="C781" s="16"/>
      <c r="D781" s="16"/>
      <c r="E781" s="16"/>
    </row>
    <row r="782" spans="2:5">
      <c r="B782" s="16"/>
      <c r="C782" s="16"/>
      <c r="D782" s="16"/>
      <c r="E782" s="16"/>
    </row>
    <row r="783" spans="2:5">
      <c r="B783" s="16"/>
      <c r="C783" s="16"/>
      <c r="D783" s="16"/>
      <c r="E783" s="16"/>
    </row>
    <row r="784" spans="2:5">
      <c r="B784" s="16"/>
      <c r="C784" s="16"/>
      <c r="D784" s="16"/>
      <c r="E784" s="16"/>
    </row>
    <row r="785" spans="2:5">
      <c r="B785" s="16"/>
      <c r="C785" s="16"/>
      <c r="D785" s="16"/>
      <c r="E785" s="16"/>
    </row>
    <row r="786" spans="2:5">
      <c r="B786" s="16"/>
      <c r="C786" s="16"/>
      <c r="D786" s="16"/>
      <c r="E786" s="16"/>
    </row>
    <row r="787" spans="2:5">
      <c r="B787" s="16"/>
      <c r="C787" s="16"/>
      <c r="D787" s="16"/>
      <c r="E787" s="16"/>
    </row>
    <row r="788" spans="2:5">
      <c r="B788" s="16"/>
      <c r="C788" s="16"/>
      <c r="D788" s="16"/>
      <c r="E788" s="16"/>
    </row>
    <row r="789" spans="2:5">
      <c r="B789" s="16"/>
      <c r="C789" s="16"/>
      <c r="D789" s="16"/>
      <c r="E789" s="16"/>
    </row>
    <row r="790" spans="2:5">
      <c r="B790" s="16"/>
      <c r="C790" s="16"/>
      <c r="D790" s="16"/>
      <c r="E790" s="16"/>
    </row>
    <row r="791" spans="2:5">
      <c r="B791" s="16"/>
      <c r="C791" s="16"/>
      <c r="D791" s="16"/>
      <c r="E791" s="16"/>
    </row>
    <row r="792" spans="2:5">
      <c r="B792" s="16"/>
      <c r="C792" s="16"/>
      <c r="D792" s="16"/>
      <c r="E792" s="16"/>
    </row>
    <row r="793" spans="2:5">
      <c r="B793" s="16"/>
      <c r="C793" s="16"/>
      <c r="D793" s="16"/>
      <c r="E793" s="16"/>
    </row>
    <row r="794" spans="2:5">
      <c r="B794" s="16"/>
      <c r="C794" s="16"/>
      <c r="D794" s="16"/>
      <c r="E794" s="16"/>
    </row>
    <row r="795" spans="2:5">
      <c r="B795" s="16"/>
      <c r="C795" s="16"/>
      <c r="D795" s="16"/>
      <c r="E795" s="16"/>
    </row>
    <row r="796" spans="2:5">
      <c r="B796" s="16"/>
      <c r="C796" s="16"/>
      <c r="D796" s="16"/>
      <c r="E796" s="16"/>
    </row>
    <row r="797" spans="2:5">
      <c r="B797" s="16"/>
      <c r="C797" s="16"/>
      <c r="D797" s="16"/>
      <c r="E797" s="16"/>
    </row>
    <row r="798" spans="2:5">
      <c r="B798" s="16"/>
      <c r="C798" s="16"/>
      <c r="D798" s="16"/>
      <c r="E798" s="16"/>
    </row>
    <row r="799" spans="2:5">
      <c r="B799" s="16"/>
      <c r="C799" s="16"/>
      <c r="D799" s="16"/>
      <c r="E799" s="16"/>
    </row>
    <row r="800" spans="2:5">
      <c r="B800" s="16"/>
      <c r="C800" s="16"/>
      <c r="D800" s="16"/>
      <c r="E800" s="16"/>
    </row>
    <row r="801" spans="2:5">
      <c r="B801" s="16"/>
      <c r="C801" s="16"/>
      <c r="D801" s="16"/>
      <c r="E801" s="16"/>
    </row>
    <row r="802" spans="2:5">
      <c r="B802" s="16"/>
      <c r="C802" s="16"/>
      <c r="D802" s="16"/>
      <c r="E802" s="16"/>
    </row>
    <row r="803" spans="2:5">
      <c r="B803" s="16"/>
      <c r="C803" s="16"/>
      <c r="D803" s="16"/>
      <c r="E803" s="16"/>
    </row>
    <row r="804" spans="2:5">
      <c r="B804" s="16"/>
      <c r="C804" s="16"/>
      <c r="D804" s="16"/>
      <c r="E804" s="16"/>
    </row>
    <row r="805" spans="2:5">
      <c r="B805" s="16"/>
      <c r="C805" s="16"/>
      <c r="D805" s="16"/>
      <c r="E805" s="16"/>
    </row>
    <row r="806" spans="2:5">
      <c r="B806" s="16"/>
      <c r="C806" s="16"/>
      <c r="D806" s="16"/>
      <c r="E806" s="16"/>
    </row>
    <row r="807" spans="2:5">
      <c r="B807" s="16"/>
      <c r="C807" s="16"/>
      <c r="D807" s="16"/>
      <c r="E807" s="16"/>
    </row>
    <row r="808" spans="2:5">
      <c r="B808" s="16"/>
      <c r="C808" s="16"/>
      <c r="D808" s="16"/>
      <c r="E808" s="16"/>
    </row>
    <row r="809" spans="2:5">
      <c r="B809" s="16"/>
      <c r="C809" s="16"/>
      <c r="D809" s="16"/>
      <c r="E809" s="16"/>
    </row>
    <row r="810" spans="2:5">
      <c r="B810" s="16"/>
      <c r="C810" s="16"/>
      <c r="D810" s="16"/>
      <c r="E810" s="16"/>
    </row>
    <row r="811" spans="2:5">
      <c r="B811" s="16"/>
      <c r="C811" s="16"/>
      <c r="D811" s="16"/>
      <c r="E811" s="16"/>
    </row>
    <row r="812" spans="2:5">
      <c r="B812" s="16"/>
      <c r="C812" s="16"/>
      <c r="D812" s="16"/>
      <c r="E812" s="16"/>
    </row>
    <row r="813" spans="2:5">
      <c r="B813" s="16"/>
      <c r="C813" s="16"/>
      <c r="D813" s="16"/>
      <c r="E813" s="16"/>
    </row>
    <row r="814" spans="2:5">
      <c r="B814" s="16"/>
      <c r="C814" s="16"/>
      <c r="D814" s="16"/>
      <c r="E814" s="16"/>
    </row>
    <row r="815" spans="2:5">
      <c r="B815" s="16"/>
      <c r="C815" s="16"/>
      <c r="D815" s="16"/>
      <c r="E815" s="16"/>
    </row>
    <row r="816" spans="2:5">
      <c r="B816" s="16"/>
      <c r="C816" s="16"/>
      <c r="D816" s="16"/>
      <c r="E816" s="16"/>
    </row>
    <row r="817" spans="2:5">
      <c r="B817" s="16"/>
      <c r="C817" s="16"/>
      <c r="D817" s="16"/>
      <c r="E817" s="16"/>
    </row>
    <row r="818" spans="2:5">
      <c r="B818" s="16"/>
      <c r="C818" s="16"/>
      <c r="D818" s="16"/>
      <c r="E818" s="16"/>
    </row>
    <row r="819" spans="2:5">
      <c r="B819" s="16"/>
      <c r="C819" s="16"/>
      <c r="D819" s="16"/>
      <c r="E819" s="16"/>
    </row>
    <row r="820" spans="2:5">
      <c r="B820" s="16"/>
      <c r="C820" s="16"/>
      <c r="D820" s="16"/>
      <c r="E820" s="16"/>
    </row>
    <row r="821" spans="2:5">
      <c r="B821" s="16"/>
      <c r="C821" s="16"/>
      <c r="D821" s="16"/>
      <c r="E821" s="16"/>
    </row>
    <row r="822" spans="2:5">
      <c r="B822" s="16"/>
      <c r="C822" s="16"/>
      <c r="D822" s="16"/>
      <c r="E822" s="16"/>
    </row>
    <row r="823" spans="2:5">
      <c r="B823" s="16"/>
      <c r="C823" s="16"/>
      <c r="D823" s="16"/>
      <c r="E823" s="16"/>
    </row>
    <row r="824" spans="2:5">
      <c r="B824" s="16"/>
      <c r="C824" s="16"/>
      <c r="D824" s="16"/>
      <c r="E824" s="16"/>
    </row>
    <row r="825" spans="2:5">
      <c r="B825" s="16"/>
      <c r="C825" s="16"/>
      <c r="D825" s="16"/>
      <c r="E825" s="16"/>
    </row>
    <row r="826" spans="2:5">
      <c r="B826" s="16"/>
      <c r="C826" s="16"/>
      <c r="D826" s="16"/>
      <c r="E826" s="16"/>
    </row>
    <row r="827" spans="2:5">
      <c r="B827" s="16"/>
      <c r="C827" s="16"/>
      <c r="D827" s="16"/>
      <c r="E827" s="16"/>
    </row>
    <row r="828" spans="2:5">
      <c r="B828" s="16"/>
      <c r="C828" s="16"/>
      <c r="D828" s="16"/>
      <c r="E828" s="16"/>
    </row>
    <row r="829" spans="2:5">
      <c r="B829" s="16"/>
      <c r="C829" s="16"/>
      <c r="D829" s="16"/>
      <c r="E829" s="16"/>
    </row>
    <row r="830" spans="2:5">
      <c r="B830" s="16"/>
      <c r="C830" s="16"/>
      <c r="D830" s="16"/>
      <c r="E830" s="16"/>
    </row>
    <row r="831" spans="2:5">
      <c r="B831" s="16"/>
      <c r="C831" s="16"/>
      <c r="D831" s="16"/>
      <c r="E831" s="16"/>
    </row>
    <row r="832" spans="2:5">
      <c r="B832" s="16"/>
      <c r="C832" s="16"/>
      <c r="D832" s="16"/>
      <c r="E832" s="16"/>
    </row>
    <row r="833" spans="2:5">
      <c r="B833" s="16"/>
      <c r="C833" s="16"/>
      <c r="D833" s="16"/>
      <c r="E833" s="16"/>
    </row>
    <row r="834" spans="2:5">
      <c r="B834" s="16"/>
      <c r="C834" s="16"/>
      <c r="D834" s="16"/>
      <c r="E834" s="16"/>
    </row>
    <row r="835" spans="2:5">
      <c r="B835" s="16"/>
      <c r="C835" s="16"/>
      <c r="D835" s="16"/>
      <c r="E835" s="16"/>
    </row>
    <row r="836" spans="2:5">
      <c r="B836" s="16"/>
      <c r="C836" s="16"/>
      <c r="D836" s="16"/>
      <c r="E836" s="16"/>
    </row>
    <row r="837" spans="2:5">
      <c r="B837" s="16"/>
      <c r="C837" s="16"/>
      <c r="D837" s="16"/>
      <c r="E837" s="16"/>
    </row>
    <row r="838" spans="2:5">
      <c r="B838" s="16"/>
      <c r="C838" s="16"/>
      <c r="D838" s="16"/>
      <c r="E838" s="16"/>
    </row>
    <row r="839" spans="2:5">
      <c r="B839" s="16"/>
      <c r="C839" s="16"/>
      <c r="D839" s="16"/>
      <c r="E839" s="16"/>
    </row>
    <row r="840" spans="2:5">
      <c r="B840" s="16"/>
      <c r="C840" s="16"/>
      <c r="D840" s="16"/>
      <c r="E840" s="16"/>
    </row>
    <row r="841" spans="2:5">
      <c r="B841" s="16"/>
      <c r="C841" s="16"/>
      <c r="D841" s="16"/>
      <c r="E841" s="16"/>
    </row>
    <row r="842" spans="2:5">
      <c r="B842" s="16"/>
      <c r="C842" s="16"/>
      <c r="D842" s="16"/>
      <c r="E842" s="16"/>
    </row>
    <row r="843" spans="2:5">
      <c r="B843" s="16"/>
      <c r="C843" s="16"/>
      <c r="D843" s="16"/>
      <c r="E843" s="16"/>
    </row>
    <row r="844" spans="2:5">
      <c r="B844" s="16"/>
      <c r="C844" s="16"/>
      <c r="D844" s="16"/>
      <c r="E844" s="16"/>
    </row>
    <row r="845" spans="2:5">
      <c r="B845" s="16"/>
      <c r="C845" s="16"/>
      <c r="D845" s="16"/>
      <c r="E845" s="16"/>
    </row>
    <row r="846" spans="2:5">
      <c r="B846" s="16"/>
      <c r="C846" s="16"/>
      <c r="D846" s="16"/>
      <c r="E846" s="16"/>
    </row>
    <row r="847" spans="2:5">
      <c r="B847" s="16"/>
      <c r="C847" s="16"/>
      <c r="D847" s="16"/>
      <c r="E847" s="16"/>
    </row>
    <row r="848" spans="2:5">
      <c r="B848" s="16"/>
      <c r="C848" s="16"/>
      <c r="D848" s="16"/>
      <c r="E848" s="16"/>
    </row>
    <row r="849" spans="2:5">
      <c r="B849" s="16"/>
      <c r="C849" s="16"/>
      <c r="D849" s="16"/>
      <c r="E849" s="16"/>
    </row>
    <row r="850" spans="2:5">
      <c r="B850" s="16"/>
      <c r="C850" s="16"/>
      <c r="D850" s="16"/>
      <c r="E850" s="16"/>
    </row>
    <row r="851" spans="2:5">
      <c r="B851" s="16"/>
      <c r="C851" s="16"/>
      <c r="D851" s="16"/>
      <c r="E851" s="16"/>
    </row>
    <row r="852" spans="2:5">
      <c r="B852" s="16"/>
      <c r="C852" s="16"/>
      <c r="D852" s="16"/>
      <c r="E852" s="16"/>
    </row>
    <row r="853" spans="2:5">
      <c r="B853" s="16"/>
      <c r="C853" s="16"/>
      <c r="D853" s="16"/>
      <c r="E853" s="16"/>
    </row>
    <row r="854" spans="2:5">
      <c r="B854" s="16"/>
      <c r="C854" s="16"/>
      <c r="D854" s="16"/>
      <c r="E854" s="16"/>
    </row>
    <row r="855" spans="2:5">
      <c r="B855" s="16"/>
      <c r="C855" s="16"/>
      <c r="D855" s="16"/>
      <c r="E855" s="16"/>
    </row>
    <row r="856" spans="2:5">
      <c r="B856" s="16"/>
      <c r="C856" s="16"/>
      <c r="D856" s="16"/>
      <c r="E856" s="16"/>
    </row>
    <row r="857" spans="2:5">
      <c r="B857" s="16"/>
      <c r="C857" s="16"/>
      <c r="D857" s="16"/>
      <c r="E857" s="16"/>
    </row>
    <row r="858" spans="2:5">
      <c r="B858" s="16"/>
      <c r="C858" s="16"/>
      <c r="D858" s="16"/>
      <c r="E858" s="16"/>
    </row>
    <row r="859" spans="2:5">
      <c r="B859" s="16"/>
      <c r="C859" s="16"/>
      <c r="D859" s="16"/>
      <c r="E859" s="16"/>
    </row>
    <row r="860" spans="2:5">
      <c r="B860" s="16"/>
      <c r="C860" s="16"/>
      <c r="D860" s="16"/>
      <c r="E860" s="16"/>
    </row>
    <row r="861" spans="2:5">
      <c r="B861" s="16"/>
      <c r="C861" s="16"/>
      <c r="D861" s="16"/>
      <c r="E861" s="16"/>
    </row>
    <row r="862" spans="2:5">
      <c r="B862" s="16"/>
      <c r="C862" s="16"/>
      <c r="D862" s="16"/>
      <c r="E862" s="16"/>
    </row>
    <row r="863" spans="2:5">
      <c r="B863" s="16"/>
      <c r="C863" s="16"/>
      <c r="D863" s="16"/>
      <c r="E863" s="16"/>
    </row>
    <row r="864" spans="2:5">
      <c r="B864" s="16"/>
      <c r="C864" s="16"/>
      <c r="D864" s="16"/>
      <c r="E864" s="16"/>
    </row>
    <row r="865" spans="2:5">
      <c r="B865" s="16"/>
      <c r="C865" s="16"/>
      <c r="D865" s="16"/>
      <c r="E865" s="16"/>
    </row>
    <row r="866" spans="2:5">
      <c r="B866" s="16"/>
      <c r="C866" s="16"/>
      <c r="D866" s="16"/>
      <c r="E866" s="16"/>
    </row>
    <row r="867" spans="2:5">
      <c r="B867" s="16"/>
      <c r="C867" s="16"/>
      <c r="D867" s="16"/>
      <c r="E867" s="16"/>
    </row>
    <row r="868" spans="2:5">
      <c r="B868" s="16"/>
      <c r="C868" s="16"/>
      <c r="D868" s="16"/>
      <c r="E868" s="16"/>
    </row>
    <row r="869" spans="2:5">
      <c r="B869" s="16"/>
      <c r="C869" s="16"/>
      <c r="D869" s="16"/>
      <c r="E869" s="16"/>
    </row>
    <row r="870" spans="2:5">
      <c r="B870" s="16"/>
      <c r="C870" s="16"/>
      <c r="D870" s="16"/>
      <c r="E870" s="16"/>
    </row>
    <row r="871" spans="2:5">
      <c r="B871" s="16"/>
      <c r="C871" s="16"/>
      <c r="D871" s="16"/>
      <c r="E871" s="16"/>
    </row>
    <row r="872" spans="2:5">
      <c r="B872" s="16"/>
      <c r="C872" s="16"/>
      <c r="D872" s="16"/>
      <c r="E872" s="16"/>
    </row>
    <row r="873" spans="2:5">
      <c r="B873" s="16"/>
      <c r="C873" s="16"/>
      <c r="D873" s="16"/>
      <c r="E873" s="16"/>
    </row>
    <row r="874" spans="2:5">
      <c r="B874" s="16"/>
      <c r="C874" s="16"/>
      <c r="D874" s="16"/>
      <c r="E874" s="16"/>
    </row>
    <row r="875" spans="2:5">
      <c r="B875" s="16"/>
      <c r="C875" s="16"/>
      <c r="D875" s="16"/>
      <c r="E875" s="16"/>
    </row>
    <row r="876" spans="2:5">
      <c r="B876" s="16"/>
      <c r="C876" s="16"/>
      <c r="D876" s="16"/>
      <c r="E876" s="16"/>
    </row>
    <row r="877" spans="2:5">
      <c r="B877" s="16"/>
      <c r="C877" s="16"/>
      <c r="D877" s="16"/>
      <c r="E877" s="16"/>
    </row>
    <row r="878" spans="2:5">
      <c r="B878" s="16"/>
      <c r="C878" s="16"/>
      <c r="D878" s="16"/>
      <c r="E878" s="16"/>
    </row>
    <row r="879" spans="2:5">
      <c r="B879" s="16"/>
      <c r="C879" s="16"/>
      <c r="D879" s="16"/>
      <c r="E879" s="16"/>
    </row>
    <row r="880" spans="2:5">
      <c r="B880" s="16"/>
      <c r="C880" s="16"/>
      <c r="D880" s="16"/>
      <c r="E880" s="16"/>
    </row>
    <row r="881" spans="2:5">
      <c r="B881" s="16"/>
      <c r="C881" s="16"/>
      <c r="D881" s="16"/>
      <c r="E881" s="16"/>
    </row>
    <row r="882" spans="2:5">
      <c r="B882" s="16"/>
      <c r="C882" s="16"/>
      <c r="D882" s="16"/>
      <c r="E882" s="16"/>
    </row>
    <row r="883" spans="2:5">
      <c r="B883" s="16"/>
      <c r="C883" s="16"/>
      <c r="D883" s="16"/>
      <c r="E883" s="16"/>
    </row>
    <row r="884" spans="2:5">
      <c r="B884" s="16"/>
      <c r="C884" s="16"/>
      <c r="D884" s="16"/>
      <c r="E884" s="16"/>
    </row>
    <row r="885" spans="2:5">
      <c r="B885" s="16"/>
      <c r="C885" s="16"/>
      <c r="D885" s="16"/>
      <c r="E885" s="16"/>
    </row>
    <row r="886" spans="2:5">
      <c r="B886" s="16"/>
      <c r="C886" s="16"/>
      <c r="D886" s="16"/>
      <c r="E886" s="16"/>
    </row>
    <row r="887" spans="2:5">
      <c r="B887" s="16"/>
      <c r="C887" s="16"/>
      <c r="D887" s="16"/>
      <c r="E887" s="16"/>
    </row>
    <row r="888" spans="2:5">
      <c r="B888" s="16"/>
      <c r="C888" s="16"/>
      <c r="D888" s="16"/>
      <c r="E888" s="16"/>
    </row>
    <row r="889" spans="2:5">
      <c r="B889" s="16"/>
      <c r="C889" s="16"/>
      <c r="D889" s="16"/>
      <c r="E889" s="16"/>
    </row>
    <row r="890" spans="2:5">
      <c r="B890" s="16"/>
      <c r="C890" s="16"/>
      <c r="D890" s="16"/>
      <c r="E890" s="16"/>
    </row>
    <row r="891" spans="2:5">
      <c r="B891" s="16"/>
      <c r="C891" s="16"/>
      <c r="D891" s="16"/>
      <c r="E891" s="16"/>
    </row>
    <row r="892" spans="2:5">
      <c r="B892" s="16"/>
      <c r="C892" s="16"/>
      <c r="D892" s="16"/>
      <c r="E892" s="16"/>
    </row>
    <row r="893" spans="2:5">
      <c r="B893" s="16"/>
      <c r="C893" s="16"/>
      <c r="D893" s="16"/>
      <c r="E893" s="16"/>
    </row>
    <row r="894" spans="2:5">
      <c r="B894" s="16"/>
      <c r="C894" s="16"/>
      <c r="D894" s="16"/>
      <c r="E894" s="16"/>
    </row>
    <row r="895" spans="2:5">
      <c r="B895" s="16"/>
      <c r="C895" s="16"/>
      <c r="D895" s="16"/>
      <c r="E895" s="16"/>
    </row>
    <row r="896" spans="2:5">
      <c r="B896" s="16"/>
      <c r="C896" s="16"/>
      <c r="D896" s="16"/>
      <c r="E896" s="16"/>
    </row>
    <row r="897" spans="2:5">
      <c r="B897" s="16"/>
      <c r="C897" s="16"/>
      <c r="D897" s="16"/>
      <c r="E897" s="16"/>
    </row>
    <row r="898" spans="2:5">
      <c r="B898" s="16"/>
      <c r="C898" s="16"/>
      <c r="D898" s="16"/>
      <c r="E898" s="16"/>
    </row>
    <row r="899" spans="2:5">
      <c r="B899" s="16"/>
      <c r="C899" s="16"/>
      <c r="D899" s="16"/>
      <c r="E899" s="16"/>
    </row>
    <row r="900" spans="2:5">
      <c r="B900" s="16"/>
      <c r="C900" s="16"/>
      <c r="D900" s="16"/>
      <c r="E900" s="16"/>
    </row>
    <row r="901" spans="2:5">
      <c r="B901" s="16"/>
      <c r="C901" s="16"/>
      <c r="D901" s="16"/>
      <c r="E901" s="16"/>
    </row>
    <row r="902" spans="2:5">
      <c r="B902" s="16"/>
      <c r="C902" s="16"/>
      <c r="D902" s="16"/>
      <c r="E902" s="16"/>
    </row>
    <row r="903" spans="2:5">
      <c r="B903" s="16"/>
      <c r="C903" s="16"/>
      <c r="D903" s="16"/>
      <c r="E903" s="16"/>
    </row>
    <row r="904" spans="2:5">
      <c r="B904" s="16"/>
      <c r="C904" s="16"/>
      <c r="D904" s="16"/>
      <c r="E904" s="16"/>
    </row>
    <row r="905" spans="2:5">
      <c r="B905" s="16"/>
      <c r="C905" s="16"/>
      <c r="D905" s="16"/>
      <c r="E905" s="16"/>
    </row>
    <row r="906" spans="2:5">
      <c r="B906" s="16"/>
      <c r="C906" s="16"/>
      <c r="D906" s="16"/>
      <c r="E906" s="16"/>
    </row>
    <row r="907" spans="2:5">
      <c r="B907" s="16"/>
      <c r="C907" s="16"/>
      <c r="D907" s="16"/>
      <c r="E907" s="16"/>
    </row>
    <row r="908" spans="2:5">
      <c r="B908" s="16"/>
      <c r="C908" s="16"/>
      <c r="D908" s="16"/>
      <c r="E908" s="16"/>
    </row>
    <row r="909" spans="2:5">
      <c r="B909" s="16"/>
      <c r="C909" s="16"/>
      <c r="D909" s="16"/>
      <c r="E909" s="16"/>
    </row>
    <row r="910" spans="2:5">
      <c r="B910" s="16"/>
      <c r="C910" s="16"/>
      <c r="D910" s="16"/>
      <c r="E910" s="16"/>
    </row>
    <row r="911" spans="2:5">
      <c r="B911" s="16"/>
      <c r="C911" s="16"/>
      <c r="D911" s="16"/>
      <c r="E911" s="16"/>
    </row>
    <row r="912" spans="2:5">
      <c r="B912" s="16"/>
      <c r="C912" s="16"/>
      <c r="D912" s="16"/>
      <c r="E912" s="16"/>
    </row>
    <row r="913" spans="2:5">
      <c r="B913" s="16"/>
      <c r="C913" s="16"/>
      <c r="D913" s="16"/>
      <c r="E913" s="16"/>
    </row>
    <row r="914" spans="2:5">
      <c r="B914" s="16"/>
      <c r="C914" s="16"/>
      <c r="D914" s="16"/>
      <c r="E914" s="16"/>
    </row>
    <row r="915" spans="2:5">
      <c r="B915" s="16"/>
      <c r="C915" s="16"/>
      <c r="D915" s="16"/>
      <c r="E915" s="16"/>
    </row>
    <row r="916" spans="2:5">
      <c r="B916" s="16"/>
      <c r="C916" s="16"/>
      <c r="D916" s="16"/>
      <c r="E916" s="16"/>
    </row>
    <row r="917" spans="2:5">
      <c r="B917" s="16"/>
      <c r="C917" s="16"/>
      <c r="D917" s="16"/>
      <c r="E917" s="16"/>
    </row>
    <row r="918" spans="2:5">
      <c r="B918" s="16"/>
      <c r="C918" s="16"/>
      <c r="D918" s="16"/>
      <c r="E918" s="16"/>
    </row>
    <row r="919" spans="2:5">
      <c r="B919" s="16"/>
      <c r="C919" s="16"/>
      <c r="D919" s="16"/>
      <c r="E919" s="16"/>
    </row>
    <row r="920" spans="2:5">
      <c r="B920" s="16"/>
      <c r="C920" s="16"/>
      <c r="D920" s="16"/>
      <c r="E920" s="16"/>
    </row>
    <row r="921" spans="2:5">
      <c r="B921" s="16"/>
      <c r="C921" s="16"/>
      <c r="D921" s="16"/>
      <c r="E921" s="16"/>
    </row>
    <row r="922" spans="2:5">
      <c r="B922" s="16"/>
      <c r="C922" s="16"/>
      <c r="D922" s="16"/>
      <c r="E922" s="16"/>
    </row>
    <row r="923" spans="2:5">
      <c r="B923" s="16"/>
      <c r="C923" s="16"/>
      <c r="D923" s="16"/>
      <c r="E923" s="16"/>
    </row>
    <row r="924" spans="2:5">
      <c r="B924" s="16"/>
      <c r="C924" s="16"/>
      <c r="D924" s="16"/>
      <c r="E924" s="16"/>
    </row>
    <row r="925" spans="2:5">
      <c r="B925" s="16"/>
      <c r="C925" s="16"/>
      <c r="D925" s="16"/>
      <c r="E925" s="16"/>
    </row>
    <row r="926" spans="2:5">
      <c r="B926" s="16"/>
      <c r="C926" s="16"/>
      <c r="D926" s="16"/>
      <c r="E926" s="16"/>
    </row>
    <row r="927" spans="2:5">
      <c r="B927" s="16"/>
      <c r="C927" s="16"/>
      <c r="D927" s="16"/>
      <c r="E927" s="16"/>
    </row>
    <row r="928" spans="2:5">
      <c r="B928" s="16"/>
      <c r="C928" s="16"/>
      <c r="D928" s="16"/>
      <c r="E928" s="16"/>
    </row>
    <row r="929" spans="2:5">
      <c r="B929" s="16"/>
      <c r="C929" s="16"/>
      <c r="D929" s="16"/>
      <c r="E929" s="16"/>
    </row>
    <row r="930" spans="2:5">
      <c r="B930" s="16"/>
      <c r="C930" s="16"/>
      <c r="D930" s="16"/>
      <c r="E930" s="16"/>
    </row>
    <row r="931" spans="2:5">
      <c r="B931" s="16"/>
      <c r="C931" s="16"/>
      <c r="D931" s="16"/>
      <c r="E931" s="16"/>
    </row>
    <row r="932" spans="2:5">
      <c r="B932" s="16"/>
      <c r="C932" s="16"/>
      <c r="D932" s="16"/>
      <c r="E932" s="16"/>
    </row>
    <row r="933" spans="2:5">
      <c r="B933" s="16"/>
      <c r="C933" s="16"/>
      <c r="D933" s="16"/>
      <c r="E933" s="16"/>
    </row>
    <row r="934" spans="2:5">
      <c r="B934" s="16"/>
      <c r="C934" s="16"/>
      <c r="D934" s="16"/>
      <c r="E934" s="16"/>
    </row>
    <row r="935" spans="2:5">
      <c r="B935" s="16"/>
      <c r="C935" s="16"/>
      <c r="D935" s="16"/>
      <c r="E935" s="16"/>
    </row>
    <row r="936" spans="2:5">
      <c r="B936" s="16"/>
      <c r="C936" s="16"/>
      <c r="D936" s="16"/>
      <c r="E936" s="16"/>
    </row>
    <row r="937" spans="2:5">
      <c r="B937" s="16"/>
      <c r="C937" s="16"/>
      <c r="D937" s="16"/>
      <c r="E937" s="16"/>
    </row>
    <row r="938" spans="2:5">
      <c r="B938" s="16"/>
      <c r="C938" s="16"/>
      <c r="D938" s="16"/>
      <c r="E938" s="16"/>
    </row>
    <row r="939" spans="2:5">
      <c r="B939" s="16"/>
      <c r="C939" s="16"/>
      <c r="D939" s="16"/>
      <c r="E939" s="16"/>
    </row>
    <row r="940" spans="2:5">
      <c r="B940" s="16"/>
      <c r="C940" s="16"/>
      <c r="D940" s="16"/>
      <c r="E940" s="16"/>
    </row>
    <row r="941" spans="2:5">
      <c r="B941" s="16"/>
      <c r="C941" s="16"/>
      <c r="D941" s="16"/>
      <c r="E941" s="16"/>
    </row>
    <row r="942" spans="2:5">
      <c r="B942" s="16"/>
      <c r="C942" s="16"/>
      <c r="D942" s="16"/>
      <c r="E942" s="16"/>
    </row>
    <row r="943" spans="2:5">
      <c r="B943" s="16"/>
      <c r="C943" s="16"/>
      <c r="D943" s="16"/>
      <c r="E943" s="16"/>
    </row>
    <row r="944" spans="2:5">
      <c r="B944" s="16"/>
      <c r="C944" s="16"/>
      <c r="D944" s="16"/>
      <c r="E944" s="16"/>
    </row>
    <row r="945" spans="2:5">
      <c r="B945" s="16"/>
      <c r="C945" s="16"/>
      <c r="D945" s="16"/>
      <c r="E945" s="16"/>
    </row>
    <row r="946" spans="2:5">
      <c r="B946" s="16"/>
      <c r="C946" s="16"/>
      <c r="D946" s="16"/>
      <c r="E946" s="16"/>
    </row>
    <row r="947" spans="2:5">
      <c r="B947" s="16"/>
      <c r="C947" s="16"/>
      <c r="D947" s="16"/>
      <c r="E947" s="16"/>
    </row>
    <row r="948" spans="2:5">
      <c r="B948" s="16"/>
      <c r="C948" s="16"/>
      <c r="D948" s="16"/>
      <c r="E948" s="16"/>
    </row>
    <row r="949" spans="2:5">
      <c r="B949" s="16"/>
      <c r="C949" s="16"/>
      <c r="D949" s="16"/>
      <c r="E949" s="16"/>
    </row>
    <row r="950" spans="2:5">
      <c r="B950" s="16"/>
      <c r="C950" s="16"/>
      <c r="D950" s="16"/>
      <c r="E950" s="16"/>
    </row>
    <row r="951" spans="2:5">
      <c r="B951" s="16"/>
      <c r="C951" s="16"/>
      <c r="D951" s="16"/>
      <c r="E951" s="16"/>
    </row>
    <row r="952" spans="2:5">
      <c r="B952" s="16"/>
      <c r="C952" s="16"/>
      <c r="D952" s="16"/>
      <c r="E952" s="16"/>
    </row>
    <row r="953" spans="2:5">
      <c r="B953" s="16"/>
      <c r="C953" s="16"/>
      <c r="D953" s="16"/>
      <c r="E953" s="16"/>
    </row>
    <row r="954" spans="2:5">
      <c r="B954" s="16"/>
      <c r="C954" s="16"/>
      <c r="D954" s="16"/>
      <c r="E954" s="16"/>
    </row>
    <row r="955" spans="2:5">
      <c r="B955" s="16"/>
      <c r="C955" s="16"/>
      <c r="D955" s="16"/>
      <c r="E955" s="16"/>
    </row>
    <row r="956" spans="2:5">
      <c r="B956" s="16"/>
      <c r="C956" s="16"/>
      <c r="D956" s="16"/>
      <c r="E956" s="16"/>
    </row>
    <row r="957" spans="2:5">
      <c r="B957" s="16"/>
      <c r="C957" s="16"/>
      <c r="D957" s="16"/>
      <c r="E957" s="16"/>
    </row>
    <row r="958" spans="2:5">
      <c r="B958" s="16"/>
      <c r="C958" s="16"/>
      <c r="D958" s="16"/>
      <c r="E958" s="16"/>
    </row>
    <row r="959" spans="2:5">
      <c r="B959" s="16"/>
      <c r="C959" s="16"/>
      <c r="D959" s="16"/>
      <c r="E959" s="16"/>
    </row>
    <row r="960" spans="2:5">
      <c r="B960" s="16"/>
      <c r="C960" s="16"/>
      <c r="D960" s="16"/>
      <c r="E960" s="16"/>
    </row>
    <row r="961" spans="2:5">
      <c r="B961" s="16"/>
      <c r="C961" s="16"/>
      <c r="D961" s="16"/>
      <c r="E961" s="16"/>
    </row>
    <row r="962" spans="2:5">
      <c r="B962" s="16"/>
      <c r="C962" s="16"/>
      <c r="D962" s="16"/>
      <c r="E962" s="16"/>
    </row>
    <row r="963" spans="2:5">
      <c r="B963" s="16"/>
      <c r="C963" s="16"/>
      <c r="D963" s="16"/>
      <c r="E963" s="16"/>
    </row>
    <row r="964" spans="2:5">
      <c r="B964" s="16"/>
      <c r="C964" s="16"/>
      <c r="D964" s="16"/>
      <c r="E964" s="16"/>
    </row>
    <row r="965" spans="2:5">
      <c r="B965" s="16"/>
      <c r="C965" s="16"/>
      <c r="D965" s="16"/>
      <c r="E965" s="16"/>
    </row>
    <row r="966" spans="2:5">
      <c r="B966" s="16"/>
      <c r="C966" s="16"/>
      <c r="D966" s="16"/>
      <c r="E966" s="16"/>
    </row>
    <row r="967" spans="2:5">
      <c r="B967" s="16"/>
      <c r="C967" s="16"/>
      <c r="D967" s="16"/>
      <c r="E967" s="16"/>
    </row>
    <row r="968" spans="2:5">
      <c r="B968" s="16"/>
      <c r="C968" s="16"/>
      <c r="D968" s="16"/>
      <c r="E968" s="16"/>
    </row>
    <row r="969" spans="2:5">
      <c r="B969" s="16"/>
      <c r="C969" s="16"/>
      <c r="D969" s="16"/>
      <c r="E969" s="16"/>
    </row>
    <row r="970" spans="2:5">
      <c r="B970" s="16"/>
      <c r="C970" s="16"/>
      <c r="D970" s="16"/>
      <c r="E970" s="16"/>
    </row>
    <row r="971" spans="2:5">
      <c r="B971" s="16"/>
      <c r="C971" s="16"/>
      <c r="D971" s="16"/>
      <c r="E971" s="16"/>
    </row>
    <row r="972" spans="2:5">
      <c r="B972" s="16"/>
      <c r="C972" s="16"/>
      <c r="D972" s="16"/>
      <c r="E972" s="16"/>
    </row>
    <row r="973" spans="2:5">
      <c r="B973" s="16"/>
      <c r="C973" s="16"/>
      <c r="D973" s="16"/>
      <c r="E973" s="16"/>
    </row>
    <row r="974" spans="2:5">
      <c r="B974" s="16"/>
      <c r="C974" s="16"/>
      <c r="D974" s="16"/>
      <c r="E974" s="16"/>
    </row>
    <row r="975" spans="2:5">
      <c r="B975" s="16"/>
      <c r="C975" s="16"/>
      <c r="D975" s="16"/>
      <c r="E975" s="16"/>
    </row>
    <row r="976" spans="2:5">
      <c r="B976" s="16"/>
      <c r="C976" s="16"/>
      <c r="D976" s="16"/>
      <c r="E976" s="16"/>
    </row>
    <row r="977" spans="2:5">
      <c r="B977" s="16"/>
      <c r="C977" s="16"/>
      <c r="D977" s="16"/>
      <c r="E977" s="16"/>
    </row>
    <row r="978" spans="2:5">
      <c r="B978" s="16"/>
      <c r="C978" s="16"/>
      <c r="D978" s="16"/>
      <c r="E978" s="16"/>
    </row>
    <row r="979" spans="2:5">
      <c r="B979" s="16"/>
      <c r="C979" s="16"/>
      <c r="D979" s="16"/>
      <c r="E979" s="16"/>
    </row>
    <row r="980" spans="2:5">
      <c r="B980" s="16"/>
      <c r="C980" s="16"/>
      <c r="D980" s="16"/>
      <c r="E980" s="16"/>
    </row>
    <row r="981" spans="2:5">
      <c r="B981" s="16"/>
      <c r="C981" s="16"/>
      <c r="D981" s="16"/>
      <c r="E981" s="16"/>
    </row>
    <row r="982" spans="2:5">
      <c r="B982" s="16"/>
      <c r="C982" s="16"/>
      <c r="D982" s="16"/>
      <c r="E982" s="16"/>
    </row>
    <row r="983" spans="2:5">
      <c r="B983" s="16"/>
      <c r="C983" s="16"/>
      <c r="D983" s="16"/>
      <c r="E983" s="16"/>
    </row>
    <row r="984" spans="2:5">
      <c r="B984" s="16"/>
      <c r="C984" s="16"/>
      <c r="D984" s="16"/>
      <c r="E984" s="16"/>
    </row>
    <row r="985" spans="2:5">
      <c r="B985" s="16"/>
      <c r="C985" s="16"/>
      <c r="D985" s="16"/>
      <c r="E985" s="16"/>
    </row>
    <row r="986" spans="2:5">
      <c r="B986" s="16"/>
      <c r="C986" s="16"/>
      <c r="D986" s="16"/>
      <c r="E986" s="16"/>
    </row>
    <row r="987" spans="2:5">
      <c r="B987" s="16"/>
      <c r="C987" s="16"/>
      <c r="D987" s="16"/>
      <c r="E987" s="16"/>
    </row>
    <row r="988" spans="2:5">
      <c r="B988" s="16"/>
      <c r="C988" s="16"/>
      <c r="D988" s="16"/>
      <c r="E988" s="16"/>
    </row>
    <row r="989" spans="2:5">
      <c r="B989" s="16"/>
      <c r="C989" s="16"/>
      <c r="D989" s="16"/>
      <c r="E989" s="16"/>
    </row>
    <row r="990" spans="2:5">
      <c r="B990" s="16"/>
      <c r="C990" s="16"/>
      <c r="D990" s="16"/>
      <c r="E990" s="16"/>
    </row>
    <row r="991" spans="2:5">
      <c r="B991" s="16"/>
      <c r="C991" s="16"/>
      <c r="D991" s="16"/>
      <c r="E991" s="16"/>
    </row>
    <row r="992" spans="2:5">
      <c r="B992" s="16"/>
      <c r="C992" s="16"/>
      <c r="D992" s="16"/>
      <c r="E992" s="16"/>
    </row>
    <row r="993" spans="2:5">
      <c r="B993" s="16"/>
      <c r="C993" s="16"/>
      <c r="D993" s="16"/>
      <c r="E993" s="16"/>
    </row>
    <row r="994" spans="2:5">
      <c r="B994" s="16"/>
      <c r="C994" s="16"/>
      <c r="D994" s="16"/>
      <c r="E994" s="16"/>
    </row>
    <row r="995" spans="2:5">
      <c r="B995" s="16"/>
      <c r="C995" s="16"/>
      <c r="D995" s="16"/>
      <c r="E995" s="16"/>
    </row>
    <row r="996" spans="2:5">
      <c r="B996" s="16"/>
      <c r="C996" s="16"/>
      <c r="D996" s="16"/>
      <c r="E996" s="16"/>
    </row>
    <row r="997" spans="2:5">
      <c r="B997" s="16"/>
      <c r="C997" s="16"/>
      <c r="D997" s="16"/>
      <c r="E997" s="16"/>
    </row>
    <row r="998" spans="2:5">
      <c r="B998" s="16"/>
      <c r="C998" s="16"/>
      <c r="D998" s="16"/>
      <c r="E998" s="16"/>
    </row>
    <row r="999" spans="2:5">
      <c r="B999" s="16"/>
      <c r="C999" s="16"/>
      <c r="D999" s="16"/>
      <c r="E999" s="16"/>
    </row>
    <row r="1000" spans="2:5">
      <c r="B1000" s="16"/>
      <c r="C1000" s="16"/>
      <c r="D1000" s="16"/>
      <c r="E1000"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0"/>
  <sheetViews>
    <sheetView workbookViewId="0"/>
  </sheetViews>
  <sheetFormatPr defaultColWidth="12.5703125" defaultRowHeight="15.75" customHeight="1"/>
  <cols>
    <col min="1" max="1" width="86.42578125" customWidth="1"/>
    <col min="2" max="2" width="37" customWidth="1"/>
    <col min="3" max="5" width="28.85546875" customWidth="1"/>
  </cols>
  <sheetData>
    <row r="1" spans="1:26">
      <c r="A1" s="13" t="s">
        <v>0</v>
      </c>
      <c r="B1" s="14" t="s">
        <v>1</v>
      </c>
      <c r="C1" s="14" t="s">
        <v>2</v>
      </c>
      <c r="D1" s="14" t="s">
        <v>3</v>
      </c>
      <c r="E1" s="14" t="s">
        <v>4</v>
      </c>
      <c r="F1" s="13"/>
      <c r="G1" s="13"/>
      <c r="H1" s="13"/>
      <c r="I1" s="13"/>
      <c r="J1" s="13"/>
      <c r="K1" s="13"/>
      <c r="L1" s="13"/>
      <c r="M1" s="13"/>
      <c r="N1" s="13"/>
      <c r="O1" s="13"/>
      <c r="P1" s="13"/>
      <c r="Q1" s="13"/>
      <c r="R1" s="13"/>
      <c r="S1" s="13"/>
      <c r="T1" s="13"/>
      <c r="U1" s="13"/>
      <c r="V1" s="13"/>
      <c r="W1" s="13"/>
      <c r="X1" s="13"/>
      <c r="Y1" s="13"/>
      <c r="Z1" s="13"/>
    </row>
    <row r="2" spans="1:26">
      <c r="A2" s="15" t="s">
        <v>533</v>
      </c>
      <c r="B2" s="16" t="s">
        <v>534</v>
      </c>
      <c r="C2" s="16" t="s">
        <v>535</v>
      </c>
      <c r="D2" s="16" t="s">
        <v>536</v>
      </c>
      <c r="E2" s="16" t="s">
        <v>537</v>
      </c>
    </row>
    <row r="3" spans="1:26">
      <c r="A3" s="15" t="s">
        <v>538</v>
      </c>
      <c r="B3" s="16" t="s">
        <v>539</v>
      </c>
      <c r="C3" s="16" t="s">
        <v>540</v>
      </c>
      <c r="D3" s="16" t="s">
        <v>541</v>
      </c>
      <c r="E3" s="16" t="s">
        <v>542</v>
      </c>
    </row>
    <row r="4" spans="1:26">
      <c r="A4" s="15" t="s">
        <v>543</v>
      </c>
      <c r="B4" s="16" t="s">
        <v>544</v>
      </c>
      <c r="C4" s="16" t="s">
        <v>545</v>
      </c>
      <c r="D4" s="16" t="s">
        <v>546</v>
      </c>
      <c r="E4" s="16" t="s">
        <v>547</v>
      </c>
    </row>
    <row r="5" spans="1:26">
      <c r="A5" s="15" t="s">
        <v>548</v>
      </c>
      <c r="B5" s="16" t="s">
        <v>549</v>
      </c>
      <c r="C5" s="16" t="s">
        <v>550</v>
      </c>
      <c r="D5" s="16" t="s">
        <v>551</v>
      </c>
      <c r="E5" s="16" t="s">
        <v>552</v>
      </c>
    </row>
    <row r="6" spans="1:26">
      <c r="A6" s="15" t="s">
        <v>553</v>
      </c>
      <c r="B6" s="16" t="s">
        <v>554</v>
      </c>
      <c r="C6" s="16" t="s">
        <v>555</v>
      </c>
      <c r="D6" s="16" t="s">
        <v>556</v>
      </c>
      <c r="E6" s="16" t="s">
        <v>557</v>
      </c>
    </row>
    <row r="7" spans="1:26">
      <c r="A7" s="15" t="s">
        <v>558</v>
      </c>
      <c r="B7" s="16" t="s">
        <v>559</v>
      </c>
      <c r="C7" s="16" t="s">
        <v>560</v>
      </c>
      <c r="D7" s="16" t="s">
        <v>561</v>
      </c>
      <c r="E7" s="16" t="s">
        <v>562</v>
      </c>
    </row>
    <row r="8" spans="1:26">
      <c r="A8" s="15" t="s">
        <v>563</v>
      </c>
      <c r="B8" s="16" t="s">
        <v>564</v>
      </c>
      <c r="C8" s="16" t="s">
        <v>565</v>
      </c>
      <c r="D8" s="16" t="s">
        <v>566</v>
      </c>
      <c r="E8" s="16" t="s">
        <v>567</v>
      </c>
    </row>
    <row r="9" spans="1:26">
      <c r="A9" s="15" t="s">
        <v>568</v>
      </c>
      <c r="B9" s="16" t="s">
        <v>569</v>
      </c>
      <c r="C9" s="16" t="s">
        <v>570</v>
      </c>
      <c r="D9" s="16" t="s">
        <v>571</v>
      </c>
      <c r="E9" s="16" t="s">
        <v>572</v>
      </c>
    </row>
    <row r="10" spans="1:26">
      <c r="A10" s="15" t="s">
        <v>573</v>
      </c>
      <c r="B10" s="19" t="s">
        <v>574</v>
      </c>
      <c r="C10" s="19" t="s">
        <v>575</v>
      </c>
      <c r="D10" s="19" t="s">
        <v>576</v>
      </c>
      <c r="E10" s="19" t="s">
        <v>577</v>
      </c>
    </row>
    <row r="11" spans="1:26">
      <c r="A11" s="15" t="s">
        <v>578</v>
      </c>
      <c r="B11" s="16" t="s">
        <v>579</v>
      </c>
      <c r="C11" s="16" t="s">
        <v>580</v>
      </c>
      <c r="D11" s="16" t="s">
        <v>581</v>
      </c>
      <c r="E11" s="16" t="s">
        <v>582</v>
      </c>
    </row>
    <row r="12" spans="1:26">
      <c r="A12" s="15" t="s">
        <v>583</v>
      </c>
      <c r="B12" s="16" t="s">
        <v>584</v>
      </c>
      <c r="C12" s="16" t="s">
        <v>585</v>
      </c>
      <c r="D12" s="16" t="s">
        <v>586</v>
      </c>
      <c r="E12" s="16" t="s">
        <v>587</v>
      </c>
    </row>
    <row r="13" spans="1:26">
      <c r="A13" s="15" t="s">
        <v>588</v>
      </c>
      <c r="B13" s="16" t="s">
        <v>589</v>
      </c>
      <c r="C13" s="16" t="s">
        <v>590</v>
      </c>
      <c r="D13" s="16" t="s">
        <v>591</v>
      </c>
      <c r="E13" s="16" t="s">
        <v>592</v>
      </c>
    </row>
    <row r="14" spans="1:26">
      <c r="A14" s="15" t="s">
        <v>593</v>
      </c>
      <c r="B14" s="16" t="s">
        <v>594</v>
      </c>
      <c r="C14" s="16" t="s">
        <v>595</v>
      </c>
      <c r="D14" s="16" t="s">
        <v>596</v>
      </c>
      <c r="E14" s="16" t="s">
        <v>597</v>
      </c>
    </row>
    <row r="15" spans="1:26">
      <c r="A15" s="15" t="s">
        <v>598</v>
      </c>
      <c r="B15" s="16" t="s">
        <v>599</v>
      </c>
      <c r="C15" s="16" t="s">
        <v>537</v>
      </c>
      <c r="D15" s="16" t="s">
        <v>581</v>
      </c>
      <c r="E15" s="16" t="s">
        <v>600</v>
      </c>
    </row>
    <row r="16" spans="1:26">
      <c r="A16" s="15" t="s">
        <v>601</v>
      </c>
      <c r="B16" s="16" t="s">
        <v>602</v>
      </c>
      <c r="C16" s="16" t="s">
        <v>603</v>
      </c>
      <c r="D16" s="16" t="s">
        <v>604</v>
      </c>
      <c r="E16" s="16" t="s">
        <v>605</v>
      </c>
    </row>
    <row r="17" spans="1:5">
      <c r="A17" s="15" t="s">
        <v>606</v>
      </c>
      <c r="B17" s="16" t="s">
        <v>607</v>
      </c>
      <c r="C17" s="16" t="s">
        <v>549</v>
      </c>
      <c r="D17" s="16" t="s">
        <v>580</v>
      </c>
      <c r="E17" s="16" t="s">
        <v>608</v>
      </c>
    </row>
    <row r="18" spans="1:5">
      <c r="A18" s="15" t="s">
        <v>609</v>
      </c>
      <c r="B18" s="16" t="s">
        <v>610</v>
      </c>
      <c r="C18" s="16" t="s">
        <v>542</v>
      </c>
      <c r="D18" s="16" t="s">
        <v>611</v>
      </c>
      <c r="E18" s="16" t="s">
        <v>540</v>
      </c>
    </row>
    <row r="19" spans="1:5">
      <c r="A19" s="15" t="s">
        <v>612</v>
      </c>
      <c r="B19" s="16" t="s">
        <v>613</v>
      </c>
      <c r="C19" s="16" t="s">
        <v>566</v>
      </c>
      <c r="D19" s="16" t="s">
        <v>614</v>
      </c>
      <c r="E19" s="16" t="s">
        <v>615</v>
      </c>
    </row>
    <row r="20" spans="1:5">
      <c r="A20" s="15" t="s">
        <v>616</v>
      </c>
      <c r="B20" s="16" t="s">
        <v>617</v>
      </c>
      <c r="C20" s="16" t="s">
        <v>618</v>
      </c>
      <c r="D20" s="16" t="s">
        <v>619</v>
      </c>
      <c r="E20" s="16" t="s">
        <v>620</v>
      </c>
    </row>
    <row r="21" spans="1:5">
      <c r="A21" s="15" t="s">
        <v>621</v>
      </c>
      <c r="B21" s="16" t="s">
        <v>622</v>
      </c>
      <c r="C21" s="16" t="s">
        <v>623</v>
      </c>
      <c r="D21" s="16" t="s">
        <v>624</v>
      </c>
      <c r="E21" s="16" t="s">
        <v>625</v>
      </c>
    </row>
    <row r="22" spans="1:5">
      <c r="A22" s="15" t="s">
        <v>626</v>
      </c>
      <c r="B22" s="16" t="s">
        <v>627</v>
      </c>
      <c r="C22" s="16" t="s">
        <v>628</v>
      </c>
      <c r="D22" s="16" t="s">
        <v>629</v>
      </c>
      <c r="E22" s="16" t="s">
        <v>630</v>
      </c>
    </row>
    <row r="23" spans="1:5">
      <c r="A23" s="15" t="s">
        <v>631</v>
      </c>
      <c r="B23" s="16" t="s">
        <v>591</v>
      </c>
      <c r="C23" s="16" t="s">
        <v>589</v>
      </c>
      <c r="D23" s="16" t="s">
        <v>632</v>
      </c>
      <c r="E23" s="16" t="s">
        <v>590</v>
      </c>
    </row>
    <row r="24" spans="1:5">
      <c r="A24" s="15" t="s">
        <v>633</v>
      </c>
      <c r="B24" s="16" t="s">
        <v>634</v>
      </c>
      <c r="C24" s="16" t="s">
        <v>600</v>
      </c>
      <c r="D24" s="16" t="s">
        <v>549</v>
      </c>
      <c r="E24" s="16" t="s">
        <v>635</v>
      </c>
    </row>
    <row r="25" spans="1:5">
      <c r="A25" s="15" t="s">
        <v>636</v>
      </c>
      <c r="B25" s="16" t="s">
        <v>539</v>
      </c>
      <c r="C25" s="16" t="s">
        <v>611</v>
      </c>
      <c r="D25" s="16" t="s">
        <v>610</v>
      </c>
      <c r="E25" s="16" t="s">
        <v>637</v>
      </c>
    </row>
    <row r="26" spans="1:5">
      <c r="A26" s="15" t="s">
        <v>638</v>
      </c>
      <c r="B26" s="16" t="s">
        <v>639</v>
      </c>
      <c r="C26" s="16" t="s">
        <v>615</v>
      </c>
      <c r="D26" s="16" t="s">
        <v>640</v>
      </c>
      <c r="E26" s="16" t="s">
        <v>641</v>
      </c>
    </row>
    <row r="27" spans="1:5">
      <c r="A27" s="15" t="s">
        <v>642</v>
      </c>
      <c r="B27" s="16" t="s">
        <v>643</v>
      </c>
      <c r="C27" s="16" t="s">
        <v>580</v>
      </c>
      <c r="D27" s="16" t="s">
        <v>644</v>
      </c>
      <c r="E27" s="16" t="s">
        <v>582</v>
      </c>
    </row>
    <row r="28" spans="1:5">
      <c r="A28" s="15" t="s">
        <v>645</v>
      </c>
      <c r="B28" s="19" t="s">
        <v>646</v>
      </c>
      <c r="C28" s="19" t="s">
        <v>647</v>
      </c>
      <c r="D28" s="19" t="s">
        <v>648</v>
      </c>
      <c r="E28" s="19" t="s">
        <v>649</v>
      </c>
    </row>
    <row r="29" spans="1:5">
      <c r="A29" s="15" t="s">
        <v>650</v>
      </c>
      <c r="B29" s="16" t="s">
        <v>651</v>
      </c>
      <c r="C29" s="16" t="s">
        <v>652</v>
      </c>
      <c r="D29" s="16" t="s">
        <v>653</v>
      </c>
      <c r="E29" s="16" t="s">
        <v>587</v>
      </c>
    </row>
    <row r="30" spans="1:5">
      <c r="A30" s="15" t="s">
        <v>654</v>
      </c>
      <c r="B30" s="16" t="s">
        <v>655</v>
      </c>
      <c r="C30" s="16" t="s">
        <v>656</v>
      </c>
      <c r="D30" s="16" t="s">
        <v>657</v>
      </c>
      <c r="E30" s="16" t="s">
        <v>658</v>
      </c>
    </row>
    <row r="31" spans="1:5">
      <c r="A31" s="15" t="s">
        <v>659</v>
      </c>
      <c r="B31" s="16" t="s">
        <v>660</v>
      </c>
      <c r="C31" s="16" t="s">
        <v>661</v>
      </c>
      <c r="D31" s="16" t="s">
        <v>662</v>
      </c>
      <c r="E31" s="16" t="s">
        <v>663</v>
      </c>
    </row>
    <row r="32" spans="1:5">
      <c r="A32" s="15" t="s">
        <v>664</v>
      </c>
      <c r="B32" s="16" t="s">
        <v>643</v>
      </c>
      <c r="C32" s="16" t="s">
        <v>580</v>
      </c>
      <c r="D32" s="16" t="s">
        <v>644</v>
      </c>
      <c r="E32" s="16" t="s">
        <v>582</v>
      </c>
    </row>
    <row r="33" spans="1:5">
      <c r="A33" s="15" t="s">
        <v>645</v>
      </c>
      <c r="B33" s="19" t="s">
        <v>646</v>
      </c>
      <c r="C33" s="19" t="s">
        <v>647</v>
      </c>
      <c r="D33" s="19" t="s">
        <v>648</v>
      </c>
      <c r="E33" s="19" t="s">
        <v>649</v>
      </c>
    </row>
    <row r="34" spans="1:5">
      <c r="A34" s="15" t="s">
        <v>650</v>
      </c>
      <c r="B34" s="16" t="s">
        <v>651</v>
      </c>
      <c r="C34" s="16" t="s">
        <v>652</v>
      </c>
      <c r="D34" s="16" t="s">
        <v>653</v>
      </c>
      <c r="E34" s="16" t="s">
        <v>587</v>
      </c>
    </row>
    <row r="35" spans="1:5">
      <c r="A35" s="15" t="s">
        <v>654</v>
      </c>
      <c r="B35" s="16" t="s">
        <v>655</v>
      </c>
      <c r="C35" s="16" t="s">
        <v>656</v>
      </c>
      <c r="D35" s="16" t="s">
        <v>657</v>
      </c>
      <c r="E35" s="16" t="s">
        <v>658</v>
      </c>
    </row>
    <row r="36" spans="1:5">
      <c r="A36" s="15" t="s">
        <v>659</v>
      </c>
      <c r="B36" s="16" t="s">
        <v>660</v>
      </c>
      <c r="C36" s="16" t="s">
        <v>661</v>
      </c>
      <c r="D36" s="16" t="s">
        <v>662</v>
      </c>
      <c r="E36" s="16" t="s">
        <v>663</v>
      </c>
    </row>
    <row r="37" spans="1:5">
      <c r="A37" s="15" t="s">
        <v>665</v>
      </c>
      <c r="B37" s="16" t="s">
        <v>666</v>
      </c>
      <c r="C37" s="16" t="s">
        <v>595</v>
      </c>
      <c r="D37" s="16" t="s">
        <v>667</v>
      </c>
      <c r="E37" s="16" t="s">
        <v>668</v>
      </c>
    </row>
    <row r="38" spans="1:5">
      <c r="A38" s="15" t="s">
        <v>669</v>
      </c>
      <c r="B38" s="16" t="s">
        <v>670</v>
      </c>
      <c r="C38" s="16" t="s">
        <v>641</v>
      </c>
      <c r="D38" s="16" t="s">
        <v>640</v>
      </c>
      <c r="E38" s="16" t="s">
        <v>671</v>
      </c>
    </row>
    <row r="39" spans="1:5">
      <c r="A39" s="15" t="s">
        <v>672</v>
      </c>
      <c r="B39" s="16" t="s">
        <v>673</v>
      </c>
      <c r="C39" s="16" t="s">
        <v>674</v>
      </c>
      <c r="D39" s="16" t="s">
        <v>624</v>
      </c>
      <c r="E39" s="16" t="s">
        <v>675</v>
      </c>
    </row>
    <row r="40" spans="1:5">
      <c r="A40" s="15" t="s">
        <v>676</v>
      </c>
      <c r="B40" s="16" t="s">
        <v>677</v>
      </c>
      <c r="C40" s="16" t="s">
        <v>550</v>
      </c>
      <c r="D40" s="16" t="s">
        <v>551</v>
      </c>
      <c r="E40" s="16" t="s">
        <v>678</v>
      </c>
    </row>
    <row r="41" spans="1:5">
      <c r="A41" s="15" t="s">
        <v>679</v>
      </c>
      <c r="B41" s="16" t="s">
        <v>542</v>
      </c>
      <c r="C41" s="16" t="s">
        <v>610</v>
      </c>
      <c r="D41" s="16" t="s">
        <v>611</v>
      </c>
      <c r="E41" s="16" t="s">
        <v>540</v>
      </c>
    </row>
    <row r="42" spans="1:5">
      <c r="A42" s="15" t="s">
        <v>680</v>
      </c>
      <c r="B42" s="16" t="s">
        <v>681</v>
      </c>
      <c r="C42" s="16" t="s">
        <v>682</v>
      </c>
      <c r="D42" s="16" t="s">
        <v>683</v>
      </c>
      <c r="E42" s="16" t="s">
        <v>684</v>
      </c>
    </row>
    <row r="43" spans="1:5">
      <c r="A43" s="15" t="s">
        <v>685</v>
      </c>
      <c r="B43" s="16" t="s">
        <v>686</v>
      </c>
      <c r="C43" s="16" t="s">
        <v>687</v>
      </c>
      <c r="D43" s="16" t="s">
        <v>536</v>
      </c>
      <c r="E43" s="16" t="s">
        <v>537</v>
      </c>
    </row>
    <row r="44" spans="1:5">
      <c r="A44" s="15" t="s">
        <v>688</v>
      </c>
      <c r="B44" s="16" t="s">
        <v>614</v>
      </c>
      <c r="C44" s="16" t="s">
        <v>567</v>
      </c>
      <c r="D44" s="16" t="s">
        <v>566</v>
      </c>
      <c r="E44" s="16" t="s">
        <v>564</v>
      </c>
    </row>
    <row r="45" spans="1:5">
      <c r="A45" s="15" t="s">
        <v>689</v>
      </c>
      <c r="B45" s="16" t="s">
        <v>690</v>
      </c>
      <c r="C45" s="16" t="s">
        <v>594</v>
      </c>
      <c r="D45" s="16" t="s">
        <v>691</v>
      </c>
      <c r="E45" s="16" t="s">
        <v>692</v>
      </c>
    </row>
    <row r="46" spans="1:5">
      <c r="A46" s="15" t="s">
        <v>693</v>
      </c>
      <c r="B46" s="16" t="s">
        <v>653</v>
      </c>
      <c r="C46" s="16" t="s">
        <v>651</v>
      </c>
      <c r="D46" s="16" t="s">
        <v>694</v>
      </c>
      <c r="E46" s="16" t="s">
        <v>587</v>
      </c>
    </row>
    <row r="47" spans="1:5">
      <c r="A47" s="15" t="s">
        <v>695</v>
      </c>
      <c r="B47" s="16" t="s">
        <v>696</v>
      </c>
      <c r="C47" s="16" t="s">
        <v>618</v>
      </c>
      <c r="D47" s="16" t="s">
        <v>608</v>
      </c>
      <c r="E47" s="16" t="s">
        <v>619</v>
      </c>
    </row>
    <row r="48" spans="1:5">
      <c r="A48" s="15" t="s">
        <v>697</v>
      </c>
      <c r="B48" s="16" t="s">
        <v>640</v>
      </c>
      <c r="C48" s="16" t="s">
        <v>641</v>
      </c>
      <c r="D48" s="16" t="s">
        <v>670</v>
      </c>
      <c r="E48" s="16" t="s">
        <v>671</v>
      </c>
    </row>
    <row r="49" spans="1:5">
      <c r="A49" s="15" t="s">
        <v>698</v>
      </c>
      <c r="B49" s="16" t="s">
        <v>599</v>
      </c>
      <c r="C49" s="16" t="s">
        <v>537</v>
      </c>
      <c r="D49" s="16" t="s">
        <v>581</v>
      </c>
      <c r="E49" s="16" t="s">
        <v>600</v>
      </c>
    </row>
    <row r="50" spans="1:5">
      <c r="A50" s="15" t="s">
        <v>699</v>
      </c>
      <c r="B50" s="16" t="s">
        <v>700</v>
      </c>
      <c r="C50" s="16" t="s">
        <v>701</v>
      </c>
      <c r="D50" s="16" t="s">
        <v>702</v>
      </c>
      <c r="E50" s="16" t="s">
        <v>703</v>
      </c>
    </row>
    <row r="51" spans="1:5">
      <c r="A51" s="15" t="s">
        <v>704</v>
      </c>
      <c r="B51" s="16" t="s">
        <v>597</v>
      </c>
      <c r="C51" s="16" t="s">
        <v>705</v>
      </c>
      <c r="D51" s="16" t="s">
        <v>657</v>
      </c>
      <c r="E51" s="16" t="s">
        <v>706</v>
      </c>
    </row>
    <row r="52" spans="1:5">
      <c r="A52" s="15" t="s">
        <v>707</v>
      </c>
      <c r="B52" s="16" t="s">
        <v>708</v>
      </c>
      <c r="C52" s="16" t="s">
        <v>625</v>
      </c>
      <c r="D52" s="16" t="s">
        <v>624</v>
      </c>
      <c r="E52" s="16" t="s">
        <v>709</v>
      </c>
    </row>
    <row r="53" spans="1:5">
      <c r="A53" s="15" t="s">
        <v>710</v>
      </c>
      <c r="B53" s="16" t="s">
        <v>641</v>
      </c>
      <c r="C53" s="16" t="s">
        <v>640</v>
      </c>
      <c r="D53" s="16" t="s">
        <v>670</v>
      </c>
      <c r="E53" s="16" t="s">
        <v>567</v>
      </c>
    </row>
    <row r="54" spans="1:5">
      <c r="A54" s="15" t="s">
        <v>711</v>
      </c>
      <c r="B54" s="16" t="s">
        <v>600</v>
      </c>
      <c r="C54" s="16" t="s">
        <v>549</v>
      </c>
      <c r="D54" s="16" t="s">
        <v>634</v>
      </c>
      <c r="E54" s="16" t="s">
        <v>635</v>
      </c>
    </row>
    <row r="55" spans="1:5">
      <c r="A55" s="15" t="s">
        <v>712</v>
      </c>
      <c r="B55" s="16" t="s">
        <v>694</v>
      </c>
      <c r="C55" s="16" t="s">
        <v>653</v>
      </c>
      <c r="D55" s="16" t="s">
        <v>713</v>
      </c>
      <c r="E55" s="16" t="s">
        <v>587</v>
      </c>
    </row>
    <row r="56" spans="1:5">
      <c r="A56" s="15" t="s">
        <v>714</v>
      </c>
      <c r="B56" s="16" t="s">
        <v>715</v>
      </c>
      <c r="C56" s="16" t="s">
        <v>716</v>
      </c>
      <c r="D56" s="16" t="s">
        <v>686</v>
      </c>
      <c r="E56" s="16" t="s">
        <v>687</v>
      </c>
    </row>
    <row r="57" spans="1:5">
      <c r="A57" s="15" t="s">
        <v>717</v>
      </c>
      <c r="B57" s="16" t="s">
        <v>718</v>
      </c>
      <c r="C57" s="16" t="s">
        <v>719</v>
      </c>
      <c r="D57" s="16" t="s">
        <v>720</v>
      </c>
      <c r="E57" s="16" t="s">
        <v>721</v>
      </c>
    </row>
    <row r="58" spans="1:5">
      <c r="A58" s="15" t="s">
        <v>722</v>
      </c>
      <c r="B58" s="16" t="s">
        <v>687</v>
      </c>
      <c r="C58" s="16" t="s">
        <v>537</v>
      </c>
      <c r="D58" s="16" t="s">
        <v>686</v>
      </c>
      <c r="E58" s="16" t="s">
        <v>624</v>
      </c>
    </row>
    <row r="59" spans="1:5">
      <c r="A59" s="15" t="s">
        <v>723</v>
      </c>
      <c r="B59" s="16" t="s">
        <v>566</v>
      </c>
      <c r="C59" s="16" t="s">
        <v>564</v>
      </c>
      <c r="D59" s="16" t="s">
        <v>565</v>
      </c>
      <c r="E59" s="16" t="s">
        <v>614</v>
      </c>
    </row>
    <row r="60" spans="1:5">
      <c r="A60" s="15" t="s">
        <v>724</v>
      </c>
      <c r="B60" s="16" t="s">
        <v>556</v>
      </c>
      <c r="C60" s="16" t="s">
        <v>657</v>
      </c>
      <c r="D60" s="16" t="s">
        <v>551</v>
      </c>
      <c r="E60" s="16" t="s">
        <v>607</v>
      </c>
    </row>
    <row r="61" spans="1:5">
      <c r="A61" s="15" t="s">
        <v>725</v>
      </c>
      <c r="B61" s="16" t="s">
        <v>684</v>
      </c>
      <c r="C61" s="16" t="s">
        <v>681</v>
      </c>
      <c r="D61" s="16" t="s">
        <v>726</v>
      </c>
      <c r="E61" s="16" t="s">
        <v>683</v>
      </c>
    </row>
    <row r="62" spans="1:5">
      <c r="A62" s="15" t="s">
        <v>727</v>
      </c>
      <c r="B62" s="16" t="s">
        <v>582</v>
      </c>
      <c r="C62" s="16" t="s">
        <v>581</v>
      </c>
      <c r="D62" s="16" t="s">
        <v>536</v>
      </c>
      <c r="E62" s="16" t="s">
        <v>579</v>
      </c>
    </row>
    <row r="63" spans="1:5">
      <c r="A63" s="15" t="s">
        <v>728</v>
      </c>
      <c r="B63" s="16" t="s">
        <v>589</v>
      </c>
      <c r="C63" s="16" t="s">
        <v>590</v>
      </c>
      <c r="D63" s="16" t="s">
        <v>591</v>
      </c>
      <c r="E63" s="16" t="s">
        <v>592</v>
      </c>
    </row>
    <row r="64" spans="1:5">
      <c r="A64" s="15" t="s">
        <v>729</v>
      </c>
      <c r="B64" s="16" t="s">
        <v>607</v>
      </c>
      <c r="C64" s="16" t="s">
        <v>686</v>
      </c>
      <c r="D64" s="16" t="s">
        <v>608</v>
      </c>
      <c r="E64" s="16" t="s">
        <v>596</v>
      </c>
    </row>
    <row r="65" spans="1:5">
      <c r="A65" s="15" t="s">
        <v>730</v>
      </c>
      <c r="B65" s="16" t="s">
        <v>726</v>
      </c>
      <c r="C65" s="16" t="s">
        <v>684</v>
      </c>
      <c r="D65" s="16" t="s">
        <v>681</v>
      </c>
      <c r="E65" s="16" t="s">
        <v>731</v>
      </c>
    </row>
    <row r="66" spans="1:5">
      <c r="A66" s="15" t="s">
        <v>732</v>
      </c>
      <c r="B66" s="16" t="s">
        <v>594</v>
      </c>
      <c r="C66" s="16" t="s">
        <v>733</v>
      </c>
      <c r="D66" s="16" t="s">
        <v>596</v>
      </c>
      <c r="E66" s="16" t="s">
        <v>595</v>
      </c>
    </row>
    <row r="67" spans="1:5">
      <c r="A67" s="15" t="s">
        <v>734</v>
      </c>
      <c r="B67" s="16" t="s">
        <v>541</v>
      </c>
      <c r="C67" s="16" t="s">
        <v>542</v>
      </c>
      <c r="D67" s="16" t="s">
        <v>540</v>
      </c>
      <c r="E67" s="16" t="s">
        <v>611</v>
      </c>
    </row>
    <row r="68" spans="1:5">
      <c r="A68" s="15" t="s">
        <v>735</v>
      </c>
      <c r="B68" s="16" t="s">
        <v>736</v>
      </c>
      <c r="C68" s="16" t="s">
        <v>639</v>
      </c>
      <c r="D68" s="16" t="s">
        <v>615</v>
      </c>
      <c r="E68" s="16" t="s">
        <v>641</v>
      </c>
    </row>
    <row r="69" spans="1:5">
      <c r="A69" s="15" t="s">
        <v>737</v>
      </c>
      <c r="B69" s="16" t="s">
        <v>738</v>
      </c>
      <c r="C69" s="16" t="s">
        <v>618</v>
      </c>
      <c r="D69" s="16" t="s">
        <v>619</v>
      </c>
      <c r="E69" s="16" t="s">
        <v>620</v>
      </c>
    </row>
    <row r="70" spans="1:5">
      <c r="A70" s="15" t="s">
        <v>739</v>
      </c>
      <c r="B70" s="16" t="s">
        <v>740</v>
      </c>
      <c r="C70" s="16" t="s">
        <v>741</v>
      </c>
      <c r="D70" s="16" t="s">
        <v>742</v>
      </c>
      <c r="E70" s="16" t="s">
        <v>743</v>
      </c>
    </row>
    <row r="71" spans="1:5">
      <c r="A71" s="15" t="s">
        <v>744</v>
      </c>
      <c r="B71" s="16" t="s">
        <v>745</v>
      </c>
      <c r="C71" s="16" t="s">
        <v>644</v>
      </c>
      <c r="D71" s="16" t="s">
        <v>580</v>
      </c>
      <c r="E71" s="16" t="s">
        <v>579</v>
      </c>
    </row>
    <row r="72" spans="1:5">
      <c r="A72" s="15" t="s">
        <v>746</v>
      </c>
      <c r="B72" s="16" t="s">
        <v>675</v>
      </c>
      <c r="C72" s="16" t="s">
        <v>747</v>
      </c>
      <c r="D72" s="16" t="s">
        <v>674</v>
      </c>
      <c r="E72" s="16" t="s">
        <v>624</v>
      </c>
    </row>
    <row r="73" spans="1:5">
      <c r="A73" s="15" t="s">
        <v>748</v>
      </c>
      <c r="B73" s="16" t="s">
        <v>668</v>
      </c>
      <c r="C73" s="16" t="s">
        <v>666</v>
      </c>
      <c r="D73" s="16" t="s">
        <v>595</v>
      </c>
      <c r="E73" s="16" t="s">
        <v>655</v>
      </c>
    </row>
    <row r="74" spans="1:5">
      <c r="A74" s="15" t="s">
        <v>749</v>
      </c>
      <c r="B74" s="16" t="s">
        <v>615</v>
      </c>
      <c r="C74" s="16" t="s">
        <v>639</v>
      </c>
      <c r="D74" s="16" t="s">
        <v>736</v>
      </c>
      <c r="E74" s="16" t="s">
        <v>750</v>
      </c>
    </row>
    <row r="75" spans="1:5">
      <c r="A75" s="15" t="s">
        <v>751</v>
      </c>
      <c r="B75" s="16" t="s">
        <v>535</v>
      </c>
      <c r="C75" s="16" t="s">
        <v>687</v>
      </c>
      <c r="D75" s="16" t="s">
        <v>537</v>
      </c>
      <c r="E75" s="16" t="s">
        <v>607</v>
      </c>
    </row>
    <row r="76" spans="1:5">
      <c r="A76" s="15" t="s">
        <v>752</v>
      </c>
      <c r="B76" s="16" t="s">
        <v>541</v>
      </c>
      <c r="C76" s="16" t="s">
        <v>542</v>
      </c>
      <c r="D76" s="16" t="s">
        <v>540</v>
      </c>
      <c r="E76" s="16" t="s">
        <v>611</v>
      </c>
    </row>
    <row r="77" spans="1:5">
      <c r="A77" s="15" t="s">
        <v>753</v>
      </c>
      <c r="B77" s="16" t="s">
        <v>754</v>
      </c>
      <c r="C77" s="16" t="s">
        <v>644</v>
      </c>
      <c r="D77" s="16" t="s">
        <v>579</v>
      </c>
      <c r="E77" s="16" t="s">
        <v>755</v>
      </c>
    </row>
    <row r="78" spans="1:5">
      <c r="A78" s="15" t="s">
        <v>756</v>
      </c>
      <c r="B78" s="16" t="s">
        <v>757</v>
      </c>
      <c r="C78" s="16" t="s">
        <v>758</v>
      </c>
      <c r="D78" s="16" t="s">
        <v>759</v>
      </c>
      <c r="E78" s="16" t="s">
        <v>760</v>
      </c>
    </row>
    <row r="79" spans="1:5">
      <c r="A79" s="15" t="s">
        <v>761</v>
      </c>
      <c r="B79" s="16" t="s">
        <v>762</v>
      </c>
      <c r="C79" s="16" t="s">
        <v>754</v>
      </c>
      <c r="D79" s="16" t="s">
        <v>622</v>
      </c>
      <c r="E79" s="16" t="s">
        <v>763</v>
      </c>
    </row>
    <row r="80" spans="1:5">
      <c r="A80" s="15" t="s">
        <v>764</v>
      </c>
      <c r="B80" s="16" t="s">
        <v>765</v>
      </c>
      <c r="C80" s="16" t="s">
        <v>766</v>
      </c>
      <c r="D80" s="16" t="s">
        <v>767</v>
      </c>
      <c r="E80" s="16" t="s">
        <v>768</v>
      </c>
    </row>
    <row r="81" spans="1:5">
      <c r="A81" s="15" t="s">
        <v>769</v>
      </c>
      <c r="B81" s="16" t="s">
        <v>770</v>
      </c>
      <c r="C81" s="16" t="s">
        <v>550</v>
      </c>
      <c r="D81" s="16" t="s">
        <v>551</v>
      </c>
      <c r="E81" s="16" t="s">
        <v>552</v>
      </c>
    </row>
    <row r="82" spans="1:5">
      <c r="A82" s="15" t="s">
        <v>771</v>
      </c>
      <c r="B82" s="16" t="s">
        <v>758</v>
      </c>
      <c r="C82" s="16" t="s">
        <v>757</v>
      </c>
      <c r="D82" s="16" t="s">
        <v>759</v>
      </c>
      <c r="E82" s="16" t="s">
        <v>760</v>
      </c>
    </row>
    <row r="83" spans="1:5">
      <c r="A83" s="15" t="s">
        <v>772</v>
      </c>
      <c r="B83" s="16" t="s">
        <v>643</v>
      </c>
      <c r="C83" s="16" t="s">
        <v>580</v>
      </c>
      <c r="D83" s="16" t="s">
        <v>644</v>
      </c>
      <c r="E83" s="16" t="s">
        <v>755</v>
      </c>
    </row>
    <row r="84" spans="1:5">
      <c r="A84" s="15" t="s">
        <v>773</v>
      </c>
      <c r="B84" s="16" t="s">
        <v>774</v>
      </c>
      <c r="C84" s="16" t="s">
        <v>670</v>
      </c>
      <c r="D84" s="16" t="s">
        <v>671</v>
      </c>
      <c r="E84" s="16" t="s">
        <v>775</v>
      </c>
    </row>
    <row r="85" spans="1:5">
      <c r="A85" s="15" t="s">
        <v>776</v>
      </c>
      <c r="B85" s="16" t="s">
        <v>667</v>
      </c>
      <c r="C85" s="16" t="s">
        <v>666</v>
      </c>
      <c r="D85" s="16" t="s">
        <v>595</v>
      </c>
      <c r="E85" s="16" t="s">
        <v>668</v>
      </c>
    </row>
    <row r="86" spans="1:5">
      <c r="A86" s="15" t="s">
        <v>777</v>
      </c>
      <c r="B86" s="16" t="s">
        <v>759</v>
      </c>
      <c r="C86" s="16" t="s">
        <v>758</v>
      </c>
      <c r="D86" s="16" t="s">
        <v>760</v>
      </c>
      <c r="E86" s="16" t="s">
        <v>778</v>
      </c>
    </row>
    <row r="87" spans="1:5">
      <c r="A87" s="15" t="s">
        <v>779</v>
      </c>
      <c r="B87" s="16" t="s">
        <v>780</v>
      </c>
      <c r="C87" s="16" t="s">
        <v>655</v>
      </c>
      <c r="D87" s="16" t="s">
        <v>668</v>
      </c>
      <c r="E87" s="16" t="s">
        <v>678</v>
      </c>
    </row>
    <row r="88" spans="1:5">
      <c r="A88" s="15" t="s">
        <v>781</v>
      </c>
      <c r="B88" s="16" t="s">
        <v>782</v>
      </c>
      <c r="C88" s="16" t="s">
        <v>783</v>
      </c>
      <c r="D88" s="16" t="s">
        <v>674</v>
      </c>
      <c r="E88" s="16" t="s">
        <v>784</v>
      </c>
    </row>
    <row r="89" spans="1:5">
      <c r="A89" s="15" t="s">
        <v>785</v>
      </c>
      <c r="B89" s="16" t="s">
        <v>760</v>
      </c>
      <c r="C89" s="16" t="s">
        <v>759</v>
      </c>
      <c r="D89" s="16" t="s">
        <v>778</v>
      </c>
      <c r="E89" s="16" t="s">
        <v>786</v>
      </c>
    </row>
    <row r="90" spans="1:5">
      <c r="A90" s="15" t="s">
        <v>787</v>
      </c>
      <c r="B90" s="16" t="s">
        <v>788</v>
      </c>
      <c r="C90" s="16" t="s">
        <v>579</v>
      </c>
      <c r="D90" s="16" t="s">
        <v>580</v>
      </c>
      <c r="E90" s="16" t="s">
        <v>551</v>
      </c>
    </row>
    <row r="91" spans="1:5">
      <c r="A91" s="15" t="s">
        <v>789</v>
      </c>
      <c r="B91" s="16" t="s">
        <v>790</v>
      </c>
      <c r="C91" s="16" t="s">
        <v>634</v>
      </c>
      <c r="D91" s="16" t="s">
        <v>536</v>
      </c>
      <c r="E91" s="16" t="s">
        <v>635</v>
      </c>
    </row>
    <row r="92" spans="1:5">
      <c r="A92" s="15" t="s">
        <v>791</v>
      </c>
      <c r="B92" s="16" t="s">
        <v>778</v>
      </c>
      <c r="C92" s="16" t="s">
        <v>760</v>
      </c>
      <c r="D92" s="16" t="s">
        <v>759</v>
      </c>
      <c r="E92" s="16" t="s">
        <v>786</v>
      </c>
    </row>
    <row r="93" spans="1:5">
      <c r="A93" s="15" t="s">
        <v>792</v>
      </c>
      <c r="B93" s="16" t="s">
        <v>763</v>
      </c>
      <c r="C93" s="16" t="s">
        <v>762</v>
      </c>
      <c r="D93" s="16" t="s">
        <v>754</v>
      </c>
      <c r="E93" s="16" t="s">
        <v>622</v>
      </c>
    </row>
    <row r="94" spans="1:5">
      <c r="A94" s="15" t="s">
        <v>793</v>
      </c>
      <c r="B94" s="16" t="s">
        <v>794</v>
      </c>
      <c r="C94" s="16" t="s">
        <v>600</v>
      </c>
      <c r="D94" s="16" t="s">
        <v>754</v>
      </c>
      <c r="E94" s="16" t="s">
        <v>622</v>
      </c>
    </row>
    <row r="95" spans="1:5">
      <c r="A95" s="15" t="s">
        <v>795</v>
      </c>
      <c r="B95" s="16" t="s">
        <v>567</v>
      </c>
      <c r="C95" s="16" t="s">
        <v>564</v>
      </c>
      <c r="D95" s="16" t="s">
        <v>565</v>
      </c>
      <c r="E95" s="16" t="s">
        <v>614</v>
      </c>
    </row>
    <row r="96" spans="1:5">
      <c r="A96" s="15" t="s">
        <v>796</v>
      </c>
      <c r="B96" s="16" t="s">
        <v>797</v>
      </c>
      <c r="C96" s="16" t="s">
        <v>537</v>
      </c>
      <c r="D96" s="16" t="s">
        <v>686</v>
      </c>
      <c r="E96" s="16" t="s">
        <v>798</v>
      </c>
    </row>
    <row r="97" spans="1:5">
      <c r="A97" s="15" t="s">
        <v>799</v>
      </c>
      <c r="B97" s="16" t="s">
        <v>541</v>
      </c>
      <c r="C97" s="16" t="s">
        <v>540</v>
      </c>
      <c r="D97" s="16" t="s">
        <v>542</v>
      </c>
      <c r="E97" s="16" t="s">
        <v>611</v>
      </c>
    </row>
    <row r="98" spans="1:5">
      <c r="A98" s="15" t="s">
        <v>800</v>
      </c>
      <c r="B98" s="16" t="s">
        <v>678</v>
      </c>
      <c r="C98" s="16" t="s">
        <v>668</v>
      </c>
      <c r="D98" s="16" t="s">
        <v>666</v>
      </c>
      <c r="E98" s="16" t="s">
        <v>780</v>
      </c>
    </row>
    <row r="99" spans="1:5">
      <c r="A99" s="15" t="s">
        <v>801</v>
      </c>
      <c r="B99" s="16" t="s">
        <v>589</v>
      </c>
      <c r="C99" s="16" t="s">
        <v>590</v>
      </c>
      <c r="D99" s="16" t="s">
        <v>591</v>
      </c>
      <c r="E99" s="16" t="s">
        <v>592</v>
      </c>
    </row>
    <row r="100" spans="1:5">
      <c r="A100" s="15" t="s">
        <v>802</v>
      </c>
      <c r="B100" s="16" t="s">
        <v>674</v>
      </c>
      <c r="C100" s="16" t="s">
        <v>536</v>
      </c>
      <c r="D100" s="16" t="s">
        <v>634</v>
      </c>
      <c r="E100" s="16" t="s">
        <v>582</v>
      </c>
    </row>
    <row r="101" spans="1:5">
      <c r="A101" s="15" t="s">
        <v>803</v>
      </c>
      <c r="B101" s="16" t="s">
        <v>731</v>
      </c>
      <c r="C101" s="16" t="s">
        <v>804</v>
      </c>
      <c r="D101" s="16" t="s">
        <v>560</v>
      </c>
      <c r="E101" s="16" t="s">
        <v>559</v>
      </c>
    </row>
    <row r="102" spans="1:5">
      <c r="A102" s="15" t="s">
        <v>805</v>
      </c>
      <c r="B102" s="16" t="s">
        <v>806</v>
      </c>
      <c r="C102" s="16" t="s">
        <v>550</v>
      </c>
      <c r="D102" s="16" t="s">
        <v>770</v>
      </c>
      <c r="E102" s="16" t="s">
        <v>552</v>
      </c>
    </row>
    <row r="103" spans="1:5">
      <c r="A103" s="15" t="s">
        <v>807</v>
      </c>
      <c r="B103" s="16" t="s">
        <v>644</v>
      </c>
      <c r="C103" s="16" t="s">
        <v>579</v>
      </c>
      <c r="D103" s="16" t="s">
        <v>580</v>
      </c>
      <c r="E103" s="16" t="s">
        <v>755</v>
      </c>
    </row>
    <row r="104" spans="1:5">
      <c r="A104" s="15" t="s">
        <v>808</v>
      </c>
      <c r="B104" s="16" t="s">
        <v>541</v>
      </c>
      <c r="C104" s="16" t="s">
        <v>539</v>
      </c>
      <c r="D104" s="16" t="s">
        <v>540</v>
      </c>
      <c r="E104" s="16" t="s">
        <v>542</v>
      </c>
    </row>
    <row r="105" spans="1:5">
      <c r="A105" s="15" t="s">
        <v>809</v>
      </c>
      <c r="B105" s="16" t="s">
        <v>810</v>
      </c>
      <c r="C105" s="16" t="s">
        <v>595</v>
      </c>
      <c r="D105" s="16" t="s">
        <v>596</v>
      </c>
      <c r="E105" s="16" t="s">
        <v>594</v>
      </c>
    </row>
    <row r="106" spans="1:5">
      <c r="A106" s="15" t="s">
        <v>811</v>
      </c>
      <c r="B106" s="16" t="s">
        <v>812</v>
      </c>
      <c r="C106" s="16" t="s">
        <v>813</v>
      </c>
      <c r="D106" s="16" t="s">
        <v>814</v>
      </c>
      <c r="E106" s="16" t="s">
        <v>815</v>
      </c>
    </row>
    <row r="107" spans="1:5">
      <c r="A107" s="15" t="s">
        <v>816</v>
      </c>
      <c r="B107" s="16" t="s">
        <v>286</v>
      </c>
      <c r="C107" s="16" t="s">
        <v>170</v>
      </c>
      <c r="D107" s="16" t="s">
        <v>817</v>
      </c>
      <c r="E107" s="16" t="s">
        <v>151</v>
      </c>
    </row>
    <row r="108" spans="1:5">
      <c r="B108" s="16"/>
      <c r="C108" s="16"/>
      <c r="D108" s="16"/>
      <c r="E108" s="16"/>
    </row>
    <row r="109" spans="1:5">
      <c r="B109" s="16"/>
      <c r="C109" s="16"/>
      <c r="D109" s="16"/>
      <c r="E109" s="16"/>
    </row>
    <row r="110" spans="1:5">
      <c r="B110" s="16"/>
      <c r="C110" s="16"/>
      <c r="D110" s="16"/>
      <c r="E110" s="16"/>
    </row>
    <row r="111" spans="1:5">
      <c r="B111" s="16"/>
      <c r="C111" s="16"/>
      <c r="D111" s="16"/>
      <c r="E111" s="16"/>
    </row>
    <row r="112" spans="1:5">
      <c r="B112" s="16"/>
      <c r="C112" s="16"/>
      <c r="D112" s="16"/>
      <c r="E112" s="16"/>
    </row>
    <row r="113" spans="2:5">
      <c r="B113" s="16"/>
      <c r="C113" s="16"/>
      <c r="D113" s="16"/>
      <c r="E113" s="16"/>
    </row>
    <row r="114" spans="2:5">
      <c r="B114" s="16"/>
      <c r="C114" s="16"/>
      <c r="D114" s="16"/>
      <c r="E114" s="16"/>
    </row>
    <row r="115" spans="2:5">
      <c r="B115" s="16"/>
      <c r="C115" s="16"/>
      <c r="D115" s="16"/>
      <c r="E115" s="16"/>
    </row>
    <row r="116" spans="2:5">
      <c r="B116" s="16"/>
      <c r="C116" s="16"/>
      <c r="D116" s="16"/>
      <c r="E116" s="16"/>
    </row>
    <row r="117" spans="2:5">
      <c r="B117" s="16"/>
      <c r="C117" s="16"/>
      <c r="D117" s="16"/>
      <c r="E117" s="16"/>
    </row>
    <row r="118" spans="2:5">
      <c r="B118" s="16"/>
      <c r="C118" s="16"/>
      <c r="D118" s="16"/>
      <c r="E118" s="16"/>
    </row>
    <row r="119" spans="2:5">
      <c r="B119" s="16"/>
      <c r="C119" s="16"/>
      <c r="D119" s="16"/>
      <c r="E119" s="16"/>
    </row>
    <row r="120" spans="2:5">
      <c r="B120" s="16"/>
      <c r="C120" s="16"/>
      <c r="D120" s="16"/>
      <c r="E120" s="16"/>
    </row>
    <row r="121" spans="2:5">
      <c r="B121" s="16"/>
      <c r="C121" s="16"/>
      <c r="D121" s="16"/>
      <c r="E121" s="16"/>
    </row>
    <row r="122" spans="2:5">
      <c r="B122" s="16"/>
      <c r="C122" s="16"/>
      <c r="D122" s="16"/>
      <c r="E122" s="16"/>
    </row>
    <row r="123" spans="2:5">
      <c r="B123" s="16"/>
      <c r="C123" s="16"/>
      <c r="D123" s="16"/>
      <c r="E123" s="16"/>
    </row>
    <row r="124" spans="2:5">
      <c r="B124" s="16"/>
      <c r="C124" s="16"/>
      <c r="D124" s="16"/>
      <c r="E124" s="16"/>
    </row>
    <row r="125" spans="2:5">
      <c r="B125" s="16"/>
      <c r="C125" s="16"/>
      <c r="D125" s="16"/>
      <c r="E125" s="16"/>
    </row>
    <row r="126" spans="2:5">
      <c r="B126" s="16"/>
      <c r="C126" s="16"/>
      <c r="D126" s="16"/>
      <c r="E126" s="16"/>
    </row>
    <row r="127" spans="2:5">
      <c r="B127" s="16"/>
      <c r="C127" s="16"/>
      <c r="D127" s="16"/>
      <c r="E127" s="16"/>
    </row>
    <row r="128" spans="2:5">
      <c r="B128" s="16"/>
      <c r="C128" s="16"/>
      <c r="D128" s="16"/>
      <c r="E128" s="16"/>
    </row>
    <row r="129" spans="2:5">
      <c r="B129" s="16"/>
      <c r="C129" s="16"/>
      <c r="D129" s="16"/>
      <c r="E129" s="16"/>
    </row>
    <row r="130" spans="2:5">
      <c r="B130" s="16"/>
      <c r="C130" s="16"/>
      <c r="D130" s="16"/>
      <c r="E130" s="16"/>
    </row>
    <row r="131" spans="2:5">
      <c r="B131" s="16"/>
      <c r="C131" s="16"/>
      <c r="D131" s="16"/>
      <c r="E131" s="16"/>
    </row>
    <row r="132" spans="2:5">
      <c r="B132" s="16"/>
      <c r="C132" s="16"/>
      <c r="D132" s="16"/>
      <c r="E132" s="16"/>
    </row>
    <row r="133" spans="2:5">
      <c r="B133" s="16"/>
      <c r="C133" s="16"/>
      <c r="D133" s="16"/>
      <c r="E133" s="16"/>
    </row>
    <row r="134" spans="2:5">
      <c r="B134" s="16"/>
      <c r="C134" s="16"/>
      <c r="D134" s="16"/>
      <c r="E134" s="16"/>
    </row>
    <row r="135" spans="2:5">
      <c r="B135" s="16"/>
      <c r="C135" s="16"/>
      <c r="D135" s="16"/>
      <c r="E135" s="16"/>
    </row>
    <row r="136" spans="2:5">
      <c r="B136" s="16"/>
      <c r="C136" s="16"/>
      <c r="D136" s="16"/>
      <c r="E136" s="16"/>
    </row>
    <row r="137" spans="2:5">
      <c r="B137" s="16"/>
      <c r="C137" s="16"/>
      <c r="D137" s="16"/>
      <c r="E137" s="16"/>
    </row>
    <row r="138" spans="2:5">
      <c r="B138" s="16"/>
      <c r="C138" s="16"/>
      <c r="D138" s="16"/>
      <c r="E138" s="16"/>
    </row>
    <row r="139" spans="2:5">
      <c r="B139" s="16"/>
      <c r="C139" s="16"/>
      <c r="D139" s="16"/>
      <c r="E139" s="16"/>
    </row>
    <row r="140" spans="2:5">
      <c r="B140" s="16"/>
      <c r="C140" s="16"/>
      <c r="D140" s="16"/>
      <c r="E140" s="16"/>
    </row>
    <row r="141" spans="2:5">
      <c r="B141" s="16"/>
      <c r="C141" s="16"/>
      <c r="D141" s="16"/>
      <c r="E141" s="16"/>
    </row>
    <row r="142" spans="2:5">
      <c r="B142" s="16"/>
      <c r="C142" s="16"/>
      <c r="D142" s="16"/>
      <c r="E142" s="16"/>
    </row>
    <row r="143" spans="2:5">
      <c r="B143" s="16"/>
      <c r="C143" s="16"/>
      <c r="D143" s="16"/>
      <c r="E143" s="16"/>
    </row>
    <row r="144" spans="2:5">
      <c r="B144" s="16"/>
      <c r="C144" s="16"/>
      <c r="D144" s="16"/>
      <c r="E144" s="16"/>
    </row>
    <row r="145" spans="2:5">
      <c r="B145" s="16"/>
      <c r="C145" s="16"/>
      <c r="D145" s="16"/>
      <c r="E145" s="16"/>
    </row>
    <row r="146" spans="2:5">
      <c r="B146" s="16"/>
      <c r="C146" s="16"/>
      <c r="D146" s="16"/>
      <c r="E146" s="16"/>
    </row>
    <row r="147" spans="2:5">
      <c r="B147" s="16"/>
      <c r="C147" s="16"/>
      <c r="D147" s="16"/>
      <c r="E147" s="16"/>
    </row>
    <row r="148" spans="2:5">
      <c r="B148" s="16"/>
      <c r="C148" s="16"/>
      <c r="D148" s="16"/>
      <c r="E148" s="16"/>
    </row>
    <row r="149" spans="2:5">
      <c r="B149" s="16"/>
      <c r="C149" s="16"/>
      <c r="D149" s="16"/>
      <c r="E149" s="16"/>
    </row>
    <row r="150" spans="2:5">
      <c r="B150" s="16"/>
      <c r="C150" s="16"/>
      <c r="D150" s="16"/>
      <c r="E150" s="16"/>
    </row>
    <row r="151" spans="2:5">
      <c r="B151" s="16"/>
      <c r="C151" s="16"/>
      <c r="D151" s="16"/>
      <c r="E151" s="16"/>
    </row>
    <row r="152" spans="2:5">
      <c r="B152" s="16"/>
      <c r="C152" s="16"/>
      <c r="D152" s="16"/>
      <c r="E152" s="16"/>
    </row>
    <row r="153" spans="2:5">
      <c r="B153" s="16"/>
      <c r="C153" s="16"/>
      <c r="D153" s="16"/>
      <c r="E153" s="16"/>
    </row>
    <row r="154" spans="2:5">
      <c r="B154" s="16"/>
      <c r="C154" s="16"/>
      <c r="D154" s="16"/>
      <c r="E154" s="16"/>
    </row>
    <row r="155" spans="2:5">
      <c r="B155" s="16"/>
      <c r="C155" s="16"/>
      <c r="D155" s="16"/>
      <c r="E155" s="16"/>
    </row>
    <row r="156" spans="2:5">
      <c r="B156" s="16"/>
      <c r="C156" s="16"/>
      <c r="D156" s="16"/>
      <c r="E156" s="16"/>
    </row>
    <row r="157" spans="2:5">
      <c r="B157" s="16"/>
      <c r="C157" s="16"/>
      <c r="D157" s="16"/>
      <c r="E157" s="16"/>
    </row>
    <row r="158" spans="2:5">
      <c r="B158" s="16"/>
      <c r="C158" s="16"/>
      <c r="D158" s="16"/>
      <c r="E158" s="16"/>
    </row>
    <row r="159" spans="2:5">
      <c r="B159" s="16"/>
      <c r="C159" s="16"/>
      <c r="D159" s="16"/>
      <c r="E159" s="16"/>
    </row>
    <row r="160" spans="2:5">
      <c r="B160" s="16"/>
      <c r="C160" s="16"/>
      <c r="D160" s="16"/>
      <c r="E160" s="16"/>
    </row>
    <row r="161" spans="2:5">
      <c r="B161" s="16"/>
      <c r="C161" s="16"/>
      <c r="D161" s="16"/>
      <c r="E161" s="16"/>
    </row>
    <row r="162" spans="2:5">
      <c r="B162" s="16"/>
      <c r="C162" s="16"/>
      <c r="D162" s="16"/>
      <c r="E162" s="16"/>
    </row>
    <row r="163" spans="2:5">
      <c r="B163" s="16"/>
      <c r="C163" s="16"/>
      <c r="D163" s="16"/>
      <c r="E163" s="16"/>
    </row>
    <row r="164" spans="2:5">
      <c r="B164" s="16"/>
      <c r="C164" s="16"/>
      <c r="D164" s="16"/>
      <c r="E164" s="16"/>
    </row>
    <row r="165" spans="2:5">
      <c r="B165" s="16"/>
      <c r="C165" s="16"/>
      <c r="D165" s="16"/>
      <c r="E165" s="16"/>
    </row>
    <row r="166" spans="2:5">
      <c r="B166" s="16"/>
      <c r="C166" s="16"/>
      <c r="D166" s="16"/>
      <c r="E166" s="16"/>
    </row>
    <row r="167" spans="2:5">
      <c r="B167" s="16"/>
      <c r="C167" s="16"/>
      <c r="D167" s="16"/>
      <c r="E167" s="16"/>
    </row>
    <row r="168" spans="2:5">
      <c r="B168" s="16"/>
      <c r="C168" s="16"/>
      <c r="D168" s="16"/>
      <c r="E168" s="16"/>
    </row>
    <row r="169" spans="2:5">
      <c r="B169" s="16"/>
      <c r="C169" s="16"/>
      <c r="D169" s="16"/>
      <c r="E169" s="16"/>
    </row>
    <row r="170" spans="2:5">
      <c r="B170" s="16"/>
      <c r="C170" s="16"/>
      <c r="D170" s="16"/>
      <c r="E170" s="16"/>
    </row>
    <row r="171" spans="2:5">
      <c r="B171" s="16"/>
      <c r="C171" s="16"/>
      <c r="D171" s="16"/>
      <c r="E171" s="16"/>
    </row>
    <row r="172" spans="2:5">
      <c r="B172" s="16"/>
      <c r="C172" s="16"/>
      <c r="D172" s="16"/>
      <c r="E172" s="16"/>
    </row>
    <row r="173" spans="2:5">
      <c r="B173" s="16"/>
      <c r="C173" s="16"/>
      <c r="D173" s="16"/>
      <c r="E173" s="16"/>
    </row>
    <row r="174" spans="2:5">
      <c r="B174" s="16"/>
      <c r="C174" s="16"/>
      <c r="D174" s="16"/>
      <c r="E174" s="16"/>
    </row>
    <row r="175" spans="2:5">
      <c r="B175" s="16"/>
      <c r="C175" s="16"/>
      <c r="D175" s="16"/>
      <c r="E175" s="16"/>
    </row>
    <row r="176" spans="2:5">
      <c r="B176" s="16"/>
      <c r="C176" s="16"/>
      <c r="D176" s="16"/>
      <c r="E176" s="16"/>
    </row>
    <row r="177" spans="2:5">
      <c r="B177" s="16"/>
      <c r="C177" s="16"/>
      <c r="D177" s="16"/>
      <c r="E177" s="16"/>
    </row>
    <row r="178" spans="2:5">
      <c r="B178" s="16"/>
      <c r="C178" s="16"/>
      <c r="D178" s="16"/>
      <c r="E178" s="16"/>
    </row>
    <row r="179" spans="2:5">
      <c r="B179" s="16"/>
      <c r="C179" s="16"/>
      <c r="D179" s="16"/>
      <c r="E179" s="16"/>
    </row>
    <row r="180" spans="2:5">
      <c r="B180" s="16"/>
      <c r="C180" s="16"/>
      <c r="D180" s="16"/>
      <c r="E180" s="16"/>
    </row>
    <row r="181" spans="2:5">
      <c r="B181" s="16"/>
      <c r="C181" s="16"/>
      <c r="D181" s="16"/>
      <c r="E181" s="16"/>
    </row>
    <row r="182" spans="2:5">
      <c r="B182" s="16"/>
      <c r="C182" s="16"/>
      <c r="D182" s="16"/>
      <c r="E182" s="16"/>
    </row>
    <row r="183" spans="2:5">
      <c r="B183" s="16"/>
      <c r="C183" s="16"/>
      <c r="D183" s="16"/>
      <c r="E183" s="16"/>
    </row>
    <row r="184" spans="2:5">
      <c r="B184" s="16"/>
      <c r="C184" s="16"/>
      <c r="D184" s="16"/>
      <c r="E184" s="16"/>
    </row>
    <row r="185" spans="2:5">
      <c r="B185" s="16"/>
      <c r="C185" s="16"/>
      <c r="D185" s="16"/>
      <c r="E185" s="16"/>
    </row>
    <row r="186" spans="2:5">
      <c r="B186" s="16"/>
      <c r="C186" s="16"/>
      <c r="D186" s="16"/>
      <c r="E186" s="16"/>
    </row>
    <row r="187" spans="2:5">
      <c r="B187" s="16"/>
      <c r="C187" s="16"/>
      <c r="D187" s="16"/>
      <c r="E187" s="16"/>
    </row>
    <row r="188" spans="2:5">
      <c r="B188" s="16"/>
      <c r="C188" s="16"/>
      <c r="D188" s="16"/>
      <c r="E188" s="16"/>
    </row>
    <row r="189" spans="2:5">
      <c r="B189" s="16"/>
      <c r="C189" s="16"/>
      <c r="D189" s="16"/>
      <c r="E189" s="16"/>
    </row>
    <row r="190" spans="2:5">
      <c r="B190" s="16"/>
      <c r="C190" s="16"/>
      <c r="D190" s="16"/>
      <c r="E190" s="16"/>
    </row>
    <row r="191" spans="2:5">
      <c r="B191" s="16"/>
      <c r="C191" s="16"/>
      <c r="D191" s="16"/>
      <c r="E191" s="16"/>
    </row>
    <row r="192" spans="2:5">
      <c r="B192" s="16"/>
      <c r="C192" s="16"/>
      <c r="D192" s="16"/>
      <c r="E192" s="16"/>
    </row>
    <row r="193" spans="2:5">
      <c r="B193" s="16"/>
      <c r="C193" s="16"/>
      <c r="D193" s="16"/>
      <c r="E193" s="16"/>
    </row>
    <row r="194" spans="2:5">
      <c r="B194" s="16"/>
      <c r="C194" s="16"/>
      <c r="D194" s="16"/>
      <c r="E194" s="16"/>
    </row>
    <row r="195" spans="2:5">
      <c r="B195" s="16"/>
      <c r="C195" s="16"/>
      <c r="D195" s="16"/>
      <c r="E195" s="16"/>
    </row>
    <row r="196" spans="2:5">
      <c r="B196" s="16"/>
      <c r="C196" s="16"/>
      <c r="D196" s="16"/>
      <c r="E196" s="16"/>
    </row>
    <row r="197" spans="2:5">
      <c r="B197" s="16"/>
      <c r="C197" s="16"/>
      <c r="D197" s="16"/>
      <c r="E197" s="16"/>
    </row>
    <row r="198" spans="2:5">
      <c r="B198" s="16"/>
      <c r="C198" s="16"/>
      <c r="D198" s="16"/>
      <c r="E198" s="16"/>
    </row>
    <row r="199" spans="2:5">
      <c r="B199" s="16"/>
      <c r="C199" s="16"/>
      <c r="D199" s="16"/>
      <c r="E199" s="16"/>
    </row>
    <row r="200" spans="2:5">
      <c r="B200" s="16"/>
      <c r="C200" s="16"/>
      <c r="D200" s="16"/>
      <c r="E200" s="16"/>
    </row>
    <row r="201" spans="2:5">
      <c r="B201" s="16"/>
      <c r="C201" s="16"/>
      <c r="D201" s="16"/>
      <c r="E201" s="16"/>
    </row>
    <row r="202" spans="2:5">
      <c r="B202" s="16"/>
      <c r="C202" s="16"/>
      <c r="D202" s="16"/>
      <c r="E202" s="16"/>
    </row>
    <row r="203" spans="2:5">
      <c r="B203" s="16"/>
      <c r="C203" s="16"/>
      <c r="D203" s="16"/>
      <c r="E203" s="16"/>
    </row>
    <row r="204" spans="2:5">
      <c r="B204" s="16"/>
      <c r="C204" s="16"/>
      <c r="D204" s="16"/>
      <c r="E204" s="16"/>
    </row>
    <row r="205" spans="2:5">
      <c r="B205" s="16"/>
      <c r="C205" s="16"/>
      <c r="D205" s="16"/>
      <c r="E205" s="16"/>
    </row>
    <row r="206" spans="2:5">
      <c r="B206" s="16"/>
      <c r="C206" s="16"/>
      <c r="D206" s="16"/>
      <c r="E206" s="16"/>
    </row>
    <row r="207" spans="2:5">
      <c r="B207" s="16"/>
      <c r="C207" s="16"/>
      <c r="D207" s="16"/>
      <c r="E207" s="16"/>
    </row>
    <row r="208" spans="2:5">
      <c r="B208" s="16"/>
      <c r="C208" s="16"/>
      <c r="D208" s="16"/>
      <c r="E208" s="16"/>
    </row>
    <row r="209" spans="2:5">
      <c r="B209" s="16"/>
      <c r="C209" s="16"/>
      <c r="D209" s="16"/>
      <c r="E209" s="16"/>
    </row>
    <row r="210" spans="2:5">
      <c r="B210" s="16"/>
      <c r="C210" s="16"/>
      <c r="D210" s="16"/>
      <c r="E210" s="16"/>
    </row>
    <row r="211" spans="2:5">
      <c r="B211" s="16"/>
      <c r="C211" s="16"/>
      <c r="D211" s="16"/>
      <c r="E211" s="16"/>
    </row>
    <row r="212" spans="2:5">
      <c r="B212" s="16"/>
      <c r="C212" s="16"/>
      <c r="D212" s="16"/>
      <c r="E212" s="16"/>
    </row>
    <row r="213" spans="2:5">
      <c r="B213" s="16"/>
      <c r="C213" s="16"/>
      <c r="D213" s="16"/>
      <c r="E213" s="16"/>
    </row>
    <row r="214" spans="2:5">
      <c r="B214" s="16"/>
      <c r="C214" s="16"/>
      <c r="D214" s="16"/>
      <c r="E214" s="16"/>
    </row>
    <row r="215" spans="2:5">
      <c r="B215" s="16"/>
      <c r="C215" s="16"/>
      <c r="D215" s="16"/>
      <c r="E215" s="16"/>
    </row>
    <row r="216" spans="2:5">
      <c r="B216" s="16"/>
      <c r="C216" s="16"/>
      <c r="D216" s="16"/>
      <c r="E216" s="16"/>
    </row>
    <row r="217" spans="2:5">
      <c r="B217" s="16"/>
      <c r="C217" s="16"/>
      <c r="D217" s="16"/>
      <c r="E217" s="16"/>
    </row>
    <row r="218" spans="2:5">
      <c r="B218" s="16"/>
      <c r="C218" s="16"/>
      <c r="D218" s="16"/>
      <c r="E218" s="16"/>
    </row>
    <row r="219" spans="2:5">
      <c r="B219" s="16"/>
      <c r="C219" s="16"/>
      <c r="D219" s="16"/>
      <c r="E219" s="16"/>
    </row>
    <row r="220" spans="2:5">
      <c r="B220" s="16"/>
      <c r="C220" s="16"/>
      <c r="D220" s="16"/>
      <c r="E220" s="16"/>
    </row>
    <row r="221" spans="2:5">
      <c r="B221" s="16"/>
      <c r="C221" s="16"/>
      <c r="D221" s="16"/>
      <c r="E221" s="16"/>
    </row>
    <row r="222" spans="2:5">
      <c r="B222" s="16"/>
      <c r="C222" s="16"/>
      <c r="D222" s="16"/>
      <c r="E222" s="16"/>
    </row>
    <row r="223" spans="2:5">
      <c r="B223" s="16"/>
      <c r="C223" s="16"/>
      <c r="D223" s="16"/>
      <c r="E223" s="16"/>
    </row>
    <row r="224" spans="2:5">
      <c r="B224" s="16"/>
      <c r="C224" s="16"/>
      <c r="D224" s="16"/>
      <c r="E224" s="16"/>
    </row>
    <row r="225" spans="2:5">
      <c r="B225" s="16"/>
      <c r="C225" s="16"/>
      <c r="D225" s="16"/>
      <c r="E225" s="16"/>
    </row>
    <row r="226" spans="2:5">
      <c r="B226" s="16"/>
      <c r="C226" s="16"/>
      <c r="D226" s="16"/>
      <c r="E226" s="16"/>
    </row>
    <row r="227" spans="2:5">
      <c r="B227" s="16"/>
      <c r="C227" s="16"/>
      <c r="D227" s="16"/>
      <c r="E227" s="16"/>
    </row>
    <row r="228" spans="2:5">
      <c r="B228" s="16"/>
      <c r="C228" s="16"/>
      <c r="D228" s="16"/>
      <c r="E228" s="16"/>
    </row>
    <row r="229" spans="2:5">
      <c r="B229" s="16"/>
      <c r="C229" s="16"/>
      <c r="D229" s="16"/>
      <c r="E229" s="16"/>
    </row>
    <row r="230" spans="2:5">
      <c r="B230" s="16"/>
      <c r="C230" s="16"/>
      <c r="D230" s="16"/>
      <c r="E230" s="16"/>
    </row>
    <row r="231" spans="2:5">
      <c r="B231" s="16"/>
      <c r="C231" s="16"/>
      <c r="D231" s="16"/>
      <c r="E231" s="16"/>
    </row>
    <row r="232" spans="2:5">
      <c r="B232" s="16"/>
      <c r="C232" s="16"/>
      <c r="D232" s="16"/>
      <c r="E232" s="16"/>
    </row>
    <row r="233" spans="2:5">
      <c r="B233" s="16"/>
      <c r="C233" s="16"/>
      <c r="D233" s="16"/>
      <c r="E233" s="16"/>
    </row>
    <row r="234" spans="2:5">
      <c r="B234" s="16"/>
      <c r="C234" s="16"/>
      <c r="D234" s="16"/>
      <c r="E234" s="16"/>
    </row>
    <row r="235" spans="2:5">
      <c r="B235" s="16"/>
      <c r="C235" s="16"/>
      <c r="D235" s="16"/>
      <c r="E235" s="16"/>
    </row>
    <row r="236" spans="2:5">
      <c r="B236" s="16"/>
      <c r="C236" s="16"/>
      <c r="D236" s="16"/>
      <c r="E236" s="16"/>
    </row>
    <row r="237" spans="2:5">
      <c r="B237" s="16"/>
      <c r="C237" s="16"/>
      <c r="D237" s="16"/>
      <c r="E237" s="16"/>
    </row>
    <row r="238" spans="2:5">
      <c r="B238" s="16"/>
      <c r="C238" s="16"/>
      <c r="D238" s="16"/>
      <c r="E238" s="16"/>
    </row>
    <row r="239" spans="2:5">
      <c r="B239" s="16"/>
      <c r="C239" s="16"/>
      <c r="D239" s="16"/>
      <c r="E239" s="16"/>
    </row>
    <row r="240" spans="2:5">
      <c r="B240" s="16"/>
      <c r="C240" s="16"/>
      <c r="D240" s="16"/>
      <c r="E240" s="16"/>
    </row>
    <row r="241" spans="2:5">
      <c r="B241" s="16"/>
      <c r="C241" s="16"/>
      <c r="D241" s="16"/>
      <c r="E241" s="16"/>
    </row>
    <row r="242" spans="2:5">
      <c r="B242" s="16"/>
      <c r="C242" s="16"/>
      <c r="D242" s="16"/>
      <c r="E242" s="16"/>
    </row>
    <row r="243" spans="2:5">
      <c r="B243" s="16"/>
      <c r="C243" s="16"/>
      <c r="D243" s="16"/>
      <c r="E243" s="16"/>
    </row>
    <row r="244" spans="2:5">
      <c r="B244" s="16"/>
      <c r="C244" s="16"/>
      <c r="D244" s="16"/>
      <c r="E244" s="16"/>
    </row>
    <row r="245" spans="2:5">
      <c r="B245" s="16"/>
      <c r="C245" s="16"/>
      <c r="D245" s="16"/>
      <c r="E245" s="16"/>
    </row>
    <row r="246" spans="2:5">
      <c r="B246" s="16"/>
      <c r="C246" s="16"/>
      <c r="D246" s="16"/>
      <c r="E246" s="16"/>
    </row>
    <row r="247" spans="2:5">
      <c r="B247" s="16"/>
      <c r="C247" s="16"/>
      <c r="D247" s="16"/>
      <c r="E247" s="16"/>
    </row>
    <row r="248" spans="2:5">
      <c r="B248" s="16"/>
      <c r="C248" s="16"/>
      <c r="D248" s="16"/>
      <c r="E248" s="16"/>
    </row>
    <row r="249" spans="2:5">
      <c r="B249" s="16"/>
      <c r="C249" s="16"/>
      <c r="D249" s="16"/>
      <c r="E249" s="16"/>
    </row>
    <row r="250" spans="2:5">
      <c r="B250" s="16"/>
      <c r="C250" s="16"/>
      <c r="D250" s="16"/>
      <c r="E250" s="16"/>
    </row>
    <row r="251" spans="2:5">
      <c r="B251" s="16"/>
      <c r="C251" s="16"/>
      <c r="D251" s="16"/>
      <c r="E251" s="16"/>
    </row>
    <row r="252" spans="2:5">
      <c r="B252" s="16"/>
      <c r="C252" s="16"/>
      <c r="D252" s="16"/>
      <c r="E252" s="16"/>
    </row>
    <row r="253" spans="2:5">
      <c r="B253" s="16"/>
      <c r="C253" s="16"/>
      <c r="D253" s="16"/>
      <c r="E253" s="16"/>
    </row>
    <row r="254" spans="2:5">
      <c r="B254" s="16"/>
      <c r="C254" s="16"/>
      <c r="D254" s="16"/>
      <c r="E254" s="16"/>
    </row>
    <row r="255" spans="2:5">
      <c r="B255" s="16"/>
      <c r="C255" s="16"/>
      <c r="D255" s="16"/>
      <c r="E255" s="16"/>
    </row>
    <row r="256" spans="2:5">
      <c r="B256" s="16"/>
      <c r="C256" s="16"/>
      <c r="D256" s="16"/>
      <c r="E256" s="16"/>
    </row>
    <row r="257" spans="2:5">
      <c r="B257" s="16"/>
      <c r="C257" s="16"/>
      <c r="D257" s="16"/>
      <c r="E257" s="16"/>
    </row>
    <row r="258" spans="2:5">
      <c r="B258" s="16"/>
      <c r="C258" s="16"/>
      <c r="D258" s="16"/>
      <c r="E258" s="16"/>
    </row>
    <row r="259" spans="2:5">
      <c r="B259" s="16"/>
      <c r="C259" s="16"/>
      <c r="D259" s="16"/>
      <c r="E259" s="16"/>
    </row>
    <row r="260" spans="2:5">
      <c r="B260" s="16"/>
      <c r="C260" s="16"/>
      <c r="D260" s="16"/>
      <c r="E260" s="16"/>
    </row>
    <row r="261" spans="2:5">
      <c r="B261" s="16"/>
      <c r="C261" s="16"/>
      <c r="D261" s="16"/>
      <c r="E261" s="16"/>
    </row>
    <row r="262" spans="2:5">
      <c r="B262" s="16"/>
      <c r="C262" s="16"/>
      <c r="D262" s="16"/>
      <c r="E262" s="16"/>
    </row>
    <row r="263" spans="2:5">
      <c r="B263" s="16"/>
      <c r="C263" s="16"/>
      <c r="D263" s="16"/>
      <c r="E263" s="16"/>
    </row>
    <row r="264" spans="2:5">
      <c r="B264" s="16"/>
      <c r="C264" s="16"/>
      <c r="D264" s="16"/>
      <c r="E264" s="16"/>
    </row>
    <row r="265" spans="2:5">
      <c r="B265" s="16"/>
      <c r="C265" s="16"/>
      <c r="D265" s="16"/>
      <c r="E265" s="16"/>
    </row>
    <row r="266" spans="2:5">
      <c r="B266" s="16"/>
      <c r="C266" s="16"/>
      <c r="D266" s="16"/>
      <c r="E266" s="16"/>
    </row>
    <row r="267" spans="2:5">
      <c r="B267" s="16"/>
      <c r="C267" s="16"/>
      <c r="D267" s="16"/>
      <c r="E267" s="16"/>
    </row>
    <row r="268" spans="2:5">
      <c r="B268" s="16"/>
      <c r="C268" s="16"/>
      <c r="D268" s="16"/>
      <c r="E268" s="16"/>
    </row>
    <row r="269" spans="2:5">
      <c r="B269" s="16"/>
      <c r="C269" s="16"/>
      <c r="D269" s="16"/>
      <c r="E269" s="16"/>
    </row>
    <row r="270" spans="2:5">
      <c r="B270" s="16"/>
      <c r="C270" s="16"/>
      <c r="D270" s="16"/>
      <c r="E270" s="16"/>
    </row>
    <row r="271" spans="2:5">
      <c r="B271" s="16"/>
      <c r="C271" s="16"/>
      <c r="D271" s="16"/>
      <c r="E271" s="16"/>
    </row>
    <row r="272" spans="2:5">
      <c r="B272" s="16"/>
      <c r="C272" s="16"/>
      <c r="D272" s="16"/>
      <c r="E272" s="16"/>
    </row>
    <row r="273" spans="2:5">
      <c r="B273" s="16"/>
      <c r="C273" s="16"/>
      <c r="D273" s="16"/>
      <c r="E273" s="16"/>
    </row>
    <row r="274" spans="2:5">
      <c r="B274" s="16"/>
      <c r="C274" s="16"/>
      <c r="D274" s="16"/>
      <c r="E274" s="16"/>
    </row>
    <row r="275" spans="2:5">
      <c r="B275" s="16"/>
      <c r="C275" s="16"/>
      <c r="D275" s="16"/>
      <c r="E275" s="16"/>
    </row>
    <row r="276" spans="2:5">
      <c r="B276" s="16"/>
      <c r="C276" s="16"/>
      <c r="D276" s="16"/>
      <c r="E276" s="16"/>
    </row>
    <row r="277" spans="2:5">
      <c r="B277" s="16"/>
      <c r="C277" s="16"/>
      <c r="D277" s="16"/>
      <c r="E277" s="16"/>
    </row>
    <row r="278" spans="2:5">
      <c r="B278" s="16"/>
      <c r="C278" s="16"/>
      <c r="D278" s="16"/>
      <c r="E278" s="16"/>
    </row>
    <row r="279" spans="2:5">
      <c r="B279" s="16"/>
      <c r="C279" s="16"/>
      <c r="D279" s="16"/>
      <c r="E279" s="16"/>
    </row>
    <row r="280" spans="2:5">
      <c r="B280" s="16"/>
      <c r="C280" s="16"/>
      <c r="D280" s="16"/>
      <c r="E280" s="16"/>
    </row>
    <row r="281" spans="2:5">
      <c r="B281" s="16"/>
      <c r="C281" s="16"/>
      <c r="D281" s="16"/>
      <c r="E281" s="16"/>
    </row>
    <row r="282" spans="2:5">
      <c r="B282" s="16"/>
      <c r="C282" s="16"/>
      <c r="D282" s="16"/>
      <c r="E282" s="16"/>
    </row>
    <row r="283" spans="2:5">
      <c r="B283" s="16"/>
      <c r="C283" s="16"/>
      <c r="D283" s="16"/>
      <c r="E283" s="16"/>
    </row>
    <row r="284" spans="2:5">
      <c r="B284" s="16"/>
      <c r="C284" s="16"/>
      <c r="D284" s="16"/>
      <c r="E284" s="16"/>
    </row>
    <row r="285" spans="2:5">
      <c r="B285" s="16"/>
      <c r="C285" s="16"/>
      <c r="D285" s="16"/>
      <c r="E285" s="16"/>
    </row>
    <row r="286" spans="2:5">
      <c r="B286" s="16"/>
      <c r="C286" s="16"/>
      <c r="D286" s="16"/>
      <c r="E286" s="16"/>
    </row>
    <row r="287" spans="2:5">
      <c r="B287" s="16"/>
      <c r="C287" s="16"/>
      <c r="D287" s="16"/>
      <c r="E287" s="16"/>
    </row>
    <row r="288" spans="2:5">
      <c r="B288" s="16"/>
      <c r="C288" s="16"/>
      <c r="D288" s="16"/>
      <c r="E288" s="16"/>
    </row>
    <row r="289" spans="2:5">
      <c r="B289" s="16"/>
      <c r="C289" s="16"/>
      <c r="D289" s="16"/>
      <c r="E289" s="16"/>
    </row>
    <row r="290" spans="2:5">
      <c r="B290" s="16"/>
      <c r="C290" s="16"/>
      <c r="D290" s="16"/>
      <c r="E290" s="16"/>
    </row>
    <row r="291" spans="2:5">
      <c r="B291" s="16"/>
      <c r="C291" s="16"/>
      <c r="D291" s="16"/>
      <c r="E291" s="16"/>
    </row>
    <row r="292" spans="2:5">
      <c r="B292" s="16"/>
      <c r="C292" s="16"/>
      <c r="D292" s="16"/>
      <c r="E292" s="16"/>
    </row>
    <row r="293" spans="2:5">
      <c r="B293" s="16"/>
      <c r="C293" s="16"/>
      <c r="D293" s="16"/>
      <c r="E293" s="16"/>
    </row>
    <row r="294" spans="2:5">
      <c r="B294" s="16"/>
      <c r="C294" s="16"/>
      <c r="D294" s="16"/>
      <c r="E294" s="16"/>
    </row>
    <row r="295" spans="2:5">
      <c r="B295" s="16"/>
      <c r="C295" s="16"/>
      <c r="D295" s="16"/>
      <c r="E295" s="16"/>
    </row>
    <row r="296" spans="2:5">
      <c r="B296" s="16"/>
      <c r="C296" s="16"/>
      <c r="D296" s="16"/>
      <c r="E296" s="16"/>
    </row>
    <row r="297" spans="2:5">
      <c r="B297" s="16"/>
      <c r="C297" s="16"/>
      <c r="D297" s="16"/>
      <c r="E297" s="16"/>
    </row>
    <row r="298" spans="2:5">
      <c r="B298" s="16"/>
      <c r="C298" s="16"/>
      <c r="D298" s="16"/>
      <c r="E298" s="16"/>
    </row>
    <row r="299" spans="2:5">
      <c r="B299" s="16"/>
      <c r="C299" s="16"/>
      <c r="D299" s="16"/>
      <c r="E299" s="16"/>
    </row>
    <row r="300" spans="2:5">
      <c r="B300" s="16"/>
      <c r="C300" s="16"/>
      <c r="D300" s="16"/>
      <c r="E300" s="16"/>
    </row>
    <row r="301" spans="2:5">
      <c r="B301" s="16"/>
      <c r="C301" s="16"/>
      <c r="D301" s="16"/>
      <c r="E301" s="16"/>
    </row>
    <row r="302" spans="2:5">
      <c r="B302" s="16"/>
      <c r="C302" s="16"/>
      <c r="D302" s="16"/>
      <c r="E302" s="16"/>
    </row>
    <row r="303" spans="2:5">
      <c r="B303" s="16"/>
      <c r="C303" s="16"/>
      <c r="D303" s="16"/>
      <c r="E303" s="16"/>
    </row>
    <row r="304" spans="2:5">
      <c r="B304" s="16"/>
      <c r="C304" s="16"/>
      <c r="D304" s="16"/>
      <c r="E304" s="16"/>
    </row>
    <row r="305" spans="2:5">
      <c r="B305" s="16"/>
      <c r="C305" s="16"/>
      <c r="D305" s="16"/>
      <c r="E305" s="16"/>
    </row>
    <row r="306" spans="2:5">
      <c r="B306" s="16"/>
      <c r="C306" s="16"/>
      <c r="D306" s="16"/>
      <c r="E306" s="16"/>
    </row>
    <row r="307" spans="2:5">
      <c r="B307" s="16"/>
      <c r="C307" s="16"/>
      <c r="D307" s="16"/>
      <c r="E307" s="16"/>
    </row>
    <row r="308" spans="2:5">
      <c r="B308" s="16"/>
      <c r="C308" s="16"/>
      <c r="D308" s="16"/>
      <c r="E308" s="16"/>
    </row>
    <row r="309" spans="2:5">
      <c r="B309" s="16"/>
      <c r="C309" s="16"/>
      <c r="D309" s="16"/>
      <c r="E309" s="16"/>
    </row>
    <row r="310" spans="2:5">
      <c r="B310" s="16"/>
      <c r="C310" s="16"/>
      <c r="D310" s="16"/>
      <c r="E310" s="16"/>
    </row>
    <row r="311" spans="2:5">
      <c r="B311" s="16"/>
      <c r="C311" s="16"/>
      <c r="D311" s="16"/>
      <c r="E311" s="16"/>
    </row>
    <row r="312" spans="2:5">
      <c r="B312" s="16"/>
      <c r="C312" s="16"/>
      <c r="D312" s="16"/>
      <c r="E312" s="16"/>
    </row>
    <row r="313" spans="2:5">
      <c r="B313" s="16"/>
      <c r="C313" s="16"/>
      <c r="D313" s="16"/>
      <c r="E313" s="16"/>
    </row>
    <row r="314" spans="2:5">
      <c r="B314" s="16"/>
      <c r="C314" s="16"/>
      <c r="D314" s="16"/>
      <c r="E314" s="16"/>
    </row>
    <row r="315" spans="2:5">
      <c r="B315" s="16"/>
      <c r="C315" s="16"/>
      <c r="D315" s="16"/>
      <c r="E315" s="16"/>
    </row>
    <row r="316" spans="2:5">
      <c r="B316" s="16"/>
      <c r="C316" s="16"/>
      <c r="D316" s="16"/>
      <c r="E316" s="16"/>
    </row>
    <row r="317" spans="2:5">
      <c r="B317" s="16"/>
      <c r="C317" s="16"/>
      <c r="D317" s="16"/>
      <c r="E317" s="16"/>
    </row>
    <row r="318" spans="2:5">
      <c r="B318" s="16"/>
      <c r="C318" s="16"/>
      <c r="D318" s="16"/>
      <c r="E318" s="16"/>
    </row>
    <row r="319" spans="2:5">
      <c r="B319" s="16"/>
      <c r="C319" s="16"/>
      <c r="D319" s="16"/>
      <c r="E319" s="16"/>
    </row>
    <row r="320" spans="2:5">
      <c r="B320" s="16"/>
      <c r="C320" s="16"/>
      <c r="D320" s="16"/>
      <c r="E320" s="16"/>
    </row>
    <row r="321" spans="2:5">
      <c r="B321" s="16"/>
      <c r="C321" s="16"/>
      <c r="D321" s="16"/>
      <c r="E321" s="16"/>
    </row>
    <row r="322" spans="2:5">
      <c r="B322" s="16"/>
      <c r="C322" s="16"/>
      <c r="D322" s="16"/>
      <c r="E322" s="16"/>
    </row>
    <row r="323" spans="2:5">
      <c r="B323" s="16"/>
      <c r="C323" s="16"/>
      <c r="D323" s="16"/>
      <c r="E323" s="16"/>
    </row>
    <row r="324" spans="2:5">
      <c r="B324" s="16"/>
      <c r="C324" s="16"/>
      <c r="D324" s="16"/>
      <c r="E324" s="16"/>
    </row>
    <row r="325" spans="2:5">
      <c r="B325" s="16"/>
      <c r="C325" s="16"/>
      <c r="D325" s="16"/>
      <c r="E325" s="16"/>
    </row>
    <row r="326" spans="2:5">
      <c r="B326" s="16"/>
      <c r="C326" s="16"/>
      <c r="D326" s="16"/>
      <c r="E326" s="16"/>
    </row>
    <row r="327" spans="2:5">
      <c r="B327" s="16"/>
      <c r="C327" s="16"/>
      <c r="D327" s="16"/>
      <c r="E327" s="16"/>
    </row>
    <row r="328" spans="2:5">
      <c r="B328" s="16"/>
      <c r="C328" s="16"/>
      <c r="D328" s="16"/>
      <c r="E328" s="16"/>
    </row>
    <row r="329" spans="2:5">
      <c r="B329" s="16"/>
      <c r="C329" s="16"/>
      <c r="D329" s="16"/>
      <c r="E329" s="16"/>
    </row>
    <row r="330" spans="2:5">
      <c r="B330" s="16"/>
      <c r="C330" s="16"/>
      <c r="D330" s="16"/>
      <c r="E330" s="16"/>
    </row>
    <row r="331" spans="2:5">
      <c r="B331" s="16"/>
      <c r="C331" s="16"/>
      <c r="D331" s="16"/>
      <c r="E331" s="16"/>
    </row>
    <row r="332" spans="2:5">
      <c r="B332" s="16"/>
      <c r="C332" s="16"/>
      <c r="D332" s="16"/>
      <c r="E332" s="16"/>
    </row>
    <row r="333" spans="2:5">
      <c r="B333" s="16"/>
      <c r="C333" s="16"/>
      <c r="D333" s="16"/>
      <c r="E333" s="16"/>
    </row>
    <row r="334" spans="2:5">
      <c r="B334" s="16"/>
      <c r="C334" s="16"/>
      <c r="D334" s="16"/>
      <c r="E334" s="16"/>
    </row>
    <row r="335" spans="2:5">
      <c r="B335" s="16"/>
      <c r="C335" s="16"/>
      <c r="D335" s="16"/>
      <c r="E335" s="16"/>
    </row>
    <row r="336" spans="2:5">
      <c r="B336" s="16"/>
      <c r="C336" s="16"/>
      <c r="D336" s="16"/>
      <c r="E336" s="16"/>
    </row>
    <row r="337" spans="2:5">
      <c r="B337" s="16"/>
      <c r="C337" s="16"/>
      <c r="D337" s="16"/>
      <c r="E337" s="16"/>
    </row>
    <row r="338" spans="2:5">
      <c r="B338" s="16"/>
      <c r="C338" s="16"/>
      <c r="D338" s="16"/>
      <c r="E338" s="16"/>
    </row>
    <row r="339" spans="2:5">
      <c r="B339" s="16"/>
      <c r="C339" s="16"/>
      <c r="D339" s="16"/>
      <c r="E339" s="16"/>
    </row>
    <row r="340" spans="2:5">
      <c r="B340" s="16"/>
      <c r="C340" s="16"/>
      <c r="D340" s="16"/>
      <c r="E340" s="16"/>
    </row>
    <row r="341" spans="2:5">
      <c r="B341" s="16"/>
      <c r="C341" s="16"/>
      <c r="D341" s="16"/>
      <c r="E341" s="16"/>
    </row>
    <row r="342" spans="2:5">
      <c r="B342" s="16"/>
      <c r="C342" s="16"/>
      <c r="D342" s="16"/>
      <c r="E342" s="16"/>
    </row>
    <row r="343" spans="2:5">
      <c r="B343" s="16"/>
      <c r="C343" s="16"/>
      <c r="D343" s="16"/>
      <c r="E343" s="16"/>
    </row>
    <row r="344" spans="2:5">
      <c r="B344" s="16"/>
      <c r="C344" s="16"/>
      <c r="D344" s="16"/>
      <c r="E344" s="16"/>
    </row>
    <row r="345" spans="2:5">
      <c r="B345" s="16"/>
      <c r="C345" s="16"/>
      <c r="D345" s="16"/>
      <c r="E345" s="16"/>
    </row>
    <row r="346" spans="2:5">
      <c r="B346" s="16"/>
      <c r="C346" s="16"/>
      <c r="D346" s="16"/>
      <c r="E346" s="16"/>
    </row>
    <row r="347" spans="2:5">
      <c r="B347" s="16"/>
      <c r="C347" s="16"/>
      <c r="D347" s="16"/>
      <c r="E347" s="16"/>
    </row>
    <row r="348" spans="2:5">
      <c r="B348" s="16"/>
      <c r="C348" s="16"/>
      <c r="D348" s="16"/>
      <c r="E348" s="16"/>
    </row>
    <row r="349" spans="2:5">
      <c r="B349" s="16"/>
      <c r="C349" s="16"/>
      <c r="D349" s="16"/>
      <c r="E349" s="16"/>
    </row>
    <row r="350" spans="2:5">
      <c r="B350" s="16"/>
      <c r="C350" s="16"/>
      <c r="D350" s="16"/>
      <c r="E350" s="16"/>
    </row>
    <row r="351" spans="2:5">
      <c r="B351" s="16"/>
      <c r="C351" s="16"/>
      <c r="D351" s="16"/>
      <c r="E351" s="16"/>
    </row>
    <row r="352" spans="2:5">
      <c r="B352" s="16"/>
      <c r="C352" s="16"/>
      <c r="D352" s="16"/>
      <c r="E352" s="16"/>
    </row>
    <row r="353" spans="2:5">
      <c r="B353" s="16"/>
      <c r="C353" s="16"/>
      <c r="D353" s="16"/>
      <c r="E353" s="16"/>
    </row>
    <row r="354" spans="2:5">
      <c r="B354" s="16"/>
      <c r="C354" s="16"/>
      <c r="D354" s="16"/>
      <c r="E354" s="16"/>
    </row>
    <row r="355" spans="2:5">
      <c r="B355" s="16"/>
      <c r="C355" s="16"/>
      <c r="D355" s="16"/>
      <c r="E355" s="16"/>
    </row>
    <row r="356" spans="2:5">
      <c r="B356" s="16"/>
      <c r="C356" s="16"/>
      <c r="D356" s="16"/>
      <c r="E356" s="16"/>
    </row>
    <row r="357" spans="2:5">
      <c r="B357" s="16"/>
      <c r="C357" s="16"/>
      <c r="D357" s="16"/>
      <c r="E357" s="16"/>
    </row>
    <row r="358" spans="2:5">
      <c r="B358" s="16"/>
      <c r="C358" s="16"/>
      <c r="D358" s="16"/>
      <c r="E358" s="16"/>
    </row>
    <row r="359" spans="2:5">
      <c r="B359" s="16"/>
      <c r="C359" s="16"/>
      <c r="D359" s="16"/>
      <c r="E359" s="16"/>
    </row>
    <row r="360" spans="2:5">
      <c r="B360" s="16"/>
      <c r="C360" s="16"/>
      <c r="D360" s="16"/>
      <c r="E360" s="16"/>
    </row>
    <row r="361" spans="2:5">
      <c r="B361" s="16"/>
      <c r="C361" s="16"/>
      <c r="D361" s="16"/>
      <c r="E361" s="16"/>
    </row>
    <row r="362" spans="2:5">
      <c r="B362" s="16"/>
      <c r="C362" s="16"/>
      <c r="D362" s="16"/>
      <c r="E362" s="16"/>
    </row>
    <row r="363" spans="2:5">
      <c r="B363" s="16"/>
      <c r="C363" s="16"/>
      <c r="D363" s="16"/>
      <c r="E363" s="16"/>
    </row>
    <row r="364" spans="2:5">
      <c r="B364" s="16"/>
      <c r="C364" s="16"/>
      <c r="D364" s="16"/>
      <c r="E364" s="16"/>
    </row>
    <row r="365" spans="2:5">
      <c r="B365" s="16"/>
      <c r="C365" s="16"/>
      <c r="D365" s="16"/>
      <c r="E365" s="16"/>
    </row>
    <row r="366" spans="2:5">
      <c r="B366" s="16"/>
      <c r="C366" s="16"/>
      <c r="D366" s="16"/>
      <c r="E366" s="16"/>
    </row>
    <row r="367" spans="2:5">
      <c r="B367" s="16"/>
      <c r="C367" s="16"/>
      <c r="D367" s="16"/>
      <c r="E367" s="16"/>
    </row>
    <row r="368" spans="2:5">
      <c r="B368" s="16"/>
      <c r="C368" s="16"/>
      <c r="D368" s="16"/>
      <c r="E368" s="16"/>
    </row>
    <row r="369" spans="2:5">
      <c r="B369" s="16"/>
      <c r="C369" s="16"/>
      <c r="D369" s="16"/>
      <c r="E369" s="16"/>
    </row>
    <row r="370" spans="2:5">
      <c r="B370" s="16"/>
      <c r="C370" s="16"/>
      <c r="D370" s="16"/>
      <c r="E370" s="16"/>
    </row>
    <row r="371" spans="2:5">
      <c r="B371" s="16"/>
      <c r="C371" s="16"/>
      <c r="D371" s="16"/>
      <c r="E371" s="16"/>
    </row>
    <row r="372" spans="2:5">
      <c r="B372" s="16"/>
      <c r="C372" s="16"/>
      <c r="D372" s="16"/>
      <c r="E372" s="16"/>
    </row>
    <row r="373" spans="2:5">
      <c r="B373" s="16"/>
      <c r="C373" s="16"/>
      <c r="D373" s="16"/>
      <c r="E373" s="16"/>
    </row>
    <row r="374" spans="2:5">
      <c r="B374" s="16"/>
      <c r="C374" s="16"/>
      <c r="D374" s="16"/>
      <c r="E374" s="16"/>
    </row>
    <row r="375" spans="2:5">
      <c r="B375" s="16"/>
      <c r="C375" s="16"/>
      <c r="D375" s="16"/>
      <c r="E375" s="16"/>
    </row>
    <row r="376" spans="2:5">
      <c r="B376" s="16"/>
      <c r="C376" s="16"/>
      <c r="D376" s="16"/>
      <c r="E376" s="16"/>
    </row>
    <row r="377" spans="2:5">
      <c r="B377" s="16"/>
      <c r="C377" s="16"/>
      <c r="D377" s="16"/>
      <c r="E377" s="16"/>
    </row>
    <row r="378" spans="2:5">
      <c r="B378" s="16"/>
      <c r="C378" s="16"/>
      <c r="D378" s="16"/>
      <c r="E378" s="16"/>
    </row>
    <row r="379" spans="2:5">
      <c r="B379" s="16"/>
      <c r="C379" s="16"/>
      <c r="D379" s="16"/>
      <c r="E379" s="16"/>
    </row>
    <row r="380" spans="2:5">
      <c r="B380" s="16"/>
      <c r="C380" s="16"/>
      <c r="D380" s="16"/>
      <c r="E380" s="16"/>
    </row>
    <row r="381" spans="2:5">
      <c r="B381" s="16"/>
      <c r="C381" s="16"/>
      <c r="D381" s="16"/>
      <c r="E381" s="16"/>
    </row>
    <row r="382" spans="2:5">
      <c r="B382" s="16"/>
      <c r="C382" s="16"/>
      <c r="D382" s="16"/>
      <c r="E382" s="16"/>
    </row>
    <row r="383" spans="2:5">
      <c r="B383" s="16"/>
      <c r="C383" s="16"/>
      <c r="D383" s="16"/>
      <c r="E383" s="16"/>
    </row>
    <row r="384" spans="2:5">
      <c r="B384" s="16"/>
      <c r="C384" s="16"/>
      <c r="D384" s="16"/>
      <c r="E384" s="16"/>
    </row>
    <row r="385" spans="2:5">
      <c r="B385" s="16"/>
      <c r="C385" s="16"/>
      <c r="D385" s="16"/>
      <c r="E385" s="16"/>
    </row>
    <row r="386" spans="2:5">
      <c r="B386" s="16"/>
      <c r="C386" s="16"/>
      <c r="D386" s="16"/>
      <c r="E386" s="16"/>
    </row>
    <row r="387" spans="2:5">
      <c r="B387" s="16"/>
      <c r="C387" s="16"/>
      <c r="D387" s="16"/>
      <c r="E387" s="16"/>
    </row>
    <row r="388" spans="2:5">
      <c r="B388" s="16"/>
      <c r="C388" s="16"/>
      <c r="D388" s="16"/>
      <c r="E388" s="16"/>
    </row>
    <row r="389" spans="2:5">
      <c r="B389" s="16"/>
      <c r="C389" s="16"/>
      <c r="D389" s="16"/>
      <c r="E389" s="16"/>
    </row>
    <row r="390" spans="2:5">
      <c r="B390" s="16"/>
      <c r="C390" s="16"/>
      <c r="D390" s="16"/>
      <c r="E390" s="16"/>
    </row>
    <row r="391" spans="2:5">
      <c r="B391" s="16"/>
      <c r="C391" s="16"/>
      <c r="D391" s="16"/>
      <c r="E391" s="16"/>
    </row>
    <row r="392" spans="2:5">
      <c r="B392" s="16"/>
      <c r="C392" s="16"/>
      <c r="D392" s="16"/>
      <c r="E392" s="16"/>
    </row>
    <row r="393" spans="2:5">
      <c r="B393" s="16"/>
      <c r="C393" s="16"/>
      <c r="D393" s="16"/>
      <c r="E393" s="16"/>
    </row>
    <row r="394" spans="2:5">
      <c r="B394" s="16"/>
      <c r="C394" s="16"/>
      <c r="D394" s="16"/>
      <c r="E394" s="16"/>
    </row>
    <row r="395" spans="2:5">
      <c r="B395" s="16"/>
      <c r="C395" s="16"/>
      <c r="D395" s="16"/>
      <c r="E395" s="16"/>
    </row>
    <row r="396" spans="2:5">
      <c r="B396" s="16"/>
      <c r="C396" s="16"/>
      <c r="D396" s="16"/>
      <c r="E396" s="16"/>
    </row>
    <row r="397" spans="2:5">
      <c r="B397" s="16"/>
      <c r="C397" s="16"/>
      <c r="D397" s="16"/>
      <c r="E397" s="16"/>
    </row>
    <row r="398" spans="2:5">
      <c r="B398" s="16"/>
      <c r="C398" s="16"/>
      <c r="D398" s="16"/>
      <c r="E398" s="16"/>
    </row>
    <row r="399" spans="2:5">
      <c r="B399" s="16"/>
      <c r="C399" s="16"/>
      <c r="D399" s="16"/>
      <c r="E399" s="16"/>
    </row>
    <row r="400" spans="2:5">
      <c r="B400" s="16"/>
      <c r="C400" s="16"/>
      <c r="D400" s="16"/>
      <c r="E400" s="16"/>
    </row>
    <row r="401" spans="2:5">
      <c r="B401" s="16"/>
      <c r="C401" s="16"/>
      <c r="D401" s="16"/>
      <c r="E401" s="16"/>
    </row>
    <row r="402" spans="2:5">
      <c r="B402" s="16"/>
      <c r="C402" s="16"/>
      <c r="D402" s="16"/>
      <c r="E402" s="16"/>
    </row>
    <row r="403" spans="2:5">
      <c r="B403" s="16"/>
      <c r="C403" s="16"/>
      <c r="D403" s="16"/>
      <c r="E403" s="16"/>
    </row>
    <row r="404" spans="2:5">
      <c r="B404" s="16"/>
      <c r="C404" s="16"/>
      <c r="D404" s="16"/>
      <c r="E404" s="16"/>
    </row>
    <row r="405" spans="2:5">
      <c r="B405" s="16"/>
      <c r="C405" s="16"/>
      <c r="D405" s="16"/>
      <c r="E405" s="16"/>
    </row>
    <row r="406" spans="2:5">
      <c r="B406" s="16"/>
      <c r="C406" s="16"/>
      <c r="D406" s="16"/>
      <c r="E406" s="16"/>
    </row>
    <row r="407" spans="2:5">
      <c r="B407" s="16"/>
      <c r="C407" s="16"/>
      <c r="D407" s="16"/>
      <c r="E407" s="16"/>
    </row>
    <row r="408" spans="2:5">
      <c r="B408" s="16"/>
      <c r="C408" s="16"/>
      <c r="D408" s="16"/>
      <c r="E408" s="16"/>
    </row>
    <row r="409" spans="2:5">
      <c r="B409" s="16"/>
      <c r="C409" s="16"/>
      <c r="D409" s="16"/>
      <c r="E409" s="16"/>
    </row>
    <row r="410" spans="2:5">
      <c r="B410" s="16"/>
      <c r="C410" s="16"/>
      <c r="D410" s="16"/>
      <c r="E410" s="16"/>
    </row>
    <row r="411" spans="2:5">
      <c r="B411" s="16"/>
      <c r="C411" s="16"/>
      <c r="D411" s="16"/>
      <c r="E411" s="16"/>
    </row>
    <row r="412" spans="2:5">
      <c r="B412" s="16"/>
      <c r="C412" s="16"/>
      <c r="D412" s="16"/>
      <c r="E412" s="16"/>
    </row>
    <row r="413" spans="2:5">
      <c r="B413" s="16"/>
      <c r="C413" s="16"/>
      <c r="D413" s="16"/>
      <c r="E413" s="16"/>
    </row>
    <row r="414" spans="2:5">
      <c r="B414" s="16"/>
      <c r="C414" s="16"/>
      <c r="D414" s="16"/>
      <c r="E414" s="16"/>
    </row>
    <row r="415" spans="2:5">
      <c r="B415" s="16"/>
      <c r="C415" s="16"/>
      <c r="D415" s="16"/>
      <c r="E415" s="16"/>
    </row>
    <row r="416" spans="2:5">
      <c r="B416" s="16"/>
      <c r="C416" s="16"/>
      <c r="D416" s="16"/>
      <c r="E416" s="16"/>
    </row>
    <row r="417" spans="2:5">
      <c r="B417" s="16"/>
      <c r="C417" s="16"/>
      <c r="D417" s="16"/>
      <c r="E417" s="16"/>
    </row>
    <row r="418" spans="2:5">
      <c r="B418" s="16"/>
      <c r="C418" s="16"/>
      <c r="D418" s="16"/>
      <c r="E418" s="16"/>
    </row>
    <row r="419" spans="2:5">
      <c r="B419" s="16"/>
      <c r="C419" s="16"/>
      <c r="D419" s="16"/>
      <c r="E419" s="16"/>
    </row>
    <row r="420" spans="2:5">
      <c r="B420" s="16"/>
      <c r="C420" s="16"/>
      <c r="D420" s="16"/>
      <c r="E420" s="16"/>
    </row>
    <row r="421" spans="2:5">
      <c r="B421" s="16"/>
      <c r="C421" s="16"/>
      <c r="D421" s="16"/>
      <c r="E421" s="16"/>
    </row>
    <row r="422" spans="2:5">
      <c r="B422" s="16"/>
      <c r="C422" s="16"/>
      <c r="D422" s="16"/>
      <c r="E422" s="16"/>
    </row>
    <row r="423" spans="2:5">
      <c r="B423" s="16"/>
      <c r="C423" s="16"/>
      <c r="D423" s="16"/>
      <c r="E423" s="16"/>
    </row>
    <row r="424" spans="2:5">
      <c r="B424" s="16"/>
      <c r="C424" s="16"/>
      <c r="D424" s="16"/>
      <c r="E424" s="16"/>
    </row>
    <row r="425" spans="2:5">
      <c r="B425" s="16"/>
      <c r="C425" s="16"/>
      <c r="D425" s="16"/>
      <c r="E425" s="16"/>
    </row>
    <row r="426" spans="2:5">
      <c r="B426" s="16"/>
      <c r="C426" s="16"/>
      <c r="D426" s="16"/>
      <c r="E426" s="16"/>
    </row>
    <row r="427" spans="2:5">
      <c r="B427" s="16"/>
      <c r="C427" s="16"/>
      <c r="D427" s="16"/>
      <c r="E427" s="16"/>
    </row>
    <row r="428" spans="2:5">
      <c r="B428" s="16"/>
      <c r="C428" s="16"/>
      <c r="D428" s="16"/>
      <c r="E428" s="16"/>
    </row>
    <row r="429" spans="2:5">
      <c r="B429" s="16"/>
      <c r="C429" s="16"/>
      <c r="D429" s="16"/>
      <c r="E429" s="16"/>
    </row>
    <row r="430" spans="2:5">
      <c r="B430" s="16"/>
      <c r="C430" s="16"/>
      <c r="D430" s="16"/>
      <c r="E430" s="16"/>
    </row>
    <row r="431" spans="2:5">
      <c r="B431" s="16"/>
      <c r="C431" s="16"/>
      <c r="D431" s="16"/>
      <c r="E431" s="16"/>
    </row>
    <row r="432" spans="2:5">
      <c r="B432" s="16"/>
      <c r="C432" s="16"/>
      <c r="D432" s="16"/>
      <c r="E432" s="16"/>
    </row>
    <row r="433" spans="2:5">
      <c r="B433" s="16"/>
      <c r="C433" s="16"/>
      <c r="D433" s="16"/>
      <c r="E433" s="16"/>
    </row>
    <row r="434" spans="2:5">
      <c r="B434" s="16"/>
      <c r="C434" s="16"/>
      <c r="D434" s="16"/>
      <c r="E434" s="16"/>
    </row>
    <row r="435" spans="2:5">
      <c r="B435" s="16"/>
      <c r="C435" s="16"/>
      <c r="D435" s="16"/>
      <c r="E435" s="16"/>
    </row>
    <row r="436" spans="2:5">
      <c r="B436" s="16"/>
      <c r="C436" s="16"/>
      <c r="D436" s="16"/>
      <c r="E436" s="16"/>
    </row>
    <row r="437" spans="2:5">
      <c r="B437" s="16"/>
      <c r="C437" s="16"/>
      <c r="D437" s="16"/>
      <c r="E437" s="16"/>
    </row>
    <row r="438" spans="2:5">
      <c r="B438" s="16"/>
      <c r="C438" s="16"/>
      <c r="D438" s="16"/>
      <c r="E438" s="16"/>
    </row>
    <row r="439" spans="2:5">
      <c r="B439" s="16"/>
      <c r="C439" s="16"/>
      <c r="D439" s="16"/>
      <c r="E439" s="16"/>
    </row>
    <row r="440" spans="2:5">
      <c r="B440" s="16"/>
      <c r="C440" s="16"/>
      <c r="D440" s="16"/>
      <c r="E440" s="16"/>
    </row>
    <row r="441" spans="2:5">
      <c r="B441" s="16"/>
      <c r="C441" s="16"/>
      <c r="D441" s="16"/>
      <c r="E441" s="16"/>
    </row>
    <row r="442" spans="2:5">
      <c r="B442" s="16"/>
      <c r="C442" s="16"/>
      <c r="D442" s="16"/>
      <c r="E442" s="16"/>
    </row>
    <row r="443" spans="2:5">
      <c r="B443" s="16"/>
      <c r="C443" s="16"/>
      <c r="D443" s="16"/>
      <c r="E443" s="16"/>
    </row>
    <row r="444" spans="2:5">
      <c r="B444" s="16"/>
      <c r="C444" s="16"/>
      <c r="D444" s="16"/>
      <c r="E444" s="16"/>
    </row>
    <row r="445" spans="2:5">
      <c r="B445" s="16"/>
      <c r="C445" s="16"/>
      <c r="D445" s="16"/>
      <c r="E445" s="16"/>
    </row>
    <row r="446" spans="2:5">
      <c r="B446" s="16"/>
      <c r="C446" s="16"/>
      <c r="D446" s="16"/>
      <c r="E446" s="16"/>
    </row>
    <row r="447" spans="2:5">
      <c r="B447" s="16"/>
      <c r="C447" s="16"/>
      <c r="D447" s="16"/>
      <c r="E447" s="16"/>
    </row>
    <row r="448" spans="2:5">
      <c r="B448" s="16"/>
      <c r="C448" s="16"/>
      <c r="D448" s="16"/>
      <c r="E448" s="16"/>
    </row>
    <row r="449" spans="2:5">
      <c r="B449" s="16"/>
      <c r="C449" s="16"/>
      <c r="D449" s="16"/>
      <c r="E449" s="16"/>
    </row>
    <row r="450" spans="2:5">
      <c r="B450" s="16"/>
      <c r="C450" s="16"/>
      <c r="D450" s="16"/>
      <c r="E450" s="16"/>
    </row>
    <row r="451" spans="2:5">
      <c r="B451" s="16"/>
      <c r="C451" s="16"/>
      <c r="D451" s="16"/>
      <c r="E451" s="16"/>
    </row>
    <row r="452" spans="2:5">
      <c r="B452" s="16"/>
      <c r="C452" s="16"/>
      <c r="D452" s="16"/>
      <c r="E452" s="16"/>
    </row>
    <row r="453" spans="2:5">
      <c r="B453" s="16"/>
      <c r="C453" s="16"/>
      <c r="D453" s="16"/>
      <c r="E453" s="16"/>
    </row>
    <row r="454" spans="2:5">
      <c r="B454" s="16"/>
      <c r="C454" s="16"/>
      <c r="D454" s="16"/>
      <c r="E454" s="16"/>
    </row>
    <row r="455" spans="2:5">
      <c r="B455" s="16"/>
      <c r="C455" s="16"/>
      <c r="D455" s="16"/>
      <c r="E455" s="16"/>
    </row>
    <row r="456" spans="2:5">
      <c r="B456" s="16"/>
      <c r="C456" s="16"/>
      <c r="D456" s="16"/>
      <c r="E456" s="16"/>
    </row>
    <row r="457" spans="2:5">
      <c r="B457" s="16"/>
      <c r="C457" s="16"/>
      <c r="D457" s="16"/>
      <c r="E457" s="16"/>
    </row>
    <row r="458" spans="2:5">
      <c r="B458" s="16"/>
      <c r="C458" s="16"/>
      <c r="D458" s="16"/>
      <c r="E458" s="16"/>
    </row>
    <row r="459" spans="2:5">
      <c r="B459" s="16"/>
      <c r="C459" s="16"/>
      <c r="D459" s="16"/>
      <c r="E459" s="16"/>
    </row>
    <row r="460" spans="2:5">
      <c r="B460" s="16"/>
      <c r="C460" s="16"/>
      <c r="D460" s="16"/>
      <c r="E460" s="16"/>
    </row>
    <row r="461" spans="2:5">
      <c r="B461" s="16"/>
      <c r="C461" s="16"/>
      <c r="D461" s="16"/>
      <c r="E461" s="16"/>
    </row>
    <row r="462" spans="2:5">
      <c r="B462" s="16"/>
      <c r="C462" s="16"/>
      <c r="D462" s="16"/>
      <c r="E462" s="16"/>
    </row>
    <row r="463" spans="2:5">
      <c r="B463" s="16"/>
      <c r="C463" s="16"/>
      <c r="D463" s="16"/>
      <c r="E463" s="16"/>
    </row>
    <row r="464" spans="2:5">
      <c r="B464" s="16"/>
      <c r="C464" s="16"/>
      <c r="D464" s="16"/>
      <c r="E464" s="16"/>
    </row>
    <row r="465" spans="2:5">
      <c r="B465" s="16"/>
      <c r="C465" s="16"/>
      <c r="D465" s="16"/>
      <c r="E465" s="16"/>
    </row>
    <row r="466" spans="2:5">
      <c r="B466" s="16"/>
      <c r="C466" s="16"/>
      <c r="D466" s="16"/>
      <c r="E466" s="16"/>
    </row>
    <row r="467" spans="2:5">
      <c r="B467" s="16"/>
      <c r="C467" s="16"/>
      <c r="D467" s="16"/>
      <c r="E467" s="16"/>
    </row>
    <row r="468" spans="2:5">
      <c r="B468" s="16"/>
      <c r="C468" s="16"/>
      <c r="D468" s="16"/>
      <c r="E468" s="16"/>
    </row>
    <row r="469" spans="2:5">
      <c r="B469" s="16"/>
      <c r="C469" s="16"/>
      <c r="D469" s="16"/>
      <c r="E469" s="16"/>
    </row>
    <row r="470" spans="2:5">
      <c r="B470" s="16"/>
      <c r="C470" s="16"/>
      <c r="D470" s="16"/>
      <c r="E470" s="16"/>
    </row>
    <row r="471" spans="2:5">
      <c r="B471" s="16"/>
      <c r="C471" s="16"/>
      <c r="D471" s="16"/>
      <c r="E471" s="16"/>
    </row>
    <row r="472" spans="2:5">
      <c r="B472" s="16"/>
      <c r="C472" s="16"/>
      <c r="D472" s="16"/>
      <c r="E472" s="16"/>
    </row>
    <row r="473" spans="2:5">
      <c r="B473" s="16"/>
      <c r="C473" s="16"/>
      <c r="D473" s="16"/>
      <c r="E473" s="16"/>
    </row>
    <row r="474" spans="2:5">
      <c r="B474" s="16"/>
      <c r="C474" s="16"/>
      <c r="D474" s="16"/>
      <c r="E474" s="16"/>
    </row>
    <row r="475" spans="2:5">
      <c r="B475" s="16"/>
      <c r="C475" s="16"/>
      <c r="D475" s="16"/>
      <c r="E475" s="16"/>
    </row>
    <row r="476" spans="2:5">
      <c r="B476" s="16"/>
      <c r="C476" s="16"/>
      <c r="D476" s="16"/>
      <c r="E476" s="16"/>
    </row>
    <row r="477" spans="2:5">
      <c r="B477" s="16"/>
      <c r="C477" s="16"/>
      <c r="D477" s="16"/>
      <c r="E477" s="16"/>
    </row>
    <row r="478" spans="2:5">
      <c r="B478" s="16"/>
      <c r="C478" s="16"/>
      <c r="D478" s="16"/>
      <c r="E478" s="16"/>
    </row>
    <row r="479" spans="2:5">
      <c r="B479" s="16"/>
      <c r="C479" s="16"/>
      <c r="D479" s="16"/>
      <c r="E479" s="16"/>
    </row>
    <row r="480" spans="2:5">
      <c r="B480" s="16"/>
      <c r="C480" s="16"/>
      <c r="D480" s="16"/>
      <c r="E480" s="16"/>
    </row>
    <row r="481" spans="2:5">
      <c r="B481" s="16"/>
      <c r="C481" s="16"/>
      <c r="D481" s="16"/>
      <c r="E481" s="16"/>
    </row>
    <row r="482" spans="2:5">
      <c r="B482" s="16"/>
      <c r="C482" s="16"/>
      <c r="D482" s="16"/>
      <c r="E482" s="16"/>
    </row>
    <row r="483" spans="2:5">
      <c r="B483" s="16"/>
      <c r="C483" s="16"/>
      <c r="D483" s="16"/>
      <c r="E483" s="16"/>
    </row>
    <row r="484" spans="2:5">
      <c r="B484" s="16"/>
      <c r="C484" s="16"/>
      <c r="D484" s="16"/>
      <c r="E484" s="16"/>
    </row>
    <row r="485" spans="2:5">
      <c r="B485" s="16"/>
      <c r="C485" s="16"/>
      <c r="D485" s="16"/>
      <c r="E485" s="16"/>
    </row>
    <row r="486" spans="2:5">
      <c r="B486" s="16"/>
      <c r="C486" s="16"/>
      <c r="D486" s="16"/>
      <c r="E486" s="16"/>
    </row>
    <row r="487" spans="2:5">
      <c r="B487" s="16"/>
      <c r="C487" s="16"/>
      <c r="D487" s="16"/>
      <c r="E487" s="16"/>
    </row>
    <row r="488" spans="2:5">
      <c r="B488" s="16"/>
      <c r="C488" s="16"/>
      <c r="D488" s="16"/>
      <c r="E488" s="16"/>
    </row>
    <row r="489" spans="2:5">
      <c r="B489" s="16"/>
      <c r="C489" s="16"/>
      <c r="D489" s="16"/>
      <c r="E489" s="16"/>
    </row>
    <row r="490" spans="2:5">
      <c r="B490" s="16"/>
      <c r="C490" s="16"/>
      <c r="D490" s="16"/>
      <c r="E490" s="16"/>
    </row>
    <row r="491" spans="2:5">
      <c r="B491" s="16"/>
      <c r="C491" s="16"/>
      <c r="D491" s="16"/>
      <c r="E491" s="16"/>
    </row>
    <row r="492" spans="2:5">
      <c r="B492" s="16"/>
      <c r="C492" s="16"/>
      <c r="D492" s="16"/>
      <c r="E492" s="16"/>
    </row>
    <row r="493" spans="2:5">
      <c r="B493" s="16"/>
      <c r="C493" s="16"/>
      <c r="D493" s="16"/>
      <c r="E493" s="16"/>
    </row>
    <row r="494" spans="2:5">
      <c r="B494" s="16"/>
      <c r="C494" s="16"/>
      <c r="D494" s="16"/>
      <c r="E494" s="16"/>
    </row>
    <row r="495" spans="2:5">
      <c r="B495" s="16"/>
      <c r="C495" s="16"/>
      <c r="D495" s="16"/>
      <c r="E495" s="16"/>
    </row>
    <row r="496" spans="2:5">
      <c r="B496" s="16"/>
      <c r="C496" s="16"/>
      <c r="D496" s="16"/>
      <c r="E496" s="16"/>
    </row>
    <row r="497" spans="2:5">
      <c r="B497" s="16"/>
      <c r="C497" s="16"/>
      <c r="D497" s="16"/>
      <c r="E497" s="16"/>
    </row>
    <row r="498" spans="2:5">
      <c r="B498" s="16"/>
      <c r="C498" s="16"/>
      <c r="D498" s="16"/>
      <c r="E498" s="16"/>
    </row>
    <row r="499" spans="2:5">
      <c r="B499" s="16"/>
      <c r="C499" s="16"/>
      <c r="D499" s="16"/>
      <c r="E499" s="16"/>
    </row>
    <row r="500" spans="2:5">
      <c r="B500" s="16"/>
      <c r="C500" s="16"/>
      <c r="D500" s="16"/>
      <c r="E500" s="16"/>
    </row>
    <row r="501" spans="2:5">
      <c r="B501" s="16"/>
      <c r="C501" s="16"/>
      <c r="D501" s="16"/>
      <c r="E501" s="16"/>
    </row>
    <row r="502" spans="2:5">
      <c r="B502" s="16"/>
      <c r="C502" s="16"/>
      <c r="D502" s="16"/>
      <c r="E502" s="16"/>
    </row>
    <row r="503" spans="2:5">
      <c r="B503" s="16"/>
      <c r="C503" s="16"/>
      <c r="D503" s="16"/>
      <c r="E503" s="16"/>
    </row>
    <row r="504" spans="2:5">
      <c r="B504" s="16"/>
      <c r="C504" s="16"/>
      <c r="D504" s="16"/>
      <c r="E504" s="16"/>
    </row>
    <row r="505" spans="2:5">
      <c r="B505" s="16"/>
      <c r="C505" s="16"/>
      <c r="D505" s="16"/>
      <c r="E505" s="16"/>
    </row>
    <row r="506" spans="2:5">
      <c r="B506" s="16"/>
      <c r="C506" s="16"/>
      <c r="D506" s="16"/>
      <c r="E506" s="16"/>
    </row>
    <row r="507" spans="2:5">
      <c r="B507" s="16"/>
      <c r="C507" s="16"/>
      <c r="D507" s="16"/>
      <c r="E507" s="16"/>
    </row>
    <row r="508" spans="2:5">
      <c r="B508" s="16"/>
      <c r="C508" s="16"/>
      <c r="D508" s="16"/>
      <c r="E508" s="16"/>
    </row>
    <row r="509" spans="2:5">
      <c r="B509" s="16"/>
      <c r="C509" s="16"/>
      <c r="D509" s="16"/>
      <c r="E509" s="16"/>
    </row>
    <row r="510" spans="2:5">
      <c r="B510" s="16"/>
      <c r="C510" s="16"/>
      <c r="D510" s="16"/>
      <c r="E510" s="16"/>
    </row>
    <row r="511" spans="2:5">
      <c r="B511" s="16"/>
      <c r="C511" s="16"/>
      <c r="D511" s="16"/>
      <c r="E511" s="16"/>
    </row>
    <row r="512" spans="2:5">
      <c r="B512" s="16"/>
      <c r="C512" s="16"/>
      <c r="D512" s="16"/>
      <c r="E512" s="16"/>
    </row>
    <row r="513" spans="2:5">
      <c r="B513" s="16"/>
      <c r="C513" s="16"/>
      <c r="D513" s="16"/>
      <c r="E513" s="16"/>
    </row>
    <row r="514" spans="2:5">
      <c r="B514" s="16"/>
      <c r="C514" s="16"/>
      <c r="D514" s="16"/>
      <c r="E514" s="16"/>
    </row>
    <row r="515" spans="2:5">
      <c r="B515" s="16"/>
      <c r="C515" s="16"/>
      <c r="D515" s="16"/>
      <c r="E515" s="16"/>
    </row>
    <row r="516" spans="2:5">
      <c r="B516" s="16"/>
      <c r="C516" s="16"/>
      <c r="D516" s="16"/>
      <c r="E516" s="16"/>
    </row>
    <row r="517" spans="2:5">
      <c r="B517" s="16"/>
      <c r="C517" s="16"/>
      <c r="D517" s="16"/>
      <c r="E517" s="16"/>
    </row>
    <row r="518" spans="2:5">
      <c r="B518" s="16"/>
      <c r="C518" s="16"/>
      <c r="D518" s="16"/>
      <c r="E518" s="16"/>
    </row>
    <row r="519" spans="2:5">
      <c r="B519" s="16"/>
      <c r="C519" s="16"/>
      <c r="D519" s="16"/>
      <c r="E519" s="16"/>
    </row>
    <row r="520" spans="2:5">
      <c r="B520" s="16"/>
      <c r="C520" s="16"/>
      <c r="D520" s="16"/>
      <c r="E520" s="16"/>
    </row>
    <row r="521" spans="2:5">
      <c r="B521" s="16"/>
      <c r="C521" s="16"/>
      <c r="D521" s="16"/>
      <c r="E521" s="16"/>
    </row>
    <row r="522" spans="2:5">
      <c r="B522" s="16"/>
      <c r="C522" s="16"/>
      <c r="D522" s="16"/>
      <c r="E522" s="16"/>
    </row>
    <row r="523" spans="2:5">
      <c r="B523" s="16"/>
      <c r="C523" s="16"/>
      <c r="D523" s="16"/>
      <c r="E523" s="16"/>
    </row>
    <row r="524" spans="2:5">
      <c r="B524" s="16"/>
      <c r="C524" s="16"/>
      <c r="D524" s="16"/>
      <c r="E524" s="16"/>
    </row>
    <row r="525" spans="2:5">
      <c r="B525" s="16"/>
      <c r="C525" s="16"/>
      <c r="D525" s="16"/>
      <c r="E525" s="16"/>
    </row>
    <row r="526" spans="2:5">
      <c r="B526" s="16"/>
      <c r="C526" s="16"/>
      <c r="D526" s="16"/>
      <c r="E526" s="16"/>
    </row>
    <row r="527" spans="2:5">
      <c r="B527" s="16"/>
      <c r="C527" s="16"/>
      <c r="D527" s="16"/>
      <c r="E527" s="16"/>
    </row>
    <row r="528" spans="2:5">
      <c r="B528" s="16"/>
      <c r="C528" s="16"/>
      <c r="D528" s="16"/>
      <c r="E528" s="16"/>
    </row>
    <row r="529" spans="2:5">
      <c r="B529" s="16"/>
      <c r="C529" s="16"/>
      <c r="D529" s="16"/>
      <c r="E529" s="16"/>
    </row>
    <row r="530" spans="2:5">
      <c r="B530" s="16"/>
      <c r="C530" s="16"/>
      <c r="D530" s="16"/>
      <c r="E530" s="16"/>
    </row>
    <row r="531" spans="2:5">
      <c r="B531" s="16"/>
      <c r="C531" s="16"/>
      <c r="D531" s="16"/>
      <c r="E531" s="16"/>
    </row>
    <row r="532" spans="2:5">
      <c r="B532" s="16"/>
      <c r="C532" s="16"/>
      <c r="D532" s="16"/>
      <c r="E532" s="16"/>
    </row>
    <row r="533" spans="2:5">
      <c r="B533" s="16"/>
      <c r="C533" s="16"/>
      <c r="D533" s="16"/>
      <c r="E533" s="16"/>
    </row>
    <row r="534" spans="2:5">
      <c r="B534" s="16"/>
      <c r="C534" s="16"/>
      <c r="D534" s="16"/>
      <c r="E534" s="16"/>
    </row>
    <row r="535" spans="2:5">
      <c r="B535" s="16"/>
      <c r="C535" s="16"/>
      <c r="D535" s="16"/>
      <c r="E535" s="16"/>
    </row>
    <row r="536" spans="2:5">
      <c r="B536" s="16"/>
      <c r="C536" s="16"/>
      <c r="D536" s="16"/>
      <c r="E536" s="16"/>
    </row>
    <row r="537" spans="2:5">
      <c r="B537" s="16"/>
      <c r="C537" s="16"/>
      <c r="D537" s="16"/>
      <c r="E537" s="16"/>
    </row>
    <row r="538" spans="2:5">
      <c r="B538" s="16"/>
      <c r="C538" s="16"/>
      <c r="D538" s="16"/>
      <c r="E538" s="16"/>
    </row>
    <row r="539" spans="2:5">
      <c r="B539" s="16"/>
      <c r="C539" s="16"/>
      <c r="D539" s="16"/>
      <c r="E539" s="16"/>
    </row>
    <row r="540" spans="2:5">
      <c r="B540" s="16"/>
      <c r="C540" s="16"/>
      <c r="D540" s="16"/>
      <c r="E540" s="16"/>
    </row>
    <row r="541" spans="2:5">
      <c r="B541" s="16"/>
      <c r="C541" s="16"/>
      <c r="D541" s="16"/>
      <c r="E541" s="16"/>
    </row>
    <row r="542" spans="2:5">
      <c r="B542" s="16"/>
      <c r="C542" s="16"/>
      <c r="D542" s="16"/>
      <c r="E542" s="16"/>
    </row>
    <row r="543" spans="2:5">
      <c r="B543" s="16"/>
      <c r="C543" s="16"/>
      <c r="D543" s="16"/>
      <c r="E543" s="16"/>
    </row>
    <row r="544" spans="2:5">
      <c r="B544" s="16"/>
      <c r="C544" s="16"/>
      <c r="D544" s="16"/>
      <c r="E544" s="16"/>
    </row>
    <row r="545" spans="2:5">
      <c r="B545" s="16"/>
      <c r="C545" s="16"/>
      <c r="D545" s="16"/>
      <c r="E545" s="16"/>
    </row>
    <row r="546" spans="2:5">
      <c r="B546" s="16"/>
      <c r="C546" s="16"/>
      <c r="D546" s="16"/>
      <c r="E546" s="16"/>
    </row>
    <row r="547" spans="2:5">
      <c r="B547" s="16"/>
      <c r="C547" s="16"/>
      <c r="D547" s="16"/>
      <c r="E547" s="16"/>
    </row>
    <row r="548" spans="2:5">
      <c r="B548" s="16"/>
      <c r="C548" s="16"/>
      <c r="D548" s="16"/>
      <c r="E548" s="16"/>
    </row>
    <row r="549" spans="2:5">
      <c r="B549" s="16"/>
      <c r="C549" s="16"/>
      <c r="D549" s="16"/>
      <c r="E549" s="16"/>
    </row>
    <row r="550" spans="2:5">
      <c r="B550" s="16"/>
      <c r="C550" s="16"/>
      <c r="D550" s="16"/>
      <c r="E550" s="16"/>
    </row>
    <row r="551" spans="2:5">
      <c r="B551" s="16"/>
      <c r="C551" s="16"/>
      <c r="D551" s="16"/>
      <c r="E551" s="16"/>
    </row>
    <row r="552" spans="2:5">
      <c r="B552" s="16"/>
      <c r="C552" s="16"/>
      <c r="D552" s="16"/>
      <c r="E552" s="16"/>
    </row>
    <row r="553" spans="2:5">
      <c r="B553" s="16"/>
      <c r="C553" s="16"/>
      <c r="D553" s="16"/>
      <c r="E553" s="16"/>
    </row>
    <row r="554" spans="2:5">
      <c r="B554" s="16"/>
      <c r="C554" s="16"/>
      <c r="D554" s="16"/>
      <c r="E554" s="16"/>
    </row>
    <row r="555" spans="2:5">
      <c r="B555" s="16"/>
      <c r="C555" s="16"/>
      <c r="D555" s="16"/>
      <c r="E555" s="16"/>
    </row>
    <row r="556" spans="2:5">
      <c r="B556" s="16"/>
      <c r="C556" s="16"/>
      <c r="D556" s="16"/>
      <c r="E556" s="16"/>
    </row>
    <row r="557" spans="2:5">
      <c r="B557" s="16"/>
      <c r="C557" s="16"/>
      <c r="D557" s="16"/>
      <c r="E557" s="16"/>
    </row>
    <row r="558" spans="2:5">
      <c r="B558" s="16"/>
      <c r="C558" s="16"/>
      <c r="D558" s="16"/>
      <c r="E558" s="16"/>
    </row>
    <row r="559" spans="2:5">
      <c r="B559" s="16"/>
      <c r="C559" s="16"/>
      <c r="D559" s="16"/>
      <c r="E559" s="16"/>
    </row>
    <row r="560" spans="2:5">
      <c r="B560" s="16"/>
      <c r="C560" s="16"/>
      <c r="D560" s="16"/>
      <c r="E560" s="16"/>
    </row>
    <row r="561" spans="2:5">
      <c r="B561" s="16"/>
      <c r="C561" s="16"/>
      <c r="D561" s="16"/>
      <c r="E561" s="16"/>
    </row>
    <row r="562" spans="2:5">
      <c r="B562" s="16"/>
      <c r="C562" s="16"/>
      <c r="D562" s="16"/>
      <c r="E562" s="16"/>
    </row>
    <row r="563" spans="2:5">
      <c r="B563" s="16"/>
      <c r="C563" s="16"/>
      <c r="D563" s="16"/>
      <c r="E563" s="16"/>
    </row>
    <row r="564" spans="2:5">
      <c r="B564" s="16"/>
      <c r="C564" s="16"/>
      <c r="D564" s="16"/>
      <c r="E564" s="16"/>
    </row>
    <row r="565" spans="2:5">
      <c r="B565" s="16"/>
      <c r="C565" s="16"/>
      <c r="D565" s="16"/>
      <c r="E565" s="16"/>
    </row>
    <row r="566" spans="2:5">
      <c r="B566" s="16"/>
      <c r="C566" s="16"/>
      <c r="D566" s="16"/>
      <c r="E566" s="16"/>
    </row>
    <row r="567" spans="2:5">
      <c r="B567" s="16"/>
      <c r="C567" s="16"/>
      <c r="D567" s="16"/>
      <c r="E567" s="16"/>
    </row>
    <row r="568" spans="2:5">
      <c r="B568" s="16"/>
      <c r="C568" s="16"/>
      <c r="D568" s="16"/>
      <c r="E568" s="16"/>
    </row>
    <row r="569" spans="2:5">
      <c r="B569" s="16"/>
      <c r="C569" s="16"/>
      <c r="D569" s="16"/>
      <c r="E569" s="16"/>
    </row>
    <row r="570" spans="2:5">
      <c r="B570" s="16"/>
      <c r="C570" s="16"/>
      <c r="D570" s="16"/>
      <c r="E570" s="16"/>
    </row>
    <row r="571" spans="2:5">
      <c r="B571" s="16"/>
      <c r="C571" s="16"/>
      <c r="D571" s="16"/>
      <c r="E571" s="16"/>
    </row>
    <row r="572" spans="2:5">
      <c r="B572" s="16"/>
      <c r="C572" s="16"/>
      <c r="D572" s="16"/>
      <c r="E572" s="16"/>
    </row>
    <row r="573" spans="2:5">
      <c r="B573" s="16"/>
      <c r="C573" s="16"/>
      <c r="D573" s="16"/>
      <c r="E573" s="16"/>
    </row>
    <row r="574" spans="2:5">
      <c r="B574" s="16"/>
      <c r="C574" s="16"/>
      <c r="D574" s="16"/>
      <c r="E574" s="16"/>
    </row>
    <row r="575" spans="2:5">
      <c r="B575" s="16"/>
      <c r="C575" s="16"/>
      <c r="D575" s="16"/>
      <c r="E575" s="16"/>
    </row>
    <row r="576" spans="2:5">
      <c r="B576" s="16"/>
      <c r="C576" s="16"/>
      <c r="D576" s="16"/>
      <c r="E576" s="16"/>
    </row>
    <row r="577" spans="2:5">
      <c r="B577" s="16"/>
      <c r="C577" s="16"/>
      <c r="D577" s="16"/>
      <c r="E577" s="16"/>
    </row>
    <row r="578" spans="2:5">
      <c r="B578" s="16"/>
      <c r="C578" s="16"/>
      <c r="D578" s="16"/>
      <c r="E578" s="16"/>
    </row>
    <row r="579" spans="2:5">
      <c r="B579" s="16"/>
      <c r="C579" s="16"/>
      <c r="D579" s="16"/>
      <c r="E579" s="16"/>
    </row>
    <row r="580" spans="2:5">
      <c r="B580" s="16"/>
      <c r="C580" s="16"/>
      <c r="D580" s="16"/>
      <c r="E580" s="16"/>
    </row>
    <row r="581" spans="2:5">
      <c r="B581" s="16"/>
      <c r="C581" s="16"/>
      <c r="D581" s="16"/>
      <c r="E581" s="16"/>
    </row>
    <row r="582" spans="2:5">
      <c r="B582" s="16"/>
      <c r="C582" s="16"/>
      <c r="D582" s="16"/>
      <c r="E582" s="16"/>
    </row>
    <row r="583" spans="2:5">
      <c r="B583" s="16"/>
      <c r="C583" s="16"/>
      <c r="D583" s="16"/>
      <c r="E583" s="16"/>
    </row>
    <row r="584" spans="2:5">
      <c r="B584" s="16"/>
      <c r="C584" s="16"/>
      <c r="D584" s="16"/>
      <c r="E584" s="16"/>
    </row>
    <row r="585" spans="2:5">
      <c r="B585" s="16"/>
      <c r="C585" s="16"/>
      <c r="D585" s="16"/>
      <c r="E585" s="16"/>
    </row>
    <row r="586" spans="2:5">
      <c r="B586" s="16"/>
      <c r="C586" s="16"/>
      <c r="D586" s="16"/>
      <c r="E586" s="16"/>
    </row>
    <row r="587" spans="2:5">
      <c r="B587" s="16"/>
      <c r="C587" s="16"/>
      <c r="D587" s="16"/>
      <c r="E587" s="16"/>
    </row>
    <row r="588" spans="2:5">
      <c r="B588" s="16"/>
      <c r="C588" s="16"/>
      <c r="D588" s="16"/>
      <c r="E588" s="16"/>
    </row>
    <row r="589" spans="2:5">
      <c r="B589" s="16"/>
      <c r="C589" s="16"/>
      <c r="D589" s="16"/>
      <c r="E589" s="16"/>
    </row>
    <row r="590" spans="2:5">
      <c r="B590" s="16"/>
      <c r="C590" s="16"/>
      <c r="D590" s="16"/>
      <c r="E590" s="16"/>
    </row>
    <row r="591" spans="2:5">
      <c r="B591" s="16"/>
      <c r="C591" s="16"/>
      <c r="D591" s="16"/>
      <c r="E591" s="16"/>
    </row>
    <row r="592" spans="2:5">
      <c r="B592" s="16"/>
      <c r="C592" s="16"/>
      <c r="D592" s="16"/>
      <c r="E592" s="16"/>
    </row>
    <row r="593" spans="2:5">
      <c r="B593" s="16"/>
      <c r="C593" s="16"/>
      <c r="D593" s="16"/>
      <c r="E593" s="16"/>
    </row>
    <row r="594" spans="2:5">
      <c r="B594" s="16"/>
      <c r="C594" s="16"/>
      <c r="D594" s="16"/>
      <c r="E594" s="16"/>
    </row>
    <row r="595" spans="2:5">
      <c r="B595" s="16"/>
      <c r="C595" s="16"/>
      <c r="D595" s="16"/>
      <c r="E595" s="16"/>
    </row>
    <row r="596" spans="2:5">
      <c r="B596" s="16"/>
      <c r="C596" s="16"/>
      <c r="D596" s="16"/>
      <c r="E596" s="16"/>
    </row>
    <row r="597" spans="2:5">
      <c r="B597" s="16"/>
      <c r="C597" s="16"/>
      <c r="D597" s="16"/>
      <c r="E597" s="16"/>
    </row>
    <row r="598" spans="2:5">
      <c r="B598" s="16"/>
      <c r="C598" s="16"/>
      <c r="D598" s="16"/>
      <c r="E598" s="16"/>
    </row>
    <row r="599" spans="2:5">
      <c r="B599" s="16"/>
      <c r="C599" s="16"/>
      <c r="D599" s="16"/>
      <c r="E599" s="16"/>
    </row>
    <row r="600" spans="2:5">
      <c r="B600" s="16"/>
      <c r="C600" s="16"/>
      <c r="D600" s="16"/>
      <c r="E600" s="16"/>
    </row>
    <row r="601" spans="2:5">
      <c r="B601" s="16"/>
      <c r="C601" s="16"/>
      <c r="D601" s="16"/>
      <c r="E601" s="16"/>
    </row>
    <row r="602" spans="2:5">
      <c r="B602" s="16"/>
      <c r="C602" s="16"/>
      <c r="D602" s="16"/>
      <c r="E602" s="16"/>
    </row>
    <row r="603" spans="2:5">
      <c r="B603" s="16"/>
      <c r="C603" s="16"/>
      <c r="D603" s="16"/>
      <c r="E603" s="16"/>
    </row>
    <row r="604" spans="2:5">
      <c r="B604" s="16"/>
      <c r="C604" s="16"/>
      <c r="D604" s="16"/>
      <c r="E604" s="16"/>
    </row>
    <row r="605" spans="2:5">
      <c r="B605" s="16"/>
      <c r="C605" s="16"/>
      <c r="D605" s="16"/>
      <c r="E605" s="16"/>
    </row>
    <row r="606" spans="2:5">
      <c r="B606" s="16"/>
      <c r="C606" s="16"/>
      <c r="D606" s="16"/>
      <c r="E606" s="16"/>
    </row>
    <row r="607" spans="2:5">
      <c r="B607" s="16"/>
      <c r="C607" s="16"/>
      <c r="D607" s="16"/>
      <c r="E607" s="16"/>
    </row>
    <row r="608" spans="2:5">
      <c r="B608" s="16"/>
      <c r="C608" s="16"/>
      <c r="D608" s="16"/>
      <c r="E608" s="16"/>
    </row>
    <row r="609" spans="2:5">
      <c r="B609" s="16"/>
      <c r="C609" s="16"/>
      <c r="D609" s="16"/>
      <c r="E609" s="16"/>
    </row>
    <row r="610" spans="2:5">
      <c r="B610" s="16"/>
      <c r="C610" s="16"/>
      <c r="D610" s="16"/>
      <c r="E610" s="16"/>
    </row>
    <row r="611" spans="2:5">
      <c r="B611" s="16"/>
      <c r="C611" s="16"/>
      <c r="D611" s="16"/>
      <c r="E611" s="16"/>
    </row>
    <row r="612" spans="2:5">
      <c r="B612" s="16"/>
      <c r="C612" s="16"/>
      <c r="D612" s="16"/>
      <c r="E612" s="16"/>
    </row>
    <row r="613" spans="2:5">
      <c r="B613" s="16"/>
      <c r="C613" s="16"/>
      <c r="D613" s="16"/>
      <c r="E613" s="16"/>
    </row>
    <row r="614" spans="2:5">
      <c r="B614" s="16"/>
      <c r="C614" s="16"/>
      <c r="D614" s="16"/>
      <c r="E614" s="16"/>
    </row>
    <row r="615" spans="2:5">
      <c r="B615" s="16"/>
      <c r="C615" s="16"/>
      <c r="D615" s="16"/>
      <c r="E615" s="16"/>
    </row>
    <row r="616" spans="2:5">
      <c r="B616" s="16"/>
      <c r="C616" s="16"/>
      <c r="D616" s="16"/>
      <c r="E616" s="16"/>
    </row>
    <row r="617" spans="2:5">
      <c r="B617" s="16"/>
      <c r="C617" s="16"/>
      <c r="D617" s="16"/>
      <c r="E617" s="16"/>
    </row>
    <row r="618" spans="2:5">
      <c r="B618" s="16"/>
      <c r="C618" s="16"/>
      <c r="D618" s="16"/>
      <c r="E618" s="16"/>
    </row>
    <row r="619" spans="2:5">
      <c r="B619" s="16"/>
      <c r="C619" s="16"/>
      <c r="D619" s="16"/>
      <c r="E619" s="16"/>
    </row>
    <row r="620" spans="2:5">
      <c r="B620" s="16"/>
      <c r="C620" s="16"/>
      <c r="D620" s="16"/>
      <c r="E620" s="16"/>
    </row>
    <row r="621" spans="2:5">
      <c r="B621" s="16"/>
      <c r="C621" s="16"/>
      <c r="D621" s="16"/>
      <c r="E621" s="16"/>
    </row>
    <row r="622" spans="2:5">
      <c r="B622" s="16"/>
      <c r="C622" s="16"/>
      <c r="D622" s="16"/>
      <c r="E622" s="16"/>
    </row>
    <row r="623" spans="2:5">
      <c r="B623" s="16"/>
      <c r="C623" s="16"/>
      <c r="D623" s="16"/>
      <c r="E623" s="16"/>
    </row>
    <row r="624" spans="2:5">
      <c r="B624" s="16"/>
      <c r="C624" s="16"/>
      <c r="D624" s="16"/>
      <c r="E624" s="16"/>
    </row>
    <row r="625" spans="2:5">
      <c r="B625" s="16"/>
      <c r="C625" s="16"/>
      <c r="D625" s="16"/>
      <c r="E625" s="16"/>
    </row>
    <row r="626" spans="2:5">
      <c r="B626" s="16"/>
      <c r="C626" s="16"/>
      <c r="D626" s="16"/>
      <c r="E626" s="16"/>
    </row>
    <row r="627" spans="2:5">
      <c r="B627" s="16"/>
      <c r="C627" s="16"/>
      <c r="D627" s="16"/>
      <c r="E627" s="16"/>
    </row>
    <row r="628" spans="2:5">
      <c r="B628" s="16"/>
      <c r="C628" s="16"/>
      <c r="D628" s="16"/>
      <c r="E628" s="16"/>
    </row>
    <row r="629" spans="2:5">
      <c r="B629" s="16"/>
      <c r="C629" s="16"/>
      <c r="D629" s="16"/>
      <c r="E629" s="16"/>
    </row>
    <row r="630" spans="2:5">
      <c r="B630" s="16"/>
      <c r="C630" s="16"/>
      <c r="D630" s="16"/>
      <c r="E630" s="16"/>
    </row>
    <row r="631" spans="2:5">
      <c r="B631" s="16"/>
      <c r="C631" s="16"/>
      <c r="D631" s="16"/>
      <c r="E631" s="16"/>
    </row>
    <row r="632" spans="2:5">
      <c r="B632" s="16"/>
      <c r="C632" s="16"/>
      <c r="D632" s="16"/>
      <c r="E632" s="16"/>
    </row>
    <row r="633" spans="2:5">
      <c r="B633" s="16"/>
      <c r="C633" s="16"/>
      <c r="D633" s="16"/>
      <c r="E633" s="16"/>
    </row>
    <row r="634" spans="2:5">
      <c r="B634" s="16"/>
      <c r="C634" s="16"/>
      <c r="D634" s="16"/>
      <c r="E634" s="16"/>
    </row>
    <row r="635" spans="2:5">
      <c r="B635" s="16"/>
      <c r="C635" s="16"/>
      <c r="D635" s="16"/>
      <c r="E635" s="16"/>
    </row>
    <row r="636" spans="2:5">
      <c r="B636" s="16"/>
      <c r="C636" s="16"/>
      <c r="D636" s="16"/>
      <c r="E636" s="16"/>
    </row>
    <row r="637" spans="2:5">
      <c r="B637" s="16"/>
      <c r="C637" s="16"/>
      <c r="D637" s="16"/>
      <c r="E637" s="16"/>
    </row>
    <row r="638" spans="2:5">
      <c r="B638" s="16"/>
      <c r="C638" s="16"/>
      <c r="D638" s="16"/>
      <c r="E638" s="16"/>
    </row>
    <row r="639" spans="2:5">
      <c r="B639" s="16"/>
      <c r="C639" s="16"/>
      <c r="D639" s="16"/>
      <c r="E639" s="16"/>
    </row>
    <row r="640" spans="2:5">
      <c r="B640" s="16"/>
      <c r="C640" s="16"/>
      <c r="D640" s="16"/>
      <c r="E640" s="16"/>
    </row>
    <row r="641" spans="2:5">
      <c r="B641" s="16"/>
      <c r="C641" s="16"/>
      <c r="D641" s="16"/>
      <c r="E641" s="16"/>
    </row>
    <row r="642" spans="2:5">
      <c r="B642" s="16"/>
      <c r="C642" s="16"/>
      <c r="D642" s="16"/>
      <c r="E642" s="16"/>
    </row>
    <row r="643" spans="2:5">
      <c r="B643" s="16"/>
      <c r="C643" s="16"/>
      <c r="D643" s="16"/>
      <c r="E643" s="16"/>
    </row>
    <row r="644" spans="2:5">
      <c r="B644" s="16"/>
      <c r="C644" s="16"/>
      <c r="D644" s="16"/>
      <c r="E644" s="16"/>
    </row>
    <row r="645" spans="2:5">
      <c r="B645" s="16"/>
      <c r="C645" s="16"/>
      <c r="D645" s="16"/>
      <c r="E645" s="16"/>
    </row>
    <row r="646" spans="2:5">
      <c r="B646" s="16"/>
      <c r="C646" s="16"/>
      <c r="D646" s="16"/>
      <c r="E646" s="16"/>
    </row>
    <row r="647" spans="2:5">
      <c r="B647" s="16"/>
      <c r="C647" s="16"/>
      <c r="D647" s="16"/>
      <c r="E647" s="16"/>
    </row>
    <row r="648" spans="2:5">
      <c r="B648" s="16"/>
      <c r="C648" s="16"/>
      <c r="D648" s="16"/>
      <c r="E648" s="16"/>
    </row>
    <row r="649" spans="2:5">
      <c r="B649" s="16"/>
      <c r="C649" s="16"/>
      <c r="D649" s="16"/>
      <c r="E649" s="16"/>
    </row>
    <row r="650" spans="2:5">
      <c r="B650" s="16"/>
      <c r="C650" s="16"/>
      <c r="D650" s="16"/>
      <c r="E650" s="16"/>
    </row>
    <row r="651" spans="2:5">
      <c r="B651" s="16"/>
      <c r="C651" s="16"/>
      <c r="D651" s="16"/>
      <c r="E651" s="16"/>
    </row>
    <row r="652" spans="2:5">
      <c r="B652" s="16"/>
      <c r="C652" s="16"/>
      <c r="D652" s="16"/>
      <c r="E652" s="16"/>
    </row>
    <row r="653" spans="2:5">
      <c r="B653" s="16"/>
      <c r="C653" s="16"/>
      <c r="D653" s="16"/>
      <c r="E653" s="16"/>
    </row>
    <row r="654" spans="2:5">
      <c r="B654" s="16"/>
      <c r="C654" s="16"/>
      <c r="D654" s="16"/>
      <c r="E654" s="16"/>
    </row>
    <row r="655" spans="2:5">
      <c r="B655" s="16"/>
      <c r="C655" s="16"/>
      <c r="D655" s="16"/>
      <c r="E655" s="16"/>
    </row>
    <row r="656" spans="2:5">
      <c r="B656" s="16"/>
      <c r="C656" s="16"/>
      <c r="D656" s="16"/>
      <c r="E656" s="16"/>
    </row>
    <row r="657" spans="2:5">
      <c r="B657" s="16"/>
      <c r="C657" s="16"/>
      <c r="D657" s="16"/>
      <c r="E657" s="16"/>
    </row>
    <row r="658" spans="2:5">
      <c r="B658" s="16"/>
      <c r="C658" s="16"/>
      <c r="D658" s="16"/>
      <c r="E658" s="16"/>
    </row>
    <row r="659" spans="2:5">
      <c r="B659" s="16"/>
      <c r="C659" s="16"/>
      <c r="D659" s="16"/>
      <c r="E659" s="16"/>
    </row>
    <row r="660" spans="2:5">
      <c r="B660" s="16"/>
      <c r="C660" s="16"/>
      <c r="D660" s="16"/>
      <c r="E660" s="16"/>
    </row>
    <row r="661" spans="2:5">
      <c r="B661" s="16"/>
      <c r="C661" s="16"/>
      <c r="D661" s="16"/>
      <c r="E661" s="16"/>
    </row>
    <row r="662" spans="2:5">
      <c r="B662" s="16"/>
      <c r="C662" s="16"/>
      <c r="D662" s="16"/>
      <c r="E662" s="16"/>
    </row>
    <row r="663" spans="2:5">
      <c r="B663" s="16"/>
      <c r="C663" s="16"/>
      <c r="D663" s="16"/>
      <c r="E663" s="16"/>
    </row>
    <row r="664" spans="2:5">
      <c r="B664" s="16"/>
      <c r="C664" s="16"/>
      <c r="D664" s="16"/>
      <c r="E664" s="16"/>
    </row>
    <row r="665" spans="2:5">
      <c r="B665" s="16"/>
      <c r="C665" s="16"/>
      <c r="D665" s="16"/>
      <c r="E665" s="16"/>
    </row>
    <row r="666" spans="2:5">
      <c r="B666" s="16"/>
      <c r="C666" s="16"/>
      <c r="D666" s="16"/>
      <c r="E666" s="16"/>
    </row>
    <row r="667" spans="2:5">
      <c r="B667" s="16"/>
      <c r="C667" s="16"/>
      <c r="D667" s="16"/>
      <c r="E667" s="16"/>
    </row>
    <row r="668" spans="2:5">
      <c r="B668" s="16"/>
      <c r="C668" s="16"/>
      <c r="D668" s="16"/>
      <c r="E668" s="16"/>
    </row>
    <row r="669" spans="2:5">
      <c r="B669" s="16"/>
      <c r="C669" s="16"/>
      <c r="D669" s="16"/>
      <c r="E669" s="16"/>
    </row>
    <row r="670" spans="2:5">
      <c r="B670" s="16"/>
      <c r="C670" s="16"/>
      <c r="D670" s="16"/>
      <c r="E670" s="16"/>
    </row>
    <row r="671" spans="2:5">
      <c r="B671" s="16"/>
      <c r="C671" s="16"/>
      <c r="D671" s="16"/>
      <c r="E671" s="16"/>
    </row>
    <row r="672" spans="2:5">
      <c r="B672" s="16"/>
      <c r="C672" s="16"/>
      <c r="D672" s="16"/>
      <c r="E672" s="16"/>
    </row>
    <row r="673" spans="2:5">
      <c r="B673" s="16"/>
      <c r="C673" s="16"/>
      <c r="D673" s="16"/>
      <c r="E673" s="16"/>
    </row>
    <row r="674" spans="2:5">
      <c r="B674" s="16"/>
      <c r="C674" s="16"/>
      <c r="D674" s="16"/>
      <c r="E674" s="16"/>
    </row>
    <row r="675" spans="2:5">
      <c r="B675" s="16"/>
      <c r="C675" s="16"/>
      <c r="D675" s="16"/>
      <c r="E675" s="16"/>
    </row>
    <row r="676" spans="2:5">
      <c r="B676" s="16"/>
      <c r="C676" s="16"/>
      <c r="D676" s="16"/>
      <c r="E676" s="16"/>
    </row>
    <row r="677" spans="2:5">
      <c r="B677" s="16"/>
      <c r="C677" s="16"/>
      <c r="D677" s="16"/>
      <c r="E677" s="16"/>
    </row>
    <row r="678" spans="2:5">
      <c r="B678" s="16"/>
      <c r="C678" s="16"/>
      <c r="D678" s="16"/>
      <c r="E678" s="16"/>
    </row>
    <row r="679" spans="2:5">
      <c r="B679" s="16"/>
      <c r="C679" s="16"/>
      <c r="D679" s="16"/>
      <c r="E679" s="16"/>
    </row>
    <row r="680" spans="2:5">
      <c r="B680" s="16"/>
      <c r="C680" s="16"/>
      <c r="D680" s="16"/>
      <c r="E680" s="16"/>
    </row>
    <row r="681" spans="2:5">
      <c r="B681" s="16"/>
      <c r="C681" s="16"/>
      <c r="D681" s="16"/>
      <c r="E681" s="16"/>
    </row>
    <row r="682" spans="2:5">
      <c r="B682" s="16"/>
      <c r="C682" s="16"/>
      <c r="D682" s="16"/>
      <c r="E682" s="16"/>
    </row>
    <row r="683" spans="2:5">
      <c r="B683" s="16"/>
      <c r="C683" s="16"/>
      <c r="D683" s="16"/>
      <c r="E683" s="16"/>
    </row>
    <row r="684" spans="2:5">
      <c r="B684" s="16"/>
      <c r="C684" s="16"/>
      <c r="D684" s="16"/>
      <c r="E684" s="16"/>
    </row>
    <row r="685" spans="2:5">
      <c r="B685" s="16"/>
      <c r="C685" s="16"/>
      <c r="D685" s="16"/>
      <c r="E685" s="16"/>
    </row>
    <row r="686" spans="2:5">
      <c r="B686" s="16"/>
      <c r="C686" s="16"/>
      <c r="D686" s="16"/>
      <c r="E686" s="16"/>
    </row>
    <row r="687" spans="2:5">
      <c r="B687" s="16"/>
      <c r="C687" s="16"/>
      <c r="D687" s="16"/>
      <c r="E687" s="16"/>
    </row>
    <row r="688" spans="2:5">
      <c r="B688" s="16"/>
      <c r="C688" s="16"/>
      <c r="D688" s="16"/>
      <c r="E688" s="16"/>
    </row>
    <row r="689" spans="2:5">
      <c r="B689" s="16"/>
      <c r="C689" s="16"/>
      <c r="D689" s="16"/>
      <c r="E689" s="16"/>
    </row>
    <row r="690" spans="2:5">
      <c r="B690" s="16"/>
      <c r="C690" s="16"/>
      <c r="D690" s="16"/>
      <c r="E690" s="16"/>
    </row>
    <row r="691" spans="2:5">
      <c r="B691" s="16"/>
      <c r="C691" s="16"/>
      <c r="D691" s="16"/>
      <c r="E691" s="16"/>
    </row>
    <row r="692" spans="2:5">
      <c r="B692" s="16"/>
      <c r="C692" s="16"/>
      <c r="D692" s="16"/>
      <c r="E692" s="16"/>
    </row>
    <row r="693" spans="2:5">
      <c r="B693" s="16"/>
      <c r="C693" s="16"/>
      <c r="D693" s="16"/>
      <c r="E693" s="16"/>
    </row>
    <row r="694" spans="2:5">
      <c r="B694" s="16"/>
      <c r="C694" s="16"/>
      <c r="D694" s="16"/>
      <c r="E694" s="16"/>
    </row>
    <row r="695" spans="2:5">
      <c r="B695" s="16"/>
      <c r="C695" s="16"/>
      <c r="D695" s="16"/>
      <c r="E695" s="16"/>
    </row>
    <row r="696" spans="2:5">
      <c r="B696" s="16"/>
      <c r="C696" s="16"/>
      <c r="D696" s="16"/>
      <c r="E696" s="16"/>
    </row>
    <row r="697" spans="2:5">
      <c r="B697" s="16"/>
      <c r="C697" s="16"/>
      <c r="D697" s="16"/>
      <c r="E697" s="16"/>
    </row>
    <row r="698" spans="2:5">
      <c r="B698" s="16"/>
      <c r="C698" s="16"/>
      <c r="D698" s="16"/>
      <c r="E698" s="16"/>
    </row>
    <row r="699" spans="2:5">
      <c r="B699" s="16"/>
      <c r="C699" s="16"/>
      <c r="D699" s="16"/>
      <c r="E699" s="16"/>
    </row>
    <row r="700" spans="2:5">
      <c r="B700" s="16"/>
      <c r="C700" s="16"/>
      <c r="D700" s="16"/>
      <c r="E700" s="16"/>
    </row>
    <row r="701" spans="2:5">
      <c r="B701" s="16"/>
      <c r="C701" s="16"/>
      <c r="D701" s="16"/>
      <c r="E701" s="16"/>
    </row>
    <row r="702" spans="2:5">
      <c r="B702" s="16"/>
      <c r="C702" s="16"/>
      <c r="D702" s="16"/>
      <c r="E702" s="16"/>
    </row>
    <row r="703" spans="2:5">
      <c r="B703" s="16"/>
      <c r="C703" s="16"/>
      <c r="D703" s="16"/>
      <c r="E703" s="16"/>
    </row>
    <row r="704" spans="2:5">
      <c r="B704" s="16"/>
      <c r="C704" s="16"/>
      <c r="D704" s="16"/>
      <c r="E704" s="16"/>
    </row>
    <row r="705" spans="2:5">
      <c r="B705" s="16"/>
      <c r="C705" s="16"/>
      <c r="D705" s="16"/>
      <c r="E705" s="16"/>
    </row>
    <row r="706" spans="2:5">
      <c r="B706" s="16"/>
      <c r="C706" s="16"/>
      <c r="D706" s="16"/>
      <c r="E706" s="16"/>
    </row>
    <row r="707" spans="2:5">
      <c r="B707" s="16"/>
      <c r="C707" s="16"/>
      <c r="D707" s="16"/>
      <c r="E707" s="16"/>
    </row>
    <row r="708" spans="2:5">
      <c r="B708" s="16"/>
      <c r="C708" s="16"/>
      <c r="D708" s="16"/>
      <c r="E708" s="16"/>
    </row>
    <row r="709" spans="2:5">
      <c r="B709" s="16"/>
      <c r="C709" s="16"/>
      <c r="D709" s="16"/>
      <c r="E709" s="16"/>
    </row>
    <row r="710" spans="2:5">
      <c r="B710" s="16"/>
      <c r="C710" s="16"/>
      <c r="D710" s="16"/>
      <c r="E710" s="16"/>
    </row>
    <row r="711" spans="2:5">
      <c r="B711" s="16"/>
      <c r="C711" s="16"/>
      <c r="D711" s="16"/>
      <c r="E711" s="16"/>
    </row>
    <row r="712" spans="2:5">
      <c r="B712" s="16"/>
      <c r="C712" s="16"/>
      <c r="D712" s="16"/>
      <c r="E712" s="16"/>
    </row>
    <row r="713" spans="2:5">
      <c r="B713" s="16"/>
      <c r="C713" s="16"/>
      <c r="D713" s="16"/>
      <c r="E713" s="16"/>
    </row>
    <row r="714" spans="2:5">
      <c r="B714" s="16"/>
      <c r="C714" s="16"/>
      <c r="D714" s="16"/>
      <c r="E714" s="16"/>
    </row>
    <row r="715" spans="2:5">
      <c r="B715" s="16"/>
      <c r="C715" s="16"/>
      <c r="D715" s="16"/>
      <c r="E715" s="16"/>
    </row>
    <row r="716" spans="2:5">
      <c r="B716" s="16"/>
      <c r="C716" s="16"/>
      <c r="D716" s="16"/>
      <c r="E716" s="16"/>
    </row>
    <row r="717" spans="2:5">
      <c r="B717" s="16"/>
      <c r="C717" s="16"/>
      <c r="D717" s="16"/>
      <c r="E717" s="16"/>
    </row>
    <row r="718" spans="2:5">
      <c r="B718" s="16"/>
      <c r="C718" s="16"/>
      <c r="D718" s="16"/>
      <c r="E718" s="16"/>
    </row>
    <row r="719" spans="2:5">
      <c r="B719" s="16"/>
      <c r="C719" s="16"/>
      <c r="D719" s="16"/>
      <c r="E719" s="16"/>
    </row>
    <row r="720" spans="2:5">
      <c r="B720" s="16"/>
      <c r="C720" s="16"/>
      <c r="D720" s="16"/>
      <c r="E720" s="16"/>
    </row>
    <row r="721" spans="2:5">
      <c r="B721" s="16"/>
      <c r="C721" s="16"/>
      <c r="D721" s="16"/>
      <c r="E721" s="16"/>
    </row>
    <row r="722" spans="2:5">
      <c r="B722" s="16"/>
      <c r="C722" s="16"/>
      <c r="D722" s="16"/>
      <c r="E722" s="16"/>
    </row>
    <row r="723" spans="2:5">
      <c r="B723" s="16"/>
      <c r="C723" s="16"/>
      <c r="D723" s="16"/>
      <c r="E723" s="16"/>
    </row>
    <row r="724" spans="2:5">
      <c r="B724" s="16"/>
      <c r="C724" s="16"/>
      <c r="D724" s="16"/>
      <c r="E724" s="16"/>
    </row>
    <row r="725" spans="2:5">
      <c r="B725" s="16"/>
      <c r="C725" s="16"/>
      <c r="D725" s="16"/>
      <c r="E725" s="16"/>
    </row>
    <row r="726" spans="2:5">
      <c r="B726" s="16"/>
      <c r="C726" s="16"/>
      <c r="D726" s="16"/>
      <c r="E726" s="16"/>
    </row>
    <row r="727" spans="2:5">
      <c r="B727" s="16"/>
      <c r="C727" s="16"/>
      <c r="D727" s="16"/>
      <c r="E727" s="16"/>
    </row>
    <row r="728" spans="2:5">
      <c r="B728" s="16"/>
      <c r="C728" s="16"/>
      <c r="D728" s="16"/>
      <c r="E728" s="16"/>
    </row>
    <row r="729" spans="2:5">
      <c r="B729" s="16"/>
      <c r="C729" s="16"/>
      <c r="D729" s="16"/>
      <c r="E729" s="16"/>
    </row>
    <row r="730" spans="2:5">
      <c r="B730" s="16"/>
      <c r="C730" s="16"/>
      <c r="D730" s="16"/>
      <c r="E730" s="16"/>
    </row>
    <row r="731" spans="2:5">
      <c r="B731" s="16"/>
      <c r="C731" s="16"/>
      <c r="D731" s="16"/>
      <c r="E731" s="16"/>
    </row>
    <row r="732" spans="2:5">
      <c r="B732" s="16"/>
      <c r="C732" s="16"/>
      <c r="D732" s="16"/>
      <c r="E732" s="16"/>
    </row>
    <row r="733" spans="2:5">
      <c r="B733" s="16"/>
      <c r="C733" s="16"/>
      <c r="D733" s="16"/>
      <c r="E733" s="16"/>
    </row>
    <row r="734" spans="2:5">
      <c r="B734" s="16"/>
      <c r="C734" s="16"/>
      <c r="D734" s="16"/>
      <c r="E734" s="16"/>
    </row>
    <row r="735" spans="2:5">
      <c r="B735" s="16"/>
      <c r="C735" s="16"/>
      <c r="D735" s="16"/>
      <c r="E735" s="16"/>
    </row>
    <row r="736" spans="2:5">
      <c r="B736" s="16"/>
      <c r="C736" s="16"/>
      <c r="D736" s="16"/>
      <c r="E736" s="16"/>
    </row>
    <row r="737" spans="2:5">
      <c r="B737" s="16"/>
      <c r="C737" s="16"/>
      <c r="D737" s="16"/>
      <c r="E737" s="16"/>
    </row>
    <row r="738" spans="2:5">
      <c r="B738" s="16"/>
      <c r="C738" s="16"/>
      <c r="D738" s="16"/>
      <c r="E738" s="16"/>
    </row>
    <row r="739" spans="2:5">
      <c r="B739" s="16"/>
      <c r="C739" s="16"/>
      <c r="D739" s="16"/>
      <c r="E739" s="16"/>
    </row>
    <row r="740" spans="2:5">
      <c r="B740" s="16"/>
      <c r="C740" s="16"/>
      <c r="D740" s="16"/>
      <c r="E740" s="16"/>
    </row>
    <row r="741" spans="2:5">
      <c r="B741" s="16"/>
      <c r="C741" s="16"/>
      <c r="D741" s="16"/>
      <c r="E741" s="16"/>
    </row>
    <row r="742" spans="2:5">
      <c r="B742" s="16"/>
      <c r="C742" s="16"/>
      <c r="D742" s="16"/>
      <c r="E742" s="16"/>
    </row>
    <row r="743" spans="2:5">
      <c r="B743" s="16"/>
      <c r="C743" s="16"/>
      <c r="D743" s="16"/>
      <c r="E743" s="16"/>
    </row>
    <row r="744" spans="2:5">
      <c r="B744" s="16"/>
      <c r="C744" s="16"/>
      <c r="D744" s="16"/>
      <c r="E744" s="16"/>
    </row>
    <row r="745" spans="2:5">
      <c r="B745" s="16"/>
      <c r="C745" s="16"/>
      <c r="D745" s="16"/>
      <c r="E745" s="16"/>
    </row>
    <row r="746" spans="2:5">
      <c r="B746" s="16"/>
      <c r="C746" s="16"/>
      <c r="D746" s="16"/>
      <c r="E746" s="16"/>
    </row>
    <row r="747" spans="2:5">
      <c r="B747" s="16"/>
      <c r="C747" s="16"/>
      <c r="D747" s="16"/>
      <c r="E747" s="16"/>
    </row>
    <row r="748" spans="2:5">
      <c r="B748" s="16"/>
      <c r="C748" s="16"/>
      <c r="D748" s="16"/>
      <c r="E748" s="16"/>
    </row>
    <row r="749" spans="2:5">
      <c r="B749" s="16"/>
      <c r="C749" s="16"/>
      <c r="D749" s="16"/>
      <c r="E749" s="16"/>
    </row>
    <row r="750" spans="2:5">
      <c r="B750" s="16"/>
      <c r="C750" s="16"/>
      <c r="D750" s="16"/>
      <c r="E750" s="16"/>
    </row>
    <row r="751" spans="2:5">
      <c r="B751" s="16"/>
      <c r="C751" s="16"/>
      <c r="D751" s="16"/>
      <c r="E751" s="16"/>
    </row>
    <row r="752" spans="2:5">
      <c r="B752" s="16"/>
      <c r="C752" s="16"/>
      <c r="D752" s="16"/>
      <c r="E752" s="16"/>
    </row>
    <row r="753" spans="2:5">
      <c r="B753" s="16"/>
      <c r="C753" s="16"/>
      <c r="D753" s="16"/>
      <c r="E753" s="16"/>
    </row>
    <row r="754" spans="2:5">
      <c r="B754" s="16"/>
      <c r="C754" s="16"/>
      <c r="D754" s="16"/>
      <c r="E754" s="16"/>
    </row>
    <row r="755" spans="2:5">
      <c r="B755" s="16"/>
      <c r="C755" s="16"/>
      <c r="D755" s="16"/>
      <c r="E755" s="16"/>
    </row>
    <row r="756" spans="2:5">
      <c r="B756" s="16"/>
      <c r="C756" s="16"/>
      <c r="D756" s="16"/>
      <c r="E756" s="16"/>
    </row>
    <row r="757" spans="2:5">
      <c r="B757" s="16"/>
      <c r="C757" s="16"/>
      <c r="D757" s="16"/>
      <c r="E757" s="16"/>
    </row>
    <row r="758" spans="2:5">
      <c r="B758" s="16"/>
      <c r="C758" s="16"/>
      <c r="D758" s="16"/>
      <c r="E758" s="16"/>
    </row>
    <row r="759" spans="2:5">
      <c r="B759" s="16"/>
      <c r="C759" s="16"/>
      <c r="D759" s="16"/>
      <c r="E759" s="16"/>
    </row>
    <row r="760" spans="2:5">
      <c r="B760" s="16"/>
      <c r="C760" s="16"/>
      <c r="D760" s="16"/>
      <c r="E760" s="16"/>
    </row>
    <row r="761" spans="2:5">
      <c r="B761" s="16"/>
      <c r="C761" s="16"/>
      <c r="D761" s="16"/>
      <c r="E761" s="16"/>
    </row>
    <row r="762" spans="2:5">
      <c r="B762" s="16"/>
      <c r="C762" s="16"/>
      <c r="D762" s="16"/>
      <c r="E762" s="16"/>
    </row>
    <row r="763" spans="2:5">
      <c r="B763" s="16"/>
      <c r="C763" s="16"/>
      <c r="D763" s="16"/>
      <c r="E763" s="16"/>
    </row>
    <row r="764" spans="2:5">
      <c r="B764" s="16"/>
      <c r="C764" s="16"/>
      <c r="D764" s="16"/>
      <c r="E764" s="16"/>
    </row>
    <row r="765" spans="2:5">
      <c r="B765" s="16"/>
      <c r="C765" s="16"/>
      <c r="D765" s="16"/>
      <c r="E765" s="16"/>
    </row>
    <row r="766" spans="2:5">
      <c r="B766" s="16"/>
      <c r="C766" s="16"/>
      <c r="D766" s="16"/>
      <c r="E766" s="16"/>
    </row>
    <row r="767" spans="2:5">
      <c r="B767" s="16"/>
      <c r="C767" s="16"/>
      <c r="D767" s="16"/>
      <c r="E767" s="16"/>
    </row>
    <row r="768" spans="2:5">
      <c r="B768" s="16"/>
      <c r="C768" s="16"/>
      <c r="D768" s="16"/>
      <c r="E768" s="16"/>
    </row>
    <row r="769" spans="2:5">
      <c r="B769" s="16"/>
      <c r="C769" s="16"/>
      <c r="D769" s="16"/>
      <c r="E769" s="16"/>
    </row>
    <row r="770" spans="2:5">
      <c r="B770" s="16"/>
      <c r="C770" s="16"/>
      <c r="D770" s="16"/>
      <c r="E770" s="16"/>
    </row>
    <row r="771" spans="2:5">
      <c r="B771" s="16"/>
      <c r="C771" s="16"/>
      <c r="D771" s="16"/>
      <c r="E771" s="16"/>
    </row>
    <row r="772" spans="2:5">
      <c r="B772" s="16"/>
      <c r="C772" s="16"/>
      <c r="D772" s="16"/>
      <c r="E772" s="16"/>
    </row>
    <row r="773" spans="2:5">
      <c r="B773" s="16"/>
      <c r="C773" s="16"/>
      <c r="D773" s="16"/>
      <c r="E773" s="16"/>
    </row>
    <row r="774" spans="2:5">
      <c r="B774" s="16"/>
      <c r="C774" s="16"/>
      <c r="D774" s="16"/>
      <c r="E774" s="16"/>
    </row>
    <row r="775" spans="2:5">
      <c r="B775" s="16"/>
      <c r="C775" s="16"/>
      <c r="D775" s="16"/>
      <c r="E775" s="16"/>
    </row>
    <row r="776" spans="2:5">
      <c r="B776" s="16"/>
      <c r="C776" s="16"/>
      <c r="D776" s="16"/>
      <c r="E776" s="16"/>
    </row>
    <row r="777" spans="2:5">
      <c r="B777" s="16"/>
      <c r="C777" s="16"/>
      <c r="D777" s="16"/>
      <c r="E777" s="16"/>
    </row>
    <row r="778" spans="2:5">
      <c r="B778" s="16"/>
      <c r="C778" s="16"/>
      <c r="D778" s="16"/>
      <c r="E778" s="16"/>
    </row>
    <row r="779" spans="2:5">
      <c r="B779" s="16"/>
      <c r="C779" s="16"/>
      <c r="D779" s="16"/>
      <c r="E779" s="16"/>
    </row>
    <row r="780" spans="2:5">
      <c r="B780" s="16"/>
      <c r="C780" s="16"/>
      <c r="D780" s="16"/>
      <c r="E780" s="16"/>
    </row>
    <row r="781" spans="2:5">
      <c r="B781" s="16"/>
      <c r="C781" s="16"/>
      <c r="D781" s="16"/>
      <c r="E781" s="16"/>
    </row>
    <row r="782" spans="2:5">
      <c r="B782" s="16"/>
      <c r="C782" s="16"/>
      <c r="D782" s="16"/>
      <c r="E782" s="16"/>
    </row>
    <row r="783" spans="2:5">
      <c r="B783" s="16"/>
      <c r="C783" s="16"/>
      <c r="D783" s="16"/>
      <c r="E783" s="16"/>
    </row>
    <row r="784" spans="2:5">
      <c r="B784" s="16"/>
      <c r="C784" s="16"/>
      <c r="D784" s="16"/>
      <c r="E784" s="16"/>
    </row>
    <row r="785" spans="2:5">
      <c r="B785" s="16"/>
      <c r="C785" s="16"/>
      <c r="D785" s="16"/>
      <c r="E785" s="16"/>
    </row>
    <row r="786" spans="2:5">
      <c r="B786" s="16"/>
      <c r="C786" s="16"/>
      <c r="D786" s="16"/>
      <c r="E786" s="16"/>
    </row>
    <row r="787" spans="2:5">
      <c r="B787" s="16"/>
      <c r="C787" s="16"/>
      <c r="D787" s="16"/>
      <c r="E787" s="16"/>
    </row>
    <row r="788" spans="2:5">
      <c r="B788" s="16"/>
      <c r="C788" s="16"/>
      <c r="D788" s="16"/>
      <c r="E788" s="16"/>
    </row>
    <row r="789" spans="2:5">
      <c r="B789" s="16"/>
      <c r="C789" s="16"/>
      <c r="D789" s="16"/>
      <c r="E789" s="16"/>
    </row>
    <row r="790" spans="2:5">
      <c r="B790" s="16"/>
      <c r="C790" s="16"/>
      <c r="D790" s="16"/>
      <c r="E790" s="16"/>
    </row>
    <row r="791" spans="2:5">
      <c r="B791" s="16"/>
      <c r="C791" s="16"/>
      <c r="D791" s="16"/>
      <c r="E791" s="16"/>
    </row>
    <row r="792" spans="2:5">
      <c r="B792" s="16"/>
      <c r="C792" s="16"/>
      <c r="D792" s="16"/>
      <c r="E792" s="16"/>
    </row>
    <row r="793" spans="2:5">
      <c r="B793" s="16"/>
      <c r="C793" s="16"/>
      <c r="D793" s="16"/>
      <c r="E793" s="16"/>
    </row>
    <row r="794" spans="2:5">
      <c r="B794" s="16"/>
      <c r="C794" s="16"/>
      <c r="D794" s="16"/>
      <c r="E794" s="16"/>
    </row>
    <row r="795" spans="2:5">
      <c r="B795" s="16"/>
      <c r="C795" s="16"/>
      <c r="D795" s="16"/>
      <c r="E795" s="16"/>
    </row>
    <row r="796" spans="2:5">
      <c r="B796" s="16"/>
      <c r="C796" s="16"/>
      <c r="D796" s="16"/>
      <c r="E796" s="16"/>
    </row>
    <row r="797" spans="2:5">
      <c r="B797" s="16"/>
      <c r="C797" s="16"/>
      <c r="D797" s="16"/>
      <c r="E797" s="16"/>
    </row>
    <row r="798" spans="2:5">
      <c r="B798" s="16"/>
      <c r="C798" s="16"/>
      <c r="D798" s="16"/>
      <c r="E798" s="16"/>
    </row>
    <row r="799" spans="2:5">
      <c r="B799" s="16"/>
      <c r="C799" s="16"/>
      <c r="D799" s="16"/>
      <c r="E799" s="16"/>
    </row>
    <row r="800" spans="2:5">
      <c r="B800" s="16"/>
      <c r="C800" s="16"/>
      <c r="D800" s="16"/>
      <c r="E800" s="16"/>
    </row>
    <row r="801" spans="2:5">
      <c r="B801" s="16"/>
      <c r="C801" s="16"/>
      <c r="D801" s="16"/>
      <c r="E801" s="16"/>
    </row>
    <row r="802" spans="2:5">
      <c r="B802" s="16"/>
      <c r="C802" s="16"/>
      <c r="D802" s="16"/>
      <c r="E802" s="16"/>
    </row>
    <row r="803" spans="2:5">
      <c r="B803" s="16"/>
      <c r="C803" s="16"/>
      <c r="D803" s="16"/>
      <c r="E803" s="16"/>
    </row>
    <row r="804" spans="2:5">
      <c r="B804" s="16"/>
      <c r="C804" s="16"/>
      <c r="D804" s="16"/>
      <c r="E804" s="16"/>
    </row>
    <row r="805" spans="2:5">
      <c r="B805" s="16"/>
      <c r="C805" s="16"/>
      <c r="D805" s="16"/>
      <c r="E805" s="16"/>
    </row>
    <row r="806" spans="2:5">
      <c r="B806" s="16"/>
      <c r="C806" s="16"/>
      <c r="D806" s="16"/>
      <c r="E806" s="16"/>
    </row>
    <row r="807" spans="2:5">
      <c r="B807" s="16"/>
      <c r="C807" s="16"/>
      <c r="D807" s="16"/>
      <c r="E807" s="16"/>
    </row>
    <row r="808" spans="2:5">
      <c r="B808" s="16"/>
      <c r="C808" s="16"/>
      <c r="D808" s="16"/>
      <c r="E808" s="16"/>
    </row>
    <row r="809" spans="2:5">
      <c r="B809" s="16"/>
      <c r="C809" s="16"/>
      <c r="D809" s="16"/>
      <c r="E809" s="16"/>
    </row>
    <row r="810" spans="2:5">
      <c r="B810" s="16"/>
      <c r="C810" s="16"/>
      <c r="D810" s="16"/>
      <c r="E810" s="16"/>
    </row>
    <row r="811" spans="2:5">
      <c r="B811" s="16"/>
      <c r="C811" s="16"/>
      <c r="D811" s="16"/>
      <c r="E811" s="16"/>
    </row>
    <row r="812" spans="2:5">
      <c r="B812" s="16"/>
      <c r="C812" s="16"/>
      <c r="D812" s="16"/>
      <c r="E812" s="16"/>
    </row>
    <row r="813" spans="2:5">
      <c r="B813" s="16"/>
      <c r="C813" s="16"/>
      <c r="D813" s="16"/>
      <c r="E813" s="16"/>
    </row>
    <row r="814" spans="2:5">
      <c r="B814" s="16"/>
      <c r="C814" s="16"/>
      <c r="D814" s="16"/>
      <c r="E814" s="16"/>
    </row>
    <row r="815" spans="2:5">
      <c r="B815" s="16"/>
      <c r="C815" s="16"/>
      <c r="D815" s="16"/>
      <c r="E815" s="16"/>
    </row>
    <row r="816" spans="2:5">
      <c r="B816" s="16"/>
      <c r="C816" s="16"/>
      <c r="D816" s="16"/>
      <c r="E816" s="16"/>
    </row>
    <row r="817" spans="2:5">
      <c r="B817" s="16"/>
      <c r="C817" s="16"/>
      <c r="D817" s="16"/>
      <c r="E817" s="16"/>
    </row>
    <row r="818" spans="2:5">
      <c r="B818" s="16"/>
      <c r="C818" s="16"/>
      <c r="D818" s="16"/>
      <c r="E818" s="16"/>
    </row>
    <row r="819" spans="2:5">
      <c r="B819" s="16"/>
      <c r="C819" s="16"/>
      <c r="D819" s="16"/>
      <c r="E819" s="16"/>
    </row>
    <row r="820" spans="2:5">
      <c r="B820" s="16"/>
      <c r="C820" s="16"/>
      <c r="D820" s="16"/>
      <c r="E820" s="16"/>
    </row>
    <row r="821" spans="2:5">
      <c r="B821" s="16"/>
      <c r="C821" s="16"/>
      <c r="D821" s="16"/>
      <c r="E821" s="16"/>
    </row>
    <row r="822" spans="2:5">
      <c r="B822" s="16"/>
      <c r="C822" s="16"/>
      <c r="D822" s="16"/>
      <c r="E822" s="16"/>
    </row>
    <row r="823" spans="2:5">
      <c r="B823" s="16"/>
      <c r="C823" s="16"/>
      <c r="D823" s="16"/>
      <c r="E823" s="16"/>
    </row>
    <row r="824" spans="2:5">
      <c r="B824" s="16"/>
      <c r="C824" s="16"/>
      <c r="D824" s="16"/>
      <c r="E824" s="16"/>
    </row>
    <row r="825" spans="2:5">
      <c r="B825" s="16"/>
      <c r="C825" s="16"/>
      <c r="D825" s="16"/>
      <c r="E825" s="16"/>
    </row>
    <row r="826" spans="2:5">
      <c r="B826" s="16"/>
      <c r="C826" s="16"/>
      <c r="D826" s="16"/>
      <c r="E826" s="16"/>
    </row>
    <row r="827" spans="2:5">
      <c r="B827" s="16"/>
      <c r="C827" s="16"/>
      <c r="D827" s="16"/>
      <c r="E827" s="16"/>
    </row>
    <row r="828" spans="2:5">
      <c r="B828" s="16"/>
      <c r="C828" s="16"/>
      <c r="D828" s="16"/>
      <c r="E828" s="16"/>
    </row>
    <row r="829" spans="2:5">
      <c r="B829" s="16"/>
      <c r="C829" s="16"/>
      <c r="D829" s="16"/>
      <c r="E829" s="16"/>
    </row>
    <row r="830" spans="2:5">
      <c r="B830" s="16"/>
      <c r="C830" s="16"/>
      <c r="D830" s="16"/>
      <c r="E830" s="16"/>
    </row>
    <row r="831" spans="2:5">
      <c r="B831" s="16"/>
      <c r="C831" s="16"/>
      <c r="D831" s="16"/>
      <c r="E831" s="16"/>
    </row>
    <row r="832" spans="2:5">
      <c r="B832" s="16"/>
      <c r="C832" s="16"/>
      <c r="D832" s="16"/>
      <c r="E832" s="16"/>
    </row>
    <row r="833" spans="2:5">
      <c r="B833" s="16"/>
      <c r="C833" s="16"/>
      <c r="D833" s="16"/>
      <c r="E833" s="16"/>
    </row>
    <row r="834" spans="2:5">
      <c r="B834" s="16"/>
      <c r="C834" s="16"/>
      <c r="D834" s="16"/>
      <c r="E834" s="16"/>
    </row>
    <row r="835" spans="2:5">
      <c r="B835" s="16"/>
      <c r="C835" s="16"/>
      <c r="D835" s="16"/>
      <c r="E835" s="16"/>
    </row>
    <row r="836" spans="2:5">
      <c r="B836" s="16"/>
      <c r="C836" s="16"/>
      <c r="D836" s="16"/>
      <c r="E836" s="16"/>
    </row>
    <row r="837" spans="2:5">
      <c r="B837" s="16"/>
      <c r="C837" s="16"/>
      <c r="D837" s="16"/>
      <c r="E837" s="16"/>
    </row>
    <row r="838" spans="2:5">
      <c r="B838" s="16"/>
      <c r="C838" s="16"/>
      <c r="D838" s="16"/>
      <c r="E838" s="16"/>
    </row>
    <row r="839" spans="2:5">
      <c r="B839" s="16"/>
      <c r="C839" s="16"/>
      <c r="D839" s="16"/>
      <c r="E839" s="16"/>
    </row>
    <row r="840" spans="2:5">
      <c r="B840" s="16"/>
      <c r="C840" s="16"/>
      <c r="D840" s="16"/>
      <c r="E840" s="16"/>
    </row>
    <row r="841" spans="2:5">
      <c r="B841" s="16"/>
      <c r="C841" s="16"/>
      <c r="D841" s="16"/>
      <c r="E841" s="16"/>
    </row>
    <row r="842" spans="2:5">
      <c r="B842" s="16"/>
      <c r="C842" s="16"/>
      <c r="D842" s="16"/>
      <c r="E842" s="16"/>
    </row>
    <row r="843" spans="2:5">
      <c r="B843" s="16"/>
      <c r="C843" s="16"/>
      <c r="D843" s="16"/>
      <c r="E843" s="16"/>
    </row>
    <row r="844" spans="2:5">
      <c r="B844" s="16"/>
      <c r="C844" s="16"/>
      <c r="D844" s="16"/>
      <c r="E844" s="16"/>
    </row>
    <row r="845" spans="2:5">
      <c r="B845" s="16"/>
      <c r="C845" s="16"/>
      <c r="D845" s="16"/>
      <c r="E845" s="16"/>
    </row>
    <row r="846" spans="2:5">
      <c r="B846" s="16"/>
      <c r="C846" s="16"/>
      <c r="D846" s="16"/>
      <c r="E846" s="16"/>
    </row>
    <row r="847" spans="2:5">
      <c r="B847" s="16"/>
      <c r="C847" s="16"/>
      <c r="D847" s="16"/>
      <c r="E847" s="16"/>
    </row>
    <row r="848" spans="2:5">
      <c r="B848" s="16"/>
      <c r="C848" s="16"/>
      <c r="D848" s="16"/>
      <c r="E848" s="16"/>
    </row>
    <row r="849" spans="2:5">
      <c r="B849" s="16"/>
      <c r="C849" s="16"/>
      <c r="D849" s="16"/>
      <c r="E849" s="16"/>
    </row>
    <row r="850" spans="2:5">
      <c r="B850" s="16"/>
      <c r="C850" s="16"/>
      <c r="D850" s="16"/>
      <c r="E850" s="16"/>
    </row>
    <row r="851" spans="2:5">
      <c r="B851" s="16"/>
      <c r="C851" s="16"/>
      <c r="D851" s="16"/>
      <c r="E851" s="16"/>
    </row>
    <row r="852" spans="2:5">
      <c r="B852" s="16"/>
      <c r="C852" s="16"/>
      <c r="D852" s="16"/>
      <c r="E852" s="16"/>
    </row>
    <row r="853" spans="2:5">
      <c r="B853" s="16"/>
      <c r="C853" s="16"/>
      <c r="D853" s="16"/>
      <c r="E853" s="16"/>
    </row>
    <row r="854" spans="2:5">
      <c r="B854" s="16"/>
      <c r="C854" s="16"/>
      <c r="D854" s="16"/>
      <c r="E854" s="16"/>
    </row>
    <row r="855" spans="2:5">
      <c r="B855" s="16"/>
      <c r="C855" s="16"/>
      <c r="D855" s="16"/>
      <c r="E855" s="16"/>
    </row>
    <row r="856" spans="2:5">
      <c r="B856" s="16"/>
      <c r="C856" s="16"/>
      <c r="D856" s="16"/>
      <c r="E856" s="16"/>
    </row>
    <row r="857" spans="2:5">
      <c r="B857" s="16"/>
      <c r="C857" s="16"/>
      <c r="D857" s="16"/>
      <c r="E857" s="16"/>
    </row>
    <row r="858" spans="2:5">
      <c r="B858" s="16"/>
      <c r="C858" s="16"/>
      <c r="D858" s="16"/>
      <c r="E858" s="16"/>
    </row>
    <row r="859" spans="2:5">
      <c r="B859" s="16"/>
      <c r="C859" s="16"/>
      <c r="D859" s="16"/>
      <c r="E859" s="16"/>
    </row>
    <row r="860" spans="2:5">
      <c r="B860" s="16"/>
      <c r="C860" s="16"/>
      <c r="D860" s="16"/>
      <c r="E860" s="16"/>
    </row>
    <row r="861" spans="2:5">
      <c r="B861" s="16"/>
      <c r="C861" s="16"/>
      <c r="D861" s="16"/>
      <c r="E861" s="16"/>
    </row>
    <row r="862" spans="2:5">
      <c r="B862" s="16"/>
      <c r="C862" s="16"/>
      <c r="D862" s="16"/>
      <c r="E862" s="16"/>
    </row>
    <row r="863" spans="2:5">
      <c r="B863" s="16"/>
      <c r="C863" s="16"/>
      <c r="D863" s="16"/>
      <c r="E863" s="16"/>
    </row>
    <row r="864" spans="2:5">
      <c r="B864" s="16"/>
      <c r="C864" s="16"/>
      <c r="D864" s="16"/>
      <c r="E864" s="16"/>
    </row>
    <row r="865" spans="2:5">
      <c r="B865" s="16"/>
      <c r="C865" s="16"/>
      <c r="D865" s="16"/>
      <c r="E865" s="16"/>
    </row>
    <row r="866" spans="2:5">
      <c r="B866" s="16"/>
      <c r="C866" s="16"/>
      <c r="D866" s="16"/>
      <c r="E866" s="16"/>
    </row>
    <row r="867" spans="2:5">
      <c r="B867" s="16"/>
      <c r="C867" s="16"/>
      <c r="D867" s="16"/>
      <c r="E867" s="16"/>
    </row>
    <row r="868" spans="2:5">
      <c r="B868" s="16"/>
      <c r="C868" s="16"/>
      <c r="D868" s="16"/>
      <c r="E868" s="16"/>
    </row>
    <row r="869" spans="2:5">
      <c r="B869" s="16"/>
      <c r="C869" s="16"/>
      <c r="D869" s="16"/>
      <c r="E869" s="16"/>
    </row>
    <row r="870" spans="2:5">
      <c r="B870" s="16"/>
      <c r="C870" s="16"/>
      <c r="D870" s="16"/>
      <c r="E870" s="16"/>
    </row>
    <row r="871" spans="2:5">
      <c r="B871" s="16"/>
      <c r="C871" s="16"/>
      <c r="D871" s="16"/>
      <c r="E871" s="16"/>
    </row>
    <row r="872" spans="2:5">
      <c r="B872" s="16"/>
      <c r="C872" s="16"/>
      <c r="D872" s="16"/>
      <c r="E872" s="16"/>
    </row>
    <row r="873" spans="2:5">
      <c r="B873" s="16"/>
      <c r="C873" s="16"/>
      <c r="D873" s="16"/>
      <c r="E873" s="16"/>
    </row>
    <row r="874" spans="2:5">
      <c r="B874" s="16"/>
      <c r="C874" s="16"/>
      <c r="D874" s="16"/>
      <c r="E874" s="16"/>
    </row>
    <row r="875" spans="2:5">
      <c r="B875" s="16"/>
      <c r="C875" s="16"/>
      <c r="D875" s="16"/>
      <c r="E875" s="16"/>
    </row>
    <row r="876" spans="2:5">
      <c r="B876" s="16"/>
      <c r="C876" s="16"/>
      <c r="D876" s="16"/>
      <c r="E876" s="16"/>
    </row>
    <row r="877" spans="2:5">
      <c r="B877" s="16"/>
      <c r="C877" s="16"/>
      <c r="D877" s="16"/>
      <c r="E877" s="16"/>
    </row>
    <row r="878" spans="2:5">
      <c r="B878" s="16"/>
      <c r="C878" s="16"/>
      <c r="D878" s="16"/>
      <c r="E878" s="16"/>
    </row>
    <row r="879" spans="2:5">
      <c r="B879" s="16"/>
      <c r="C879" s="16"/>
      <c r="D879" s="16"/>
      <c r="E879" s="16"/>
    </row>
    <row r="880" spans="2:5">
      <c r="B880" s="16"/>
      <c r="C880" s="16"/>
      <c r="D880" s="16"/>
      <c r="E880" s="16"/>
    </row>
    <row r="881" spans="2:5">
      <c r="B881" s="16"/>
      <c r="C881" s="16"/>
      <c r="D881" s="16"/>
      <c r="E881" s="16"/>
    </row>
    <row r="882" spans="2:5">
      <c r="B882" s="16"/>
      <c r="C882" s="16"/>
      <c r="D882" s="16"/>
      <c r="E882" s="16"/>
    </row>
    <row r="883" spans="2:5">
      <c r="B883" s="16"/>
      <c r="C883" s="16"/>
      <c r="D883" s="16"/>
      <c r="E883" s="16"/>
    </row>
    <row r="884" spans="2:5">
      <c r="B884" s="16"/>
      <c r="C884" s="16"/>
      <c r="D884" s="16"/>
      <c r="E884" s="16"/>
    </row>
    <row r="885" spans="2:5">
      <c r="B885" s="16"/>
      <c r="C885" s="16"/>
      <c r="D885" s="16"/>
      <c r="E885" s="16"/>
    </row>
    <row r="886" spans="2:5">
      <c r="B886" s="16"/>
      <c r="C886" s="16"/>
      <c r="D886" s="16"/>
      <c r="E886" s="16"/>
    </row>
    <row r="887" spans="2:5">
      <c r="B887" s="16"/>
      <c r="C887" s="16"/>
      <c r="D887" s="16"/>
      <c r="E887" s="16"/>
    </row>
    <row r="888" spans="2:5">
      <c r="B888" s="16"/>
      <c r="C888" s="16"/>
      <c r="D888" s="16"/>
      <c r="E888" s="16"/>
    </row>
    <row r="889" spans="2:5">
      <c r="B889" s="16"/>
      <c r="C889" s="16"/>
      <c r="D889" s="16"/>
      <c r="E889" s="16"/>
    </row>
    <row r="890" spans="2:5">
      <c r="B890" s="16"/>
      <c r="C890" s="16"/>
      <c r="D890" s="16"/>
      <c r="E890" s="16"/>
    </row>
    <row r="891" spans="2:5">
      <c r="B891" s="16"/>
      <c r="C891" s="16"/>
      <c r="D891" s="16"/>
      <c r="E891" s="16"/>
    </row>
    <row r="892" spans="2:5">
      <c r="B892" s="16"/>
      <c r="C892" s="16"/>
      <c r="D892" s="16"/>
      <c r="E892" s="16"/>
    </row>
    <row r="893" spans="2:5">
      <c r="B893" s="16"/>
      <c r="C893" s="16"/>
      <c r="D893" s="16"/>
      <c r="E893" s="16"/>
    </row>
    <row r="894" spans="2:5">
      <c r="B894" s="16"/>
      <c r="C894" s="16"/>
      <c r="D894" s="16"/>
      <c r="E894" s="16"/>
    </row>
    <row r="895" spans="2:5">
      <c r="B895" s="16"/>
      <c r="C895" s="16"/>
      <c r="D895" s="16"/>
      <c r="E895" s="16"/>
    </row>
    <row r="896" spans="2:5">
      <c r="B896" s="16"/>
      <c r="C896" s="16"/>
      <c r="D896" s="16"/>
      <c r="E896" s="16"/>
    </row>
    <row r="897" spans="2:5">
      <c r="B897" s="16"/>
      <c r="C897" s="16"/>
      <c r="D897" s="16"/>
      <c r="E897" s="16"/>
    </row>
    <row r="898" spans="2:5">
      <c r="B898" s="16"/>
      <c r="C898" s="16"/>
      <c r="D898" s="16"/>
      <c r="E898" s="16"/>
    </row>
    <row r="899" spans="2:5">
      <c r="B899" s="16"/>
      <c r="C899" s="16"/>
      <c r="D899" s="16"/>
      <c r="E899" s="16"/>
    </row>
    <row r="900" spans="2:5">
      <c r="B900" s="16"/>
      <c r="C900" s="16"/>
      <c r="D900" s="16"/>
      <c r="E900" s="16"/>
    </row>
    <row r="901" spans="2:5">
      <c r="B901" s="16"/>
      <c r="C901" s="16"/>
      <c r="D901" s="16"/>
      <c r="E901" s="16"/>
    </row>
    <row r="902" spans="2:5">
      <c r="B902" s="16"/>
      <c r="C902" s="16"/>
      <c r="D902" s="16"/>
      <c r="E902" s="16"/>
    </row>
    <row r="903" spans="2:5">
      <c r="B903" s="16"/>
      <c r="C903" s="16"/>
      <c r="D903" s="16"/>
      <c r="E903" s="16"/>
    </row>
    <row r="904" spans="2:5">
      <c r="B904" s="16"/>
      <c r="C904" s="16"/>
      <c r="D904" s="16"/>
      <c r="E904" s="16"/>
    </row>
    <row r="905" spans="2:5">
      <c r="B905" s="16"/>
      <c r="C905" s="16"/>
      <c r="D905" s="16"/>
      <c r="E905" s="16"/>
    </row>
    <row r="906" spans="2:5">
      <c r="B906" s="16"/>
      <c r="C906" s="16"/>
      <c r="D906" s="16"/>
      <c r="E906" s="16"/>
    </row>
    <row r="907" spans="2:5">
      <c r="B907" s="16"/>
      <c r="C907" s="16"/>
      <c r="D907" s="16"/>
      <c r="E907" s="16"/>
    </row>
    <row r="908" spans="2:5">
      <c r="B908" s="16"/>
      <c r="C908" s="16"/>
      <c r="D908" s="16"/>
      <c r="E908" s="16"/>
    </row>
    <row r="909" spans="2:5">
      <c r="B909" s="16"/>
      <c r="C909" s="16"/>
      <c r="D909" s="16"/>
      <c r="E909" s="16"/>
    </row>
    <row r="910" spans="2:5">
      <c r="B910" s="16"/>
      <c r="C910" s="16"/>
      <c r="D910" s="16"/>
      <c r="E910" s="16"/>
    </row>
    <row r="911" spans="2:5">
      <c r="B911" s="16"/>
      <c r="C911" s="16"/>
      <c r="D911" s="16"/>
      <c r="E911" s="16"/>
    </row>
    <row r="912" spans="2:5">
      <c r="B912" s="16"/>
      <c r="C912" s="16"/>
      <c r="D912" s="16"/>
      <c r="E912" s="16"/>
    </row>
    <row r="913" spans="2:5">
      <c r="B913" s="16"/>
      <c r="C913" s="16"/>
      <c r="D913" s="16"/>
      <c r="E913" s="16"/>
    </row>
    <row r="914" spans="2:5">
      <c r="B914" s="16"/>
      <c r="C914" s="16"/>
      <c r="D914" s="16"/>
      <c r="E914" s="16"/>
    </row>
    <row r="915" spans="2:5">
      <c r="B915" s="16"/>
      <c r="C915" s="16"/>
      <c r="D915" s="16"/>
      <c r="E915" s="16"/>
    </row>
    <row r="916" spans="2:5">
      <c r="B916" s="16"/>
      <c r="C916" s="16"/>
      <c r="D916" s="16"/>
      <c r="E916" s="16"/>
    </row>
    <row r="917" spans="2:5">
      <c r="B917" s="16"/>
      <c r="C917" s="16"/>
      <c r="D917" s="16"/>
      <c r="E917" s="16"/>
    </row>
    <row r="918" spans="2:5">
      <c r="B918" s="16"/>
      <c r="C918" s="16"/>
      <c r="D918" s="16"/>
      <c r="E918" s="16"/>
    </row>
    <row r="919" spans="2:5">
      <c r="B919" s="16"/>
      <c r="C919" s="16"/>
      <c r="D919" s="16"/>
      <c r="E919" s="16"/>
    </row>
    <row r="920" spans="2:5">
      <c r="B920" s="16"/>
      <c r="C920" s="16"/>
      <c r="D920" s="16"/>
      <c r="E920" s="16"/>
    </row>
    <row r="921" spans="2:5">
      <c r="B921" s="16"/>
      <c r="C921" s="16"/>
      <c r="D921" s="16"/>
      <c r="E921" s="16"/>
    </row>
    <row r="922" spans="2:5">
      <c r="B922" s="16"/>
      <c r="C922" s="16"/>
      <c r="D922" s="16"/>
      <c r="E922" s="16"/>
    </row>
    <row r="923" spans="2:5">
      <c r="B923" s="16"/>
      <c r="C923" s="16"/>
      <c r="D923" s="16"/>
      <c r="E923" s="16"/>
    </row>
    <row r="924" spans="2:5">
      <c r="B924" s="16"/>
      <c r="C924" s="16"/>
      <c r="D924" s="16"/>
      <c r="E924" s="16"/>
    </row>
    <row r="925" spans="2:5">
      <c r="B925" s="16"/>
      <c r="C925" s="16"/>
      <c r="D925" s="16"/>
      <c r="E925" s="16"/>
    </row>
    <row r="926" spans="2:5">
      <c r="B926" s="16"/>
      <c r="C926" s="16"/>
      <c r="D926" s="16"/>
      <c r="E926" s="16"/>
    </row>
    <row r="927" spans="2:5">
      <c r="B927" s="16"/>
      <c r="C927" s="16"/>
      <c r="D927" s="16"/>
      <c r="E927" s="16"/>
    </row>
    <row r="928" spans="2:5">
      <c r="B928" s="16"/>
      <c r="C928" s="16"/>
      <c r="D928" s="16"/>
      <c r="E928" s="16"/>
    </row>
    <row r="929" spans="2:5">
      <c r="B929" s="16"/>
      <c r="C929" s="16"/>
      <c r="D929" s="16"/>
      <c r="E929" s="16"/>
    </row>
    <row r="930" spans="2:5">
      <c r="B930" s="16"/>
      <c r="C930" s="16"/>
      <c r="D930" s="16"/>
      <c r="E930" s="16"/>
    </row>
    <row r="931" spans="2:5">
      <c r="B931" s="16"/>
      <c r="C931" s="16"/>
      <c r="D931" s="16"/>
      <c r="E931" s="16"/>
    </row>
    <row r="932" spans="2:5">
      <c r="B932" s="16"/>
      <c r="C932" s="16"/>
      <c r="D932" s="16"/>
      <c r="E932" s="16"/>
    </row>
    <row r="933" spans="2:5">
      <c r="B933" s="16"/>
      <c r="C933" s="16"/>
      <c r="D933" s="16"/>
      <c r="E933" s="16"/>
    </row>
    <row r="934" spans="2:5">
      <c r="B934" s="16"/>
      <c r="C934" s="16"/>
      <c r="D934" s="16"/>
      <c r="E934" s="16"/>
    </row>
    <row r="935" spans="2:5">
      <c r="B935" s="16"/>
      <c r="C935" s="16"/>
      <c r="D935" s="16"/>
      <c r="E935" s="16"/>
    </row>
    <row r="936" spans="2:5">
      <c r="B936" s="16"/>
      <c r="C936" s="16"/>
      <c r="D936" s="16"/>
      <c r="E936" s="16"/>
    </row>
    <row r="937" spans="2:5">
      <c r="B937" s="16"/>
      <c r="C937" s="16"/>
      <c r="D937" s="16"/>
      <c r="E937" s="16"/>
    </row>
    <row r="938" spans="2:5">
      <c r="B938" s="16"/>
      <c r="C938" s="16"/>
      <c r="D938" s="16"/>
      <c r="E938" s="16"/>
    </row>
    <row r="939" spans="2:5">
      <c r="B939" s="16"/>
      <c r="C939" s="16"/>
      <c r="D939" s="16"/>
      <c r="E939" s="16"/>
    </row>
    <row r="940" spans="2:5">
      <c r="B940" s="16"/>
      <c r="C940" s="16"/>
      <c r="D940" s="16"/>
      <c r="E940" s="16"/>
    </row>
    <row r="941" spans="2:5">
      <c r="B941" s="16"/>
      <c r="C941" s="16"/>
      <c r="D941" s="16"/>
      <c r="E941" s="16"/>
    </row>
    <row r="942" spans="2:5">
      <c r="B942" s="16"/>
      <c r="C942" s="16"/>
      <c r="D942" s="16"/>
      <c r="E942" s="16"/>
    </row>
    <row r="943" spans="2:5">
      <c r="B943" s="16"/>
      <c r="C943" s="16"/>
      <c r="D943" s="16"/>
      <c r="E943" s="16"/>
    </row>
    <row r="944" spans="2:5">
      <c r="B944" s="16"/>
      <c r="C944" s="16"/>
      <c r="D944" s="16"/>
      <c r="E944" s="16"/>
    </row>
    <row r="945" spans="2:5">
      <c r="B945" s="16"/>
      <c r="C945" s="16"/>
      <c r="D945" s="16"/>
      <c r="E945" s="16"/>
    </row>
    <row r="946" spans="2:5">
      <c r="B946" s="16"/>
      <c r="C946" s="16"/>
      <c r="D946" s="16"/>
      <c r="E946" s="16"/>
    </row>
    <row r="947" spans="2:5">
      <c r="B947" s="16"/>
      <c r="C947" s="16"/>
      <c r="D947" s="16"/>
      <c r="E947" s="16"/>
    </row>
    <row r="948" spans="2:5">
      <c r="B948" s="16"/>
      <c r="C948" s="16"/>
      <c r="D948" s="16"/>
      <c r="E948" s="16"/>
    </row>
    <row r="949" spans="2:5">
      <c r="B949" s="16"/>
      <c r="C949" s="16"/>
      <c r="D949" s="16"/>
      <c r="E949" s="16"/>
    </row>
    <row r="950" spans="2:5">
      <c r="B950" s="16"/>
      <c r="C950" s="16"/>
      <c r="D950" s="16"/>
      <c r="E950" s="16"/>
    </row>
    <row r="951" spans="2:5">
      <c r="B951" s="16"/>
      <c r="C951" s="16"/>
      <c r="D951" s="16"/>
      <c r="E951" s="16"/>
    </row>
    <row r="952" spans="2:5">
      <c r="B952" s="16"/>
      <c r="C952" s="16"/>
      <c r="D952" s="16"/>
      <c r="E952" s="16"/>
    </row>
    <row r="953" spans="2:5">
      <c r="B953" s="16"/>
      <c r="C953" s="16"/>
      <c r="D953" s="16"/>
      <c r="E953" s="16"/>
    </row>
    <row r="954" spans="2:5">
      <c r="B954" s="16"/>
      <c r="C954" s="16"/>
      <c r="D954" s="16"/>
      <c r="E954" s="16"/>
    </row>
    <row r="955" spans="2:5">
      <c r="B955" s="16"/>
      <c r="C955" s="16"/>
      <c r="D955" s="16"/>
      <c r="E955" s="16"/>
    </row>
    <row r="956" spans="2:5">
      <c r="B956" s="16"/>
      <c r="C956" s="16"/>
      <c r="D956" s="16"/>
      <c r="E956" s="16"/>
    </row>
    <row r="957" spans="2:5">
      <c r="B957" s="16"/>
      <c r="C957" s="16"/>
      <c r="D957" s="16"/>
      <c r="E957" s="16"/>
    </row>
    <row r="958" spans="2:5">
      <c r="B958" s="16"/>
      <c r="C958" s="16"/>
      <c r="D958" s="16"/>
      <c r="E958" s="16"/>
    </row>
    <row r="959" spans="2:5">
      <c r="B959" s="16"/>
      <c r="C959" s="16"/>
      <c r="D959" s="16"/>
      <c r="E959" s="16"/>
    </row>
    <row r="960" spans="2:5">
      <c r="B960" s="16"/>
      <c r="C960" s="16"/>
      <c r="D960" s="16"/>
      <c r="E960" s="16"/>
    </row>
    <row r="961" spans="2:5">
      <c r="B961" s="16"/>
      <c r="C961" s="16"/>
      <c r="D961" s="16"/>
      <c r="E961" s="16"/>
    </row>
    <row r="962" spans="2:5">
      <c r="B962" s="16"/>
      <c r="C962" s="16"/>
      <c r="D962" s="16"/>
      <c r="E962" s="16"/>
    </row>
    <row r="963" spans="2:5">
      <c r="B963" s="16"/>
      <c r="C963" s="16"/>
      <c r="D963" s="16"/>
      <c r="E963" s="16"/>
    </row>
    <row r="964" spans="2:5">
      <c r="B964" s="16"/>
      <c r="C964" s="16"/>
      <c r="D964" s="16"/>
      <c r="E964" s="16"/>
    </row>
    <row r="965" spans="2:5">
      <c r="B965" s="16"/>
      <c r="C965" s="16"/>
      <c r="D965" s="16"/>
      <c r="E965" s="16"/>
    </row>
    <row r="966" spans="2:5">
      <c r="B966" s="16"/>
      <c r="C966" s="16"/>
      <c r="D966" s="16"/>
      <c r="E966" s="16"/>
    </row>
    <row r="967" spans="2:5">
      <c r="B967" s="16"/>
      <c r="C967" s="16"/>
      <c r="D967" s="16"/>
      <c r="E967" s="16"/>
    </row>
    <row r="968" spans="2:5">
      <c r="B968" s="16"/>
      <c r="C968" s="16"/>
      <c r="D968" s="16"/>
      <c r="E968" s="16"/>
    </row>
    <row r="969" spans="2:5">
      <c r="B969" s="16"/>
      <c r="C969" s="16"/>
      <c r="D969" s="16"/>
      <c r="E969" s="16"/>
    </row>
    <row r="970" spans="2:5">
      <c r="B970" s="16"/>
      <c r="C970" s="16"/>
      <c r="D970" s="16"/>
      <c r="E970" s="16"/>
    </row>
    <row r="971" spans="2:5">
      <c r="B971" s="16"/>
      <c r="C971" s="16"/>
      <c r="D971" s="16"/>
      <c r="E971" s="16"/>
    </row>
    <row r="972" spans="2:5">
      <c r="B972" s="16"/>
      <c r="C972" s="16"/>
      <c r="D972" s="16"/>
      <c r="E972" s="16"/>
    </row>
    <row r="973" spans="2:5">
      <c r="B973" s="16"/>
      <c r="C973" s="16"/>
      <c r="D973" s="16"/>
      <c r="E973" s="16"/>
    </row>
    <row r="974" spans="2:5">
      <c r="B974" s="16"/>
      <c r="C974" s="16"/>
      <c r="D974" s="16"/>
      <c r="E974" s="16"/>
    </row>
    <row r="975" spans="2:5">
      <c r="B975" s="16"/>
      <c r="C975" s="16"/>
      <c r="D975" s="16"/>
      <c r="E975" s="16"/>
    </row>
    <row r="976" spans="2:5">
      <c r="B976" s="16"/>
      <c r="C976" s="16"/>
      <c r="D976" s="16"/>
      <c r="E976" s="16"/>
    </row>
    <row r="977" spans="2:5">
      <c r="B977" s="16"/>
      <c r="C977" s="16"/>
      <c r="D977" s="16"/>
      <c r="E977" s="16"/>
    </row>
    <row r="978" spans="2:5">
      <c r="B978" s="16"/>
      <c r="C978" s="16"/>
      <c r="D978" s="16"/>
      <c r="E978" s="16"/>
    </row>
    <row r="979" spans="2:5">
      <c r="B979" s="16"/>
      <c r="C979" s="16"/>
      <c r="D979" s="16"/>
      <c r="E979" s="16"/>
    </row>
    <row r="980" spans="2:5">
      <c r="B980" s="16"/>
      <c r="C980" s="16"/>
      <c r="D980" s="16"/>
      <c r="E980" s="16"/>
    </row>
    <row r="981" spans="2:5">
      <c r="B981" s="16"/>
      <c r="C981" s="16"/>
      <c r="D981" s="16"/>
      <c r="E981" s="16"/>
    </row>
    <row r="982" spans="2:5">
      <c r="B982" s="16"/>
      <c r="C982" s="16"/>
      <c r="D982" s="16"/>
      <c r="E982" s="16"/>
    </row>
    <row r="983" spans="2:5">
      <c r="B983" s="16"/>
      <c r="C983" s="16"/>
      <c r="D983" s="16"/>
      <c r="E983" s="16"/>
    </row>
    <row r="984" spans="2:5">
      <c r="B984" s="16"/>
      <c r="C984" s="16"/>
      <c r="D984" s="16"/>
      <c r="E984" s="16"/>
    </row>
    <row r="985" spans="2:5">
      <c r="B985" s="16"/>
      <c r="C985" s="16"/>
      <c r="D985" s="16"/>
      <c r="E985" s="16"/>
    </row>
    <row r="986" spans="2:5">
      <c r="B986" s="16"/>
      <c r="C986" s="16"/>
      <c r="D986" s="16"/>
      <c r="E986" s="16"/>
    </row>
    <row r="987" spans="2:5">
      <c r="B987" s="16"/>
      <c r="C987" s="16"/>
      <c r="D987" s="16"/>
      <c r="E987" s="16"/>
    </row>
    <row r="988" spans="2:5">
      <c r="B988" s="16"/>
      <c r="C988" s="16"/>
      <c r="D988" s="16"/>
      <c r="E988" s="16"/>
    </row>
    <row r="989" spans="2:5">
      <c r="B989" s="16"/>
      <c r="C989" s="16"/>
      <c r="D989" s="16"/>
      <c r="E989" s="16"/>
    </row>
    <row r="990" spans="2:5">
      <c r="B990" s="16"/>
      <c r="C990" s="16"/>
      <c r="D990" s="16"/>
      <c r="E990" s="16"/>
    </row>
    <row r="991" spans="2:5">
      <c r="B991" s="16"/>
      <c r="C991" s="16"/>
      <c r="D991" s="16"/>
      <c r="E991" s="16"/>
    </row>
    <row r="992" spans="2:5">
      <c r="B992" s="16"/>
      <c r="C992" s="16"/>
      <c r="D992" s="16"/>
      <c r="E992" s="16"/>
    </row>
    <row r="993" spans="2:5">
      <c r="B993" s="16"/>
      <c r="C993" s="16"/>
      <c r="D993" s="16"/>
      <c r="E993" s="16"/>
    </row>
    <row r="994" spans="2:5">
      <c r="B994" s="16"/>
      <c r="C994" s="16"/>
      <c r="D994" s="16"/>
      <c r="E994" s="16"/>
    </row>
    <row r="995" spans="2:5">
      <c r="B995" s="16"/>
      <c r="C995" s="16"/>
      <c r="D995" s="16"/>
      <c r="E995" s="16"/>
    </row>
    <row r="996" spans="2:5">
      <c r="B996" s="16"/>
      <c r="C996" s="16"/>
      <c r="D996" s="16"/>
      <c r="E996" s="16"/>
    </row>
    <row r="997" spans="2:5">
      <c r="B997" s="16"/>
      <c r="C997" s="16"/>
      <c r="D997" s="16"/>
      <c r="E997" s="16"/>
    </row>
    <row r="998" spans="2:5">
      <c r="B998" s="16"/>
      <c r="C998" s="16"/>
      <c r="D998" s="16"/>
      <c r="E998" s="16"/>
    </row>
    <row r="999" spans="2:5">
      <c r="B999" s="16"/>
      <c r="C999" s="16"/>
      <c r="D999" s="16"/>
      <c r="E999" s="16"/>
    </row>
    <row r="1000" spans="2:5">
      <c r="B1000" s="16"/>
      <c r="C1000" s="16"/>
      <c r="D1000" s="16"/>
      <c r="E1000"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sheetViews>
  <sheetFormatPr defaultColWidth="12.5703125" defaultRowHeight="15.75" customHeight="1"/>
  <cols>
    <col min="1" max="1" width="86.42578125" customWidth="1"/>
    <col min="2" max="2" width="37" customWidth="1"/>
    <col min="3" max="5" width="28.85546875" customWidth="1"/>
  </cols>
  <sheetData>
    <row r="1" spans="1:26">
      <c r="A1" s="13" t="s">
        <v>0</v>
      </c>
      <c r="B1" s="14" t="s">
        <v>1</v>
      </c>
      <c r="C1" s="14" t="s">
        <v>2</v>
      </c>
      <c r="D1" s="14" t="s">
        <v>3</v>
      </c>
      <c r="E1" s="14" t="s">
        <v>4</v>
      </c>
      <c r="F1" s="13"/>
      <c r="G1" s="13"/>
      <c r="H1" s="13"/>
      <c r="I1" s="13"/>
      <c r="J1" s="13"/>
      <c r="K1" s="13"/>
      <c r="L1" s="13"/>
      <c r="M1" s="13"/>
      <c r="N1" s="13"/>
      <c r="O1" s="13"/>
      <c r="P1" s="13"/>
      <c r="Q1" s="13"/>
      <c r="R1" s="13"/>
      <c r="S1" s="13"/>
      <c r="T1" s="13"/>
      <c r="U1" s="13"/>
      <c r="V1" s="13"/>
      <c r="W1" s="13"/>
      <c r="X1" s="13"/>
      <c r="Y1" s="13"/>
      <c r="Z1" s="13"/>
    </row>
    <row r="2" spans="1:26">
      <c r="A2" s="15" t="str">
        <f ca="1">IFERROR(__xludf.DUMMYFUNCTION("GOOGLETRANSLATE('Genshin Impact'!A2,""ru"",""en"")"),"Which character is the only five-star Geo character that uses a catalyst?")</f>
        <v>Which character is the only five-star Geo character that uses a catalyst?</v>
      </c>
      <c r="B2" s="15" t="str">
        <f ca="1">IFERROR(__xludf.DUMMYFUNCTION("GOOGLETRANSLATE('Genshin Impact'!B2,""ru"",""en"")"),"There is currently no such character.")</f>
        <v>There is currently no such character.</v>
      </c>
      <c r="C2" s="15" t="str">
        <f ca="1">IFERROR(__xludf.DUMMYFUNCTION("GOOGLETRANSLATE('Genshin Impact'!C2,""ru"",""en"")"),"Ning Guang")</f>
        <v>Ning Guang</v>
      </c>
      <c r="D2" s="15" t="str">
        <f ca="1">IFERROR(__xludf.DUMMYFUNCTION("GOOGLETRANSLATE('Genshin Impact'!D2,""ru"",""en"")"),"Zhong Li")</f>
        <v>Zhong Li</v>
      </c>
      <c r="E2" s="15" t="str">
        <f ca="1">IFERROR(__xludf.DUMMYFUNCTION("GOOGLETRANSLATE('Genshin Impact'!E2,""ru"",""en"")"),"Albedo")</f>
        <v>Albedo</v>
      </c>
    </row>
    <row r="3" spans="1:26">
      <c r="A3" s="15" t="str">
        <f ca="1">IFERROR(__xludf.DUMMYFUNCTION("GOOGLETRANSLATE('Genshin Impact'!A3,""ru"",""en"")"),"What region does the character Harlequin come from?")</f>
        <v>What region does the character Harlequin come from?</v>
      </c>
      <c r="B3" s="15" t="str">
        <f ca="1">IFERROR(__xludf.DUMMYFUNCTION("GOOGLETRANSLATE('Genshin Impact'!B3,""ru"",""en"")"),"Snowy")</f>
        <v>Snowy</v>
      </c>
      <c r="C3" s="15" t="str">
        <f ca="1">IFERROR(__xludf.DUMMYFUNCTION("GOOGLETRANSLATE('Genshin Impact'!C3,""ru"",""en"")"),"Fontaine")</f>
        <v>Fontaine</v>
      </c>
      <c r="D3" s="15" t="str">
        <f ca="1">IFERROR(__xludf.DUMMYFUNCTION("GOOGLETRANSLATE('Genshin Impact'!D3,""ru"",""en"")"),"Natlan")</f>
        <v>Natlan</v>
      </c>
      <c r="E3" s="15" t="str">
        <f ca="1">IFERROR(__xludf.DUMMYFUNCTION("GOOGLETRANSLATE('Genshin Impact'!E3,""ru"",""en"")"),"Sumeru")</f>
        <v>Sumeru</v>
      </c>
    </row>
    <row r="4" spans="1:26">
      <c r="A4" s="15" t="str">
        <f ca="1">IFERROR(__xludf.DUMMYFUNCTION("GOOGLETRANSLATE('Genshin Impact'!A4,""ru"",""en"")"),"What type of weapon does Raiden Shogun use?")</f>
        <v>What type of weapon does Raiden Shogun use?</v>
      </c>
      <c r="B4" s="15" t="str">
        <f ca="1">IFERROR(__xludf.DUMMYFUNCTION("GOOGLETRANSLATE('Genshin Impact'!B4,""ru"",""en"")"),"Polearms")</f>
        <v>Polearms</v>
      </c>
      <c r="C4" s="15" t="str">
        <f ca="1">IFERROR(__xludf.DUMMYFUNCTION("GOOGLETRANSLATE('Genshin Impact'!C4,""ru"",""en"")"),"One-handed sword")</f>
        <v>One-handed sword</v>
      </c>
      <c r="D4" s="15" t="str">
        <f ca="1">IFERROR(__xludf.DUMMYFUNCTION("GOOGLETRANSLATE('Genshin Impact'!D4,""ru"",""en"")"),"Catalyst")</f>
        <v>Catalyst</v>
      </c>
      <c r="E4" s="15" t="str">
        <f ca="1">IFERROR(__xludf.DUMMYFUNCTION("GOOGLETRANSLATE('Genshin Impact'!E4,""ru"",""en"")"),"Two-handed sword")</f>
        <v>Two-handed sword</v>
      </c>
    </row>
    <row r="5" spans="1:26">
      <c r="A5" s="15" t="str">
        <f ca="1">IFERROR(__xludf.DUMMYFUNCTION("GOOGLETRANSLATE('Genshin Impact'!A5,""ru"",""en"")"),"Which of the following characters is NOT a four-star Anemo character?")</f>
        <v>Which of the following characters is NOT a four-star Anemo character?</v>
      </c>
      <c r="B5" s="15" t="str">
        <f ca="1">IFERROR(__xludf.DUMMYFUNCTION("GOOGLETRANSLATE('Genshin Impact'!B5,""ru"",""en"")"),"Kazuha")</f>
        <v>Kazuha</v>
      </c>
      <c r="C5" s="15" t="str">
        <f ca="1">IFERROR(__xludf.DUMMYFUNCTION("GOOGLETRANSLATE('Genshin Impact'!C5,""ru"",""en"")"),"Sucrose")</f>
        <v>Sucrose</v>
      </c>
      <c r="D5" s="15" t="str">
        <f ca="1">IFERROR(__xludf.DUMMYFUNCTION("GOOGLETRANSLATE('Genshin Impact'!D5,""ru"",""en"")"),"Faruzan")</f>
        <v>Faruzan</v>
      </c>
      <c r="E5" s="15" t="str">
        <f ca="1">IFERROR(__xludf.DUMMYFUNCTION("GOOGLETRANSLATE('Genshin Impact'!E5,""ru"",""en"")"),"Heizo")</f>
        <v>Heizo</v>
      </c>
    </row>
    <row r="6" spans="1:26">
      <c r="A6" s="15" t="str">
        <f ca="1">IFERROR(__xludf.DUMMYFUNCTION("GOOGLETRANSLATE('Genshin Impact'!A6,""ru"",""en"")"),"Which character from Mondstadt uses the Cryo element and a polearm?")</f>
        <v>Which character from Mondstadt uses the Cryo element and a polearm?</v>
      </c>
      <c r="B6" s="15" t="str">
        <f ca="1">IFERROR(__xludf.DUMMYFUNCTION("GOOGLETRANSLATE('Genshin Impact'!B6,""ru"",""en"")"),"Mika")</f>
        <v>Mika</v>
      </c>
      <c r="C6" s="15" t="str">
        <f ca="1">IFERROR(__xludf.DUMMYFUNCTION("GOOGLETRANSLATE('Genshin Impact'!C6,""ru"",""en"")"),"Keya")</f>
        <v>Keya</v>
      </c>
      <c r="D6" s="15" t="str">
        <f ca="1">IFERROR(__xludf.DUMMYFUNCTION("GOOGLETRANSLATE('Genshin Impact'!D6,""ru"",""en"")"),"Diona")</f>
        <v>Diona</v>
      </c>
      <c r="E6" s="15" t="str">
        <f ca="1">IFERROR(__xludf.DUMMYFUNCTION("GOOGLETRANSLATE('Genshin Impact'!E6,""ru"",""en"")"),"Rosary")</f>
        <v>Rosary</v>
      </c>
    </row>
    <row r="7" spans="1:26">
      <c r="A7" s="15" t="str">
        <f ca="1">IFERROR(__xludf.DUMMYFUNCTION("GOOGLETRANSLATE('Genshin Impact'!A7,""ru"",""en"")"),"Which Archon quest is a prelude to Gemini Volume I?")</f>
        <v>Which Archon quest is a prelude to Gemini Volume I?</v>
      </c>
      <c r="B7" s="15" t="str">
        <f ca="1">IFERROR(__xludf.DUMMYFUNCTION("GOOGLETRANSLATE('Genshin Impact'!B7,""ru"",""en"")"),"Branch Guardian: Dainsleif")</f>
        <v>Branch Guardian: Dainsleif</v>
      </c>
      <c r="C7" s="15" t="str">
        <f ca="1">IFERROR(__xludf.DUMMYFUNCTION("GOOGLETRANSLATE('Genshin Impact'!C7,""ru"",""en"")"),"We will meet again")</f>
        <v>We will meet again</v>
      </c>
      <c r="D7" s="15" t="str">
        <f ca="1">IFERROR(__xludf.DUMMYFUNCTION("GOOGLETRANSLATE('Genshin Impact'!D7,""ru"",""en"")"),"Traces of a Wanderer")</f>
        <v>Traces of a Wanderer</v>
      </c>
      <c r="E7" s="15" t="str">
        <f ca="1">IFERROR(__xludf.DUMMYFUNCTION("GOOGLETRANSLATE('Genshin Impact'!E7,""ru"",""en"")"),"The Stranger Who Caught the Wind")</f>
        <v>The Stranger Who Caught the Wind</v>
      </c>
    </row>
    <row r="8" spans="1:26">
      <c r="A8" s="15" t="str">
        <f ca="1">IFERROR(__xludf.DUMMYFUNCTION("GOOGLETRANSLATE('Genshin Impact'!A8,""ru"",""en"")"),"What elemental reaction occurs when Pyro and Cryo combine?")</f>
        <v>What elemental reaction occurs when Pyro and Cryo combine?</v>
      </c>
      <c r="B8" s="15" t="str">
        <f ca="1">IFERROR(__xludf.DUMMYFUNCTION("GOOGLETRANSLATE('Genshin Impact'!B8,""ru"",""en"")"),"Melting")</f>
        <v>Melting</v>
      </c>
      <c r="C8" s="15" t="str">
        <f ca="1">IFERROR(__xludf.DUMMYFUNCTION("GOOGLETRANSLATE('Genshin Impact'!C8,""ru"",""en"")"),"Evaporation")</f>
        <v>Evaporation</v>
      </c>
      <c r="D8" s="15" t="str">
        <f ca="1">IFERROR(__xludf.DUMMYFUNCTION("GOOGLETRANSLATE('Genshin Impact'!D8,""ru"",""en"")"),"Overload")</f>
        <v>Overload</v>
      </c>
      <c r="E8" s="15" t="str">
        <f ca="1">IFERROR(__xludf.DUMMYFUNCTION("GOOGLETRANSLATE('Genshin Impact'!E8,""ru"",""en"")"),"Freezing")</f>
        <v>Freezing</v>
      </c>
    </row>
    <row r="9" spans="1:26">
      <c r="A9" s="15" t="str">
        <f ca="1">IFERROR(__xludf.DUMMYFUNCTION("GOOGLETRANSLATE('Genshin Impact'!A9,""ru"",""en"")"),"How many volumes are planned for the main storyline of Teyvat?")</f>
        <v>How many volumes are planned for the main storyline of Teyvat?</v>
      </c>
      <c r="B9" s="15" t="str">
        <f ca="1">IFERROR(__xludf.DUMMYFUNCTION("GOOGLETRANSLATE('Genshin Impact'!B9,""ru"",""en"")"),"7 volumes")</f>
        <v>7 volumes</v>
      </c>
      <c r="C9" s="15" t="str">
        <f ca="1">IFERROR(__xludf.DUMMYFUNCTION("GOOGLETRANSLATE('Genshin Impact'!C9,""ru"",""en"")"),"5 volumes")</f>
        <v>5 volumes</v>
      </c>
      <c r="D9" s="15" t="str">
        <f ca="1">IFERROR(__xludf.DUMMYFUNCTION("GOOGLETRANSLATE('Genshin Impact'!D9,""ru"",""en"")"),"6 volumes")</f>
        <v>6 volumes</v>
      </c>
      <c r="E9" s="15" t="str">
        <f ca="1">IFERROR(__xludf.DUMMYFUNCTION("GOOGLETRANSLATE('Genshin Impact'!E9,""ru"",""en"")"),"8 volumes")</f>
        <v>8 volumes</v>
      </c>
    </row>
    <row r="10" spans="1:26">
      <c r="A10" s="15" t="str">
        <f ca="1">IFERROR(__xludf.DUMMYFUNCTION("GOOGLETRANSLATE('Genshin Impact'!A10,""ru"",""en"")"),"What is the minimum adventure rank required to access Volume III quests?")</f>
        <v>What is the minimum adventure rank required to access Volume III quests?</v>
      </c>
      <c r="B10" s="15" t="str">
        <f ca="1">IFERROR(__xludf.DUMMYFUNCTION("GOOGLETRANSLATE('Genshin Impact'!B10,""ru"",""en"")"),"35")</f>
        <v>35</v>
      </c>
      <c r="C10" s="15" t="str">
        <f ca="1">IFERROR(__xludf.DUMMYFUNCTION("GOOGLETRANSLATE('Genshin Impact'!C10,""ru"",""en"")"),"30")</f>
        <v>30</v>
      </c>
      <c r="D10" s="15" t="str">
        <f ca="1">IFERROR(__xludf.DUMMYFUNCTION("GOOGLETRANSLATE('Genshin Impact'!D10,""ru"",""en"")"),"40")</f>
        <v>40</v>
      </c>
      <c r="E10" s="15" t="str">
        <f ca="1">IFERROR(__xludf.DUMMYFUNCTION("GOOGLETRANSLATE('Genshin Impact'!E10,""ru"",""en"")"),"32")</f>
        <v>32</v>
      </c>
    </row>
    <row r="11" spans="1:26">
      <c r="A11" s="15" t="str">
        <f ca="1">IFERROR(__xludf.DUMMYFUNCTION("GOOGLETRANSLATE('Genshin Impact'!A11,""ru"",""en"")"),"Which character is the only five-star Dendro Archer?")</f>
        <v>Which character is the only five-star Dendro Archer?</v>
      </c>
      <c r="B11" s="15" t="str">
        <f ca="1">IFERROR(__xludf.DUMMYFUNCTION("GOOGLETRANSLATE('Genshin Impact'!B11,""ru"",""en"")"),"Tignari")</f>
        <v>Tignari</v>
      </c>
      <c r="C11" s="15" t="str">
        <f ca="1">IFERROR(__xludf.DUMMYFUNCTION("GOOGLETRANSLATE('Genshin Impact'!C11,""ru"",""en"")"),"Tracks")</f>
        <v>Tracks</v>
      </c>
      <c r="D11" s="15" t="str">
        <f ca="1">IFERROR(__xludf.DUMMYFUNCTION("GOOGLETRANSLATE('Genshin Impact'!D11,""ru"",""en"")"),"Nahida")</f>
        <v>Nahida</v>
      </c>
      <c r="E11" s="15" t="str">
        <f ca="1">IFERROR(__xludf.DUMMYFUNCTION("GOOGLETRANSLATE('Genshin Impact'!E11,""ru"",""en"")"),"Bai Zhu")</f>
        <v>Bai Zhu</v>
      </c>
    </row>
    <row r="12" spans="1:26">
      <c r="A12" s="15" t="str">
        <f ca="1">IFERROR(__xludf.DUMMYFUNCTION("GOOGLETRANSLATE('Genshin Impact'!A12,""ru"",""en"")"),"In which volume does the character Dainsleif first appear?")</f>
        <v>In which volume does the character Dainsleif first appear?</v>
      </c>
      <c r="B12" s="15" t="str">
        <f ca="1">IFERROR(__xludf.DUMMYFUNCTION("GOOGLETRANSLATE('Genshin Impact'!B12,""ru"",""en"")"),"Volume Gemini I")</f>
        <v>Volume Gemini I</v>
      </c>
      <c r="C12" s="15" t="str">
        <f ca="1">IFERROR(__xludf.DUMMYFUNCTION("GOOGLETRANSLATE('Genshin Impact'!C12,""ru"",""en"")"),"Prologue")</f>
        <v>Prologue</v>
      </c>
      <c r="D12" s="15" t="str">
        <f ca="1">IFERROR(__xludf.DUMMYFUNCTION("GOOGLETRANSLATE('Genshin Impact'!D12,""ru"",""en"")"),"Volume I")</f>
        <v>Volume I</v>
      </c>
      <c r="E12" s="15" t="str">
        <f ca="1">IFERROR(__xludf.DUMMYFUNCTION("GOOGLETRANSLATE('Genshin Impact'!E12,""ru"",""en"")"),"Interludes")</f>
        <v>Interludes</v>
      </c>
    </row>
    <row r="13" spans="1:26">
      <c r="A13" s="15" t="str">
        <f ca="1">IFERROR(__xludf.DUMMYFUNCTION("GOOGLETRANSLATE('Genshin Impact'!A13,""ru"",""en"")"),"What is the maximum rarity for artifacts in the game?")</f>
        <v>What is the maximum rarity for artifacts in the game?</v>
      </c>
      <c r="B13" s="15" t="str">
        <f ca="1">IFERROR(__xludf.DUMMYFUNCTION("GOOGLETRANSLATE('Genshin Impact'!B13,""ru"",""en"")"),"5 stars")</f>
        <v>5 stars</v>
      </c>
      <c r="C13" s="15" t="str">
        <f ca="1">IFERROR(__xludf.DUMMYFUNCTION("GOOGLETRANSLATE('Genshin Impact'!C13,""ru"",""en"")"),"4 stars")</f>
        <v>4 stars</v>
      </c>
      <c r="D13" s="15" t="str">
        <f ca="1">IFERROR(__xludf.DUMMYFUNCTION("GOOGLETRANSLATE('Genshin Impact'!D13,""ru"",""en"")"),"6 stars")</f>
        <v>6 stars</v>
      </c>
      <c r="E13" s="15" t="str">
        <f ca="1">IFERROR(__xludf.DUMMYFUNCTION("GOOGLETRANSLATE('Genshin Impact'!E13,""ru"",""en"")"),"3 stars")</f>
        <v>3 stars</v>
      </c>
    </row>
    <row r="14" spans="1:26">
      <c r="A14" s="15" t="str">
        <f ca="1">IFERROR(__xludf.DUMMYFUNCTION("GOOGLETRANSLATE('Genshin Impact'!A14,""ru"",""en"")"),"Which character is NOT a five-star Hydro character?")</f>
        <v>Which character is NOT a five-star Hydro character?</v>
      </c>
      <c r="B14" s="15" t="str">
        <f ca="1">IFERROR(__xludf.DUMMYFUNCTION("GOOGLETRANSLATE('Genshin Impact'!B14,""ru"",""en"")"),"Barbara")</f>
        <v>Barbara</v>
      </c>
      <c r="C14" s="15" t="str">
        <f ca="1">IFERROR(__xludf.DUMMYFUNCTION("GOOGLETRANSLATE('Genshin Impact'!C14,""ru"",""en"")"),"Neuvillette")</f>
        <v>Neuvillette</v>
      </c>
      <c r="D14" s="15" t="str">
        <f ca="1">IFERROR(__xludf.DUMMYFUNCTION("GOOGLETRANSLATE('Genshin Impact'!D14,""ru"",""en"")"),"Kokomi")</f>
        <v>Kokomi</v>
      </c>
      <c r="E14" s="15" t="str">
        <f ca="1">IFERROR(__xludf.DUMMYFUNCTION("GOOGLETRANSLATE('Genshin Impact'!E14,""ru"",""en"")"),"Tartaglia")</f>
        <v>Tartaglia</v>
      </c>
    </row>
    <row r="15" spans="1:26">
      <c r="A15" s="15" t="str">
        <f ca="1">IFERROR(__xludf.DUMMYFUNCTION("GOOGLETRANSLATE('Genshin Impact'!A15,""ru"",""en"")"),"Which character uses the adaptive element?")</f>
        <v>Which character uses the adaptive element?</v>
      </c>
      <c r="B15" s="15" t="str">
        <f ca="1">IFERROR(__xludf.DUMMYFUNCTION("GOOGLETRANSLATE('Genshin Impact'!B15,""ru"",""en"")"),"Traveler")</f>
        <v>Traveler</v>
      </c>
      <c r="C15" s="15" t="str">
        <f ca="1">IFERROR(__xludf.DUMMYFUNCTION("GOOGLETRANSLATE('Genshin Impact'!C15,""ru"",""en"")"),"Albedo")</f>
        <v>Albedo</v>
      </c>
      <c r="D15" s="15" t="str">
        <f ca="1">IFERROR(__xludf.DUMMYFUNCTION("GOOGLETRANSLATE('Genshin Impact'!D15,""ru"",""en"")"),"Nahida")</f>
        <v>Nahida</v>
      </c>
      <c r="E15" s="15" t="str">
        <f ca="1">IFERROR(__xludf.DUMMYFUNCTION("GOOGLETRANSLATE('Genshin Impact'!E15,""ru"",""en"")"),"Venti")</f>
        <v>Venti</v>
      </c>
    </row>
    <row r="16" spans="1:26">
      <c r="A16" s="15" t="str">
        <f ca="1">IFERROR(__xludf.DUMMYFUNCTION("GOOGLETRANSLATE('Genshin Impact'!A16,""ru"",""en"")"),"How many artifact slots does each character have?")</f>
        <v>How many artifact slots does each character have?</v>
      </c>
      <c r="B16" s="15" t="str">
        <f ca="1">IFERROR(__xludf.DUMMYFUNCTION("GOOGLETRANSLATE('Genshin Impact'!B16,""ru"",""en"")"),"5 slots")</f>
        <v>5 slots</v>
      </c>
      <c r="C16" s="15" t="str">
        <f ca="1">IFERROR(__xludf.DUMMYFUNCTION("GOOGLETRANSLATE('Genshin Impact'!C16,""ru"",""en"")"),"4 slots")</f>
        <v>4 slots</v>
      </c>
      <c r="D16" s="15" t="str">
        <f ca="1">IFERROR(__xludf.DUMMYFUNCTION("GOOGLETRANSLATE('Genshin Impact'!D16,""ru"",""en"")"),"6 slots")</f>
        <v>6 slots</v>
      </c>
      <c r="E16" s="15" t="str">
        <f ca="1">IFERROR(__xludf.DUMMYFUNCTION("GOOGLETRANSLATE('Genshin Impact'!E16,""ru"",""en"")"),"3 slots")</f>
        <v>3 slots</v>
      </c>
    </row>
    <row r="17" spans="1:5">
      <c r="A17" s="15" t="str">
        <f ca="1">IFERROR(__xludf.DUMMYFUNCTION("GOOGLETRANSLATE('Genshin Impact'!A17,""ru"",""en"")"),"Which character is the only four-star Geo Bow user?")</f>
        <v>Which character is the only four-star Geo Bow user?</v>
      </c>
      <c r="B17" s="15" t="str">
        <f ca="1">IFERROR(__xludf.DUMMYFUNCTION("GOOGLETRANSLATE('Genshin Impact'!B17,""ru"",""en"")"),"Goro")</f>
        <v>Goro</v>
      </c>
      <c r="C17" s="15" t="str">
        <f ca="1">IFERROR(__xludf.DUMMYFUNCTION("GOOGLETRANSLATE('Genshin Impact'!C17,""ru"",""en"")"),"Kazuha")</f>
        <v>Kazuha</v>
      </c>
      <c r="D17" s="15" t="str">
        <f ca="1">IFERROR(__xludf.DUMMYFUNCTION("GOOGLETRANSLATE('Genshin Impact'!D17,""ru"",""en"")"),"Tracks")</f>
        <v>Tracks</v>
      </c>
      <c r="E17" s="15" t="str">
        <f ca="1">IFERROR(__xludf.DUMMYFUNCTION("GOOGLETRANSLATE('Genshin Impact'!E17,""ru"",""en"")"),"Sarah")</f>
        <v>Sarah</v>
      </c>
    </row>
    <row r="18" spans="1:5">
      <c r="A18" s="15" t="str">
        <f ca="1">IFERROR(__xludf.DUMMYFUNCTION("GOOGLETRANSLATE('Genshin Impact'!A18,""ru"",""en"")"),"What region is the character Bai Zhu in?")</f>
        <v>What region is the character Bai Zhu in?</v>
      </c>
      <c r="B18" s="15" t="str">
        <f ca="1">IFERROR(__xludf.DUMMYFUNCTION("GOOGLETRANSLATE('Genshin Impact'!B18,""ru"",""en"")"),"Li Yue")</f>
        <v>Li Yue</v>
      </c>
      <c r="C18" s="15" t="str">
        <f ca="1">IFERROR(__xludf.DUMMYFUNCTION("GOOGLETRANSLATE('Genshin Impact'!C18,""ru"",""en"")"),"Sumeru")</f>
        <v>Sumeru</v>
      </c>
      <c r="D18" s="15" t="str">
        <f ca="1">IFERROR(__xludf.DUMMYFUNCTION("GOOGLETRANSLATE('Genshin Impact'!D18,""ru"",""en"")"),"Inazuma")</f>
        <v>Inazuma</v>
      </c>
      <c r="E18" s="15" t="str">
        <f ca="1">IFERROR(__xludf.DUMMYFUNCTION("GOOGLETRANSLATE('Genshin Impact'!E18,""ru"",""en"")"),"Fontaine")</f>
        <v>Fontaine</v>
      </c>
    </row>
    <row r="19" spans="1:5">
      <c r="A19" s="15" t="str">
        <f ca="1">IFERROR(__xludf.DUMMYFUNCTION("GOOGLETRANSLATE('Genshin Impact'!A19,""ru"",""en"")"),"What elemental reaction occurs when Electro and Hydro are combined?")</f>
        <v>What elemental reaction occurs when Electro and Hydro are combined?</v>
      </c>
      <c r="B19" s="15" t="str">
        <f ca="1">IFERROR(__xludf.DUMMYFUNCTION("GOOGLETRANSLATE('Genshin Impact'!B19,""ru"",""en"")"),"Loaded")</f>
        <v>Loaded</v>
      </c>
      <c r="C19" s="15" t="str">
        <f ca="1">IFERROR(__xludf.DUMMYFUNCTION("GOOGLETRANSLATE('Genshin Impact'!C19,""ru"",""en"")"),"Overload")</f>
        <v>Overload</v>
      </c>
      <c r="D19" s="15" t="str">
        <f ca="1">IFERROR(__xludf.DUMMYFUNCTION("GOOGLETRANSLATE('Genshin Impact'!D19,""ru"",""en"")"),"Superconductivity")</f>
        <v>Superconductivity</v>
      </c>
      <c r="E19" s="15" t="str">
        <f ca="1">IFERROR(__xludf.DUMMYFUNCTION("GOOGLETRANSLATE('Genshin Impact'!E19,""ru"",""en"")"),"Crystallization")</f>
        <v>Crystallization</v>
      </c>
    </row>
    <row r="20" spans="1:5">
      <c r="A20" s="15" t="str">
        <f ca="1">IFERROR(__xludf.DUMMYFUNCTION("GOOGLETRANSLATE('Genshin Impact'!A20,""ru"",""en"")"),"Which character is NOT a five-star Electro user?")</f>
        <v>Which character is NOT a five-star Electro user?</v>
      </c>
      <c r="B20" s="15" t="str">
        <f ca="1">IFERROR(__xludf.DUMMYFUNCTION("GOOGLETRANSLATE('Genshin Impact'!B20,""ru"",""en"")"),"Fischl")</f>
        <v>Fischl</v>
      </c>
      <c r="C20" s="15" t="str">
        <f ca="1">IFERROR(__xludf.DUMMYFUNCTION("GOOGLETRANSLATE('Genshin Impact'!C20,""ru"",""en"")"),"Raiden")</f>
        <v>Raiden</v>
      </c>
      <c r="D20" s="15" t="str">
        <f ca="1">IFERROR(__xludf.DUMMYFUNCTION("GOOGLETRANSLATE('Genshin Impact'!D20,""ru"",""en"")"),"Ke Qing")</f>
        <v>Ke Qing</v>
      </c>
      <c r="E20" s="15" t="str">
        <f ca="1">IFERROR(__xludf.DUMMYFUNCTION("GOOGLETRANSLATE('Genshin Impact'!E20,""ru"",""en"")"),"Saino")</f>
        <v>Saino</v>
      </c>
    </row>
    <row r="21" spans="1:5">
      <c r="A21" s="15" t="str">
        <f ca="1">IFERROR(__xludf.DUMMYFUNCTION("GOOGLETRANSLATE('Genshin Impact'!A21,""ru"",""en"")"),"Which character uses the Pyro element and a greatsword from Natlan?")</f>
        <v>Which character uses the Pyro element and a greatsword from Natlan?</v>
      </c>
      <c r="B21" s="15" t="str">
        <f ca="1">IFERROR(__xludf.DUMMYFUNCTION("GOOGLETRANSLATE('Genshin Impact'!B21,""ru"",""en"")"),"Mavuika")</f>
        <v>Mavuika</v>
      </c>
      <c r="C21" s="15" t="str">
        <f ca="1">IFERROR(__xludf.DUMMYFUNCTION("GOOGLETRANSLATE('Genshin Impact'!C21,""ru"",""en"")"),"Dehya")</f>
        <v>Dehya</v>
      </c>
      <c r="D21" s="15" t="str">
        <f ca="1">IFERROR(__xludf.DUMMYFUNCTION("GOOGLETRANSLATE('Genshin Impact'!D21,""ru"",""en"")"),"Diluc")</f>
        <v>Diluc</v>
      </c>
      <c r="E21" s="15" t="str">
        <f ca="1">IFERROR(__xludf.DUMMYFUNCTION("GOOGLETRANSLATE('Genshin Impact'!E21,""ru"",""en"")"),"Fireplace")</f>
        <v>Fireplace</v>
      </c>
    </row>
    <row r="22" spans="1:5">
      <c r="A22" s="15" t="str">
        <f ca="1">IFERROR(__xludf.DUMMYFUNCTION("GOOGLETRANSLATE('Genshin Impact'!A22,""ru"",""en"")"),"What is the title of the first chapter of Archon Quests Volume II?")</f>
        <v>What is the title of the first chapter of Archon Quests Volume II?</v>
      </c>
      <c r="B22" s="15" t="str">
        <f ca="1">IFERROR(__xludf.DUMMYFUNCTION("GOOGLETRANSLATE('Genshin Impact'!B22,""ru"",""en"")"),"The Unchanging God and the Eternal Utopia")</f>
        <v>The Unchanging God and the Eternal Utopia</v>
      </c>
      <c r="C22" s="15" t="str">
        <f ca="1">IFERROR(__xludf.DUMMYFUNCTION("GOOGLETRANSLATE('Genshin Impact'!C22,""ru"",""en"")"),"Autumn wind, crimson leaves")</f>
        <v>Autumn wind, crimson leaves</v>
      </c>
      <c r="D22" s="15" t="str">
        <f ca="1">IFERROR(__xludf.DUMMYFUNCTION("GOOGLETRANSLATE('Genshin Impact'!D22,""ru"",""en"")"),"Oblivion, the disappearance of shadows")</f>
        <v>Oblivion, the disappearance of shadows</v>
      </c>
      <c r="E22" s="15" t="str">
        <f ca="1">IFERROR(__xludf.DUMMYFUNCTION("GOOGLETRANSLATE('Genshin Impact'!E22,""ru"",""en"")"),"All-seeing God, mortal world")</f>
        <v>All-seeing God, mortal world</v>
      </c>
    </row>
    <row r="23" spans="1:5">
      <c r="A23" s="15" t="str">
        <f ca="1">IFERROR(__xludf.DUMMYFUNCTION("GOOGLETRANSLATE('Genshin Impact'!A23,""ru"",""en"")"),"How many stars are there in each character's constellation?")</f>
        <v>How many stars are there in each character's constellation?</v>
      </c>
      <c r="B23" s="15" t="str">
        <f ca="1">IFERROR(__xludf.DUMMYFUNCTION("GOOGLETRANSLATE('Genshin Impact'!B23,""ru"",""en"")"),"6 stars")</f>
        <v>6 stars</v>
      </c>
      <c r="C23" s="15" t="str">
        <f ca="1">IFERROR(__xludf.DUMMYFUNCTION("GOOGLETRANSLATE('Genshin Impact'!C23,""ru"",""en"")"),"5 stars")</f>
        <v>5 stars</v>
      </c>
      <c r="D23" s="15" t="str">
        <f ca="1">IFERROR(__xludf.DUMMYFUNCTION("GOOGLETRANSLATE('Genshin Impact'!D23,""ru"",""en"")"),"7 stars")</f>
        <v>7 stars</v>
      </c>
      <c r="E23" s="15" t="str">
        <f ca="1">IFERROR(__xludf.DUMMYFUNCTION("GOOGLETRANSLATE('Genshin Impact'!E23,""ru"",""en"")"),"4 stars")</f>
        <v>4 stars</v>
      </c>
    </row>
    <row r="24" spans="1:5">
      <c r="A24" s="15" t="str">
        <f ca="1">IFERROR(__xludf.DUMMYFUNCTION("GOOGLETRANSLATE('Genshin Impact'!A24,""ru"",""en"")"),"Which character is the only five-star Anemo polearm user?")</f>
        <v>Which character is the only five-star Anemo polearm user?</v>
      </c>
      <c r="B24" s="15" t="str">
        <f ca="1">IFERROR(__xludf.DUMMYFUNCTION("GOOGLETRANSLATE('Genshin Impact'!B24,""ru"",""en"")"),"Xiao")</f>
        <v>Xiao</v>
      </c>
      <c r="C24" s="15" t="str">
        <f ca="1">IFERROR(__xludf.DUMMYFUNCTION("GOOGLETRANSLATE('Genshin Impact'!C24,""ru"",""en"")"),"Venti")</f>
        <v>Venti</v>
      </c>
      <c r="D24" s="15" t="str">
        <f ca="1">IFERROR(__xludf.DUMMYFUNCTION("GOOGLETRANSLATE('Genshin Impact'!D24,""ru"",""en"")"),"Kazuha")</f>
        <v>Kazuha</v>
      </c>
      <c r="E24" s="15" t="str">
        <f ca="1">IFERROR(__xludf.DUMMYFUNCTION("GOOGLETRANSLATE('Genshin Impact'!E24,""ru"",""en"")"),"Wanderer")</f>
        <v>Wanderer</v>
      </c>
    </row>
    <row r="25" spans="1:5">
      <c r="A25" s="15" t="str">
        <f ca="1">IFERROR(__xludf.DUMMYFUNCTION("GOOGLETRANSLATE('Genshin Impact'!A25,""ru"",""en"")"),"What region does the character Tartaglia come from?")</f>
        <v>What region does the character Tartaglia come from?</v>
      </c>
      <c r="B25" s="15" t="str">
        <f ca="1">IFERROR(__xludf.DUMMYFUNCTION("GOOGLETRANSLATE('Genshin Impact'!B25,""ru"",""en"")"),"Snowy")</f>
        <v>Snowy</v>
      </c>
      <c r="C25" s="15" t="str">
        <f ca="1">IFERROR(__xludf.DUMMYFUNCTION("GOOGLETRANSLATE('Genshin Impact'!C25,""ru"",""en"")"),"Inazuma")</f>
        <v>Inazuma</v>
      </c>
      <c r="D25" s="15" t="str">
        <f ca="1">IFERROR(__xludf.DUMMYFUNCTION("GOOGLETRANSLATE('Genshin Impact'!D25,""ru"",""en"")"),"Li Yue")</f>
        <v>Li Yue</v>
      </c>
      <c r="E25" s="15" t="str">
        <f ca="1">IFERROR(__xludf.DUMMYFUNCTION("GOOGLETRANSLATE('Genshin Impact'!E25,""ru"",""en"")"),"Mondstadt")</f>
        <v>Mondstadt</v>
      </c>
    </row>
    <row r="26" spans="1:5">
      <c r="A26" s="15" t="str">
        <f ca="1">IFERROR(__xludf.DUMMYFUNCTION("GOOGLETRANSLATE('Genshin Impact'!A26,""ru"",""en"")"),"What elemental reaction occurs when Anemo is combined with any other element?")</f>
        <v>What elemental reaction occurs when Anemo is combined with any other element?</v>
      </c>
      <c r="B26" s="15" t="str">
        <f ca="1">IFERROR(__xludf.DUMMYFUNCTION("GOOGLETRANSLATE('Genshin Impact'!B26,""ru"",""en"")"),"Diffusion")</f>
        <v>Diffusion</v>
      </c>
      <c r="C26" s="15" t="str">
        <f ca="1">IFERROR(__xludf.DUMMYFUNCTION("GOOGLETRANSLATE('Genshin Impact'!C26,""ru"",""en"")"),"Crystallization")</f>
        <v>Crystallization</v>
      </c>
      <c r="D26" s="15" t="str">
        <f ca="1">IFERROR(__xludf.DUMMYFUNCTION("GOOGLETRANSLATE('Genshin Impact'!D26,""ru"",""en"")"),"Combustion")</f>
        <v>Combustion</v>
      </c>
      <c r="E26" s="15" t="str">
        <f ca="1">IFERROR(__xludf.DUMMYFUNCTION("GOOGLETRANSLATE('Genshin Impact'!E26,""ru"",""en"")"),"Bloom")</f>
        <v>Bloom</v>
      </c>
    </row>
    <row r="27" spans="1:5">
      <c r="A27" s="15" t="str">
        <f ca="1">IFERROR(__xludf.DUMMYFUNCTION("GOOGLETRANSLATE('Genshin Impact'!A27,""ru"",""en"")"),"Which character is the only four-star Dendro Swordsman?")</f>
        <v>Which character is the only four-star Dendro Swordsman?</v>
      </c>
      <c r="B27" s="15" t="str">
        <f ca="1">IFERROR(__xludf.DUMMYFUNCTION("GOOGLETRANSLATE('Genshin Impact'!B27,""ru"",""en"")"),"Kirara")</f>
        <v>Kirara</v>
      </c>
      <c r="C27" s="15" t="str">
        <f ca="1">IFERROR(__xludf.DUMMYFUNCTION("GOOGLETRANSLATE('Genshin Impact'!C27,""ru"",""en"")"),"Tracks")</f>
        <v>Tracks</v>
      </c>
      <c r="D27" s="15" t="str">
        <f ca="1">IFERROR(__xludf.DUMMYFUNCTION("GOOGLETRANSLATE('Genshin Impact'!D27,""ru"",""en"")"),"Kaveh")</f>
        <v>Kaveh</v>
      </c>
      <c r="E27" s="15" t="str">
        <f ca="1">IFERROR(__xludf.DUMMYFUNCTION("GOOGLETRANSLATE('Genshin Impact'!E27,""ru"",""en"")"),"Bai Zhu")</f>
        <v>Bai Zhu</v>
      </c>
    </row>
    <row r="28" spans="1:5">
      <c r="A28" s="15" t="str">
        <f ca="1">IFERROR(__xludf.DUMMYFUNCTION("GOOGLETRANSLATE('Genshin Impact'!A28,""ru"",""en"")"),"What is the maximum level a character can reach?")</f>
        <v>What is the maximum level a character can reach?</v>
      </c>
      <c r="B28" s="15" t="str">
        <f ca="1">IFERROR(__xludf.DUMMYFUNCTION("GOOGLETRANSLATE('Genshin Impact'!B28,""ru"",""en"")"),"90")</f>
        <v>90</v>
      </c>
      <c r="C28" s="15" t="str">
        <f ca="1">IFERROR(__xludf.DUMMYFUNCTION("GOOGLETRANSLATE('Genshin Impact'!C28,""ru"",""en"")"),"80")</f>
        <v>80</v>
      </c>
      <c r="D28" s="15" t="str">
        <f ca="1">IFERROR(__xludf.DUMMYFUNCTION("GOOGLETRANSLATE('Genshin Impact'!D28,""ru"",""en"")"),"100")</f>
        <v>100</v>
      </c>
      <c r="E28" s="15" t="str">
        <f ca="1">IFERROR(__xludf.DUMMYFUNCTION("GOOGLETRANSLATE('Genshin Impact'!E28,""ru"",""en"")"),"85")</f>
        <v>85</v>
      </c>
    </row>
    <row r="29" spans="1:5">
      <c r="A29" s="15" t="str">
        <f ca="1">IFERROR(__xludf.DUMMYFUNCTION("GOOGLETRANSLATE('Genshin Impact'!A29,""ru"",""en"")"),"In which volume of the Archon quests does Sumeru first appear?")</f>
        <v>In which volume of the Archon quests does Sumeru first appear?</v>
      </c>
      <c r="B29" s="15" t="str">
        <f ca="1">IFERROR(__xludf.DUMMYFUNCTION("GOOGLETRANSLATE('Genshin Impact'!B29,""ru"",""en"")"),"Volume III")</f>
        <v>Volume III</v>
      </c>
      <c r="C29" s="15" t="str">
        <f ca="1">IFERROR(__xludf.DUMMYFUNCTION("GOOGLETRANSLATE('Genshin Impact'!C29,""ru"",""en"")"),"Volume II")</f>
        <v>Volume II</v>
      </c>
      <c r="D29" s="15" t="str">
        <f ca="1">IFERROR(__xludf.DUMMYFUNCTION("GOOGLETRANSLATE('Genshin Impact'!D29,""ru"",""en"")"),"Volume IV")</f>
        <v>Volume IV</v>
      </c>
      <c r="E29" s="15" t="str">
        <f ca="1">IFERROR(__xludf.DUMMYFUNCTION("GOOGLETRANSLATE('Genshin Impact'!E29,""ru"",""en"")"),"Interludes")</f>
        <v>Interludes</v>
      </c>
    </row>
    <row r="30" spans="1:5">
      <c r="A30" s="15" t="str">
        <f ca="1">IFERROR(__xludf.DUMMYFUNCTION("GOOGLETRANSLATE('Genshin Impact'!A30,""ru"",""en"")"),"Which character is the only five-star Cryo Catalyst user?")</f>
        <v>Which character is the only five-star Cryo Catalyst user?</v>
      </c>
      <c r="B30" s="15" t="str">
        <f ca="1">IFERROR(__xludf.DUMMYFUNCTION("GOOGLETRANSLATE('Genshin Impact'!B30,""ru"",""en"")"),"Risley")</f>
        <v>Risley</v>
      </c>
      <c r="C30" s="15" t="str">
        <f ca="1">IFERROR(__xludf.DUMMYFUNCTION("GOOGLETRANSLATE('Genshin Impact'!C30,""ru"",""en"")"),"Qi Qi")</f>
        <v>Qi Qi</v>
      </c>
      <c r="D30" s="15" t="str">
        <f ca="1">IFERROR(__xludf.DUMMYFUNCTION("GOOGLETRANSLATE('Genshin Impact'!D30,""ru"",""en"")"),"Ganyu")</f>
        <v>Ganyu</v>
      </c>
      <c r="E30" s="15" t="str">
        <f ca="1">IFERROR(__xludf.DUMMYFUNCTION("GOOGLETRANSLATE('Genshin Impact'!E30,""ru"",""en"")"),"Ayaka")</f>
        <v>Ayaka</v>
      </c>
    </row>
    <row r="31" spans="1:5">
      <c r="A31" s="15" t="str">
        <f ca="1">IFERROR(__xludf.DUMMYFUNCTION("GOOGLETRANSLATE('Genshin Impact'!A31,""ru"",""en"")"),"How many ascension phases does a character have?")</f>
        <v>How many ascension phases does a character have?</v>
      </c>
      <c r="B31" s="15" t="str">
        <f ca="1">IFERROR(__xludf.DUMMYFUNCTION("GOOGLETRANSLATE('Genshin Impact'!B31,""ru"",""en"")"),"6 phases")</f>
        <v>6 phases</v>
      </c>
      <c r="C31" s="15" t="str">
        <f ca="1">IFERROR(__xludf.DUMMYFUNCTION("GOOGLETRANSLATE('Genshin Impact'!C31,""ru"",""en"")"),"5 phases")</f>
        <v>5 phases</v>
      </c>
      <c r="D31" s="15" t="str">
        <f ca="1">IFERROR(__xludf.DUMMYFUNCTION("GOOGLETRANSLATE('Genshin Impact'!D31,""ru"",""en"")"),"7 phases")</f>
        <v>7 phases</v>
      </c>
      <c r="E31" s="15" t="str">
        <f ca="1">IFERROR(__xludf.DUMMYFUNCTION("GOOGLETRANSLATE('Genshin Impact'!E31,""ru"",""en"")"),"4 phases")</f>
        <v>4 phases</v>
      </c>
    </row>
    <row r="32" spans="1:5">
      <c r="A32" s="15" t="str">
        <f ca="1">IFERROR(__xludf.DUMMYFUNCTION("GOOGLETRANSLATE('Genshin Impact'!A32,""ru"",""en"")"),"Which character is the only four-star Dendro Swordsman?")</f>
        <v>Which character is the only four-star Dendro Swordsman?</v>
      </c>
      <c r="B32" s="15" t="str">
        <f ca="1">IFERROR(__xludf.DUMMYFUNCTION("GOOGLETRANSLATE('Genshin Impact'!B32,""ru"",""en"")"),"Kirara")</f>
        <v>Kirara</v>
      </c>
      <c r="C32" s="15" t="str">
        <f ca="1">IFERROR(__xludf.DUMMYFUNCTION("GOOGLETRANSLATE('Genshin Impact'!C32,""ru"",""en"")"),"Tracks")</f>
        <v>Tracks</v>
      </c>
      <c r="D32" s="15" t="str">
        <f ca="1">IFERROR(__xludf.DUMMYFUNCTION("GOOGLETRANSLATE('Genshin Impact'!D32,""ru"",""en"")"),"Kaveh")</f>
        <v>Kaveh</v>
      </c>
      <c r="E32" s="15" t="str">
        <f ca="1">IFERROR(__xludf.DUMMYFUNCTION("GOOGLETRANSLATE('Genshin Impact'!E32,""ru"",""en"")"),"Bai Zhu")</f>
        <v>Bai Zhu</v>
      </c>
    </row>
    <row r="33" spans="1:5">
      <c r="A33" s="15" t="str">
        <f ca="1">IFERROR(__xludf.DUMMYFUNCTION("GOOGLETRANSLATE('Genshin Impact'!A33,""ru"",""en"")"),"What is the maximum level a character can reach?")</f>
        <v>What is the maximum level a character can reach?</v>
      </c>
      <c r="B33" s="15" t="str">
        <f ca="1">IFERROR(__xludf.DUMMYFUNCTION("GOOGLETRANSLATE('Genshin Impact'!B33,""ru"",""en"")"),"90")</f>
        <v>90</v>
      </c>
      <c r="C33" s="15" t="str">
        <f ca="1">IFERROR(__xludf.DUMMYFUNCTION("GOOGLETRANSLATE('Genshin Impact'!C33,""ru"",""en"")"),"80")</f>
        <v>80</v>
      </c>
      <c r="D33" s="15" t="str">
        <f ca="1">IFERROR(__xludf.DUMMYFUNCTION("GOOGLETRANSLATE('Genshin Impact'!D33,""ru"",""en"")"),"100")</f>
        <v>100</v>
      </c>
      <c r="E33" s="15" t="str">
        <f ca="1">IFERROR(__xludf.DUMMYFUNCTION("GOOGLETRANSLATE('Genshin Impact'!E33,""ru"",""en"")"),"85")</f>
        <v>85</v>
      </c>
    </row>
    <row r="34" spans="1:5">
      <c r="A34" s="15" t="str">
        <f ca="1">IFERROR(__xludf.DUMMYFUNCTION("GOOGLETRANSLATE('Genshin Impact'!A34,""ru"",""en"")"),"In which volume of the Archon quests does Sumeru first appear?")</f>
        <v>In which volume of the Archon quests does Sumeru first appear?</v>
      </c>
      <c r="B34" s="15" t="str">
        <f ca="1">IFERROR(__xludf.DUMMYFUNCTION("GOOGLETRANSLATE('Genshin Impact'!B34,""ru"",""en"")"),"Volume III")</f>
        <v>Volume III</v>
      </c>
      <c r="C34" s="15" t="str">
        <f ca="1">IFERROR(__xludf.DUMMYFUNCTION("GOOGLETRANSLATE('Genshin Impact'!C34,""ru"",""en"")"),"Volume II")</f>
        <v>Volume II</v>
      </c>
      <c r="D34" s="15" t="str">
        <f ca="1">IFERROR(__xludf.DUMMYFUNCTION("GOOGLETRANSLATE('Genshin Impact'!D34,""ru"",""en"")"),"Volume IV")</f>
        <v>Volume IV</v>
      </c>
      <c r="E34" s="15" t="str">
        <f ca="1">IFERROR(__xludf.DUMMYFUNCTION("GOOGLETRANSLATE('Genshin Impact'!E34,""ru"",""en"")"),"Interludes")</f>
        <v>Interludes</v>
      </c>
    </row>
    <row r="35" spans="1:5">
      <c r="A35" s="15" t="str">
        <f ca="1">IFERROR(__xludf.DUMMYFUNCTION("GOOGLETRANSLATE('Genshin Impact'!A35,""ru"",""en"")"),"Which character is the only five-star Cryo Catalyst user?")</f>
        <v>Which character is the only five-star Cryo Catalyst user?</v>
      </c>
      <c r="B35" s="15" t="str">
        <f ca="1">IFERROR(__xludf.DUMMYFUNCTION("GOOGLETRANSLATE('Genshin Impact'!B35,""ru"",""en"")"),"Risley")</f>
        <v>Risley</v>
      </c>
      <c r="C35" s="15" t="str">
        <f ca="1">IFERROR(__xludf.DUMMYFUNCTION("GOOGLETRANSLATE('Genshin Impact'!C35,""ru"",""en"")"),"Qi Qi")</f>
        <v>Qi Qi</v>
      </c>
      <c r="D35" s="15" t="str">
        <f ca="1">IFERROR(__xludf.DUMMYFUNCTION("GOOGLETRANSLATE('Genshin Impact'!D35,""ru"",""en"")"),"Ganyu")</f>
        <v>Ganyu</v>
      </c>
      <c r="E35" s="15" t="str">
        <f ca="1">IFERROR(__xludf.DUMMYFUNCTION("GOOGLETRANSLATE('Genshin Impact'!E35,""ru"",""en"")"),"Ayaka")</f>
        <v>Ayaka</v>
      </c>
    </row>
    <row r="36" spans="1:5">
      <c r="A36" s="15" t="str">
        <f ca="1">IFERROR(__xludf.DUMMYFUNCTION("GOOGLETRANSLATE('Genshin Impact'!A36,""ru"",""en"")"),"How many ascension phases does a character have?")</f>
        <v>How many ascension phases does a character have?</v>
      </c>
      <c r="B36" s="15" t="str">
        <f ca="1">IFERROR(__xludf.DUMMYFUNCTION("GOOGLETRANSLATE('Genshin Impact'!B36,""ru"",""en"")"),"6 phases")</f>
        <v>6 phases</v>
      </c>
      <c r="C36" s="15" t="str">
        <f ca="1">IFERROR(__xludf.DUMMYFUNCTION("GOOGLETRANSLATE('Genshin Impact'!C36,""ru"",""en"")"),"5 phases")</f>
        <v>5 phases</v>
      </c>
      <c r="D36" s="15" t="str">
        <f ca="1">IFERROR(__xludf.DUMMYFUNCTION("GOOGLETRANSLATE('Genshin Impact'!D36,""ru"",""en"")"),"7 phases")</f>
        <v>7 phases</v>
      </c>
      <c r="E36" s="15" t="str">
        <f ca="1">IFERROR(__xludf.DUMMYFUNCTION("GOOGLETRANSLATE('Genshin Impact'!E36,""ru"",""en"")"),"4 phases")</f>
        <v>4 phases</v>
      </c>
    </row>
    <row r="37" spans="1:5">
      <c r="A37" s="15" t="str">
        <f ca="1">IFERROR(__xludf.DUMMYFUNCTION("GOOGLETRANSLATE('Genshin Impact'!A37,""ru"",""en"")"),"Which Fontaine character uses Hydro Element and a one-handed sword?")</f>
        <v>Which Fontaine character uses Hydro Element and a one-handed sword?</v>
      </c>
      <c r="B37" s="15" t="str">
        <f ca="1">IFERROR(__xludf.DUMMYFUNCTION("GOOGLETRANSLATE('Genshin Impact'!B37,""ru"",""en"")"),"Furina")</f>
        <v>Furina</v>
      </c>
      <c r="C37" s="15" t="str">
        <f ca="1">IFERROR(__xludf.DUMMYFUNCTION("GOOGLETRANSLATE('Genshin Impact'!C37,""ru"",""en"")"),"Neuvillette")</f>
        <v>Neuvillette</v>
      </c>
      <c r="D37" s="15" t="str">
        <f ca="1">IFERROR(__xludf.DUMMYFUNCTION("GOOGLETRANSLATE('Genshin Impact'!D37,""ru"",""en"")"),"Sidgwin")</f>
        <v>Sidgwin</v>
      </c>
      <c r="E37" s="15" t="str">
        <f ca="1">IFERROR(__xludf.DUMMYFUNCTION("GOOGLETRANSLATE('Genshin Impact'!E37,""ru"",""en"")"),"Clorinda")</f>
        <v>Clorinda</v>
      </c>
    </row>
    <row r="38" spans="1:5">
      <c r="A38" s="15" t="str">
        <f ca="1">IFERROR(__xludf.DUMMYFUNCTION("GOOGLETRANSLATE('Genshin Impact'!A38,""ru"",""en"")"),"What elemental reaction occurs when Dendro and Electro are combined?")</f>
        <v>What elemental reaction occurs when Dendro and Electro are combined?</v>
      </c>
      <c r="B38" s="15" t="str">
        <f ca="1">IFERROR(__xludf.DUMMYFUNCTION("GOOGLETRANSLATE('Genshin Impact'!B38,""ru"",""en"")"),"Exacerbation")</f>
        <v>Exacerbation</v>
      </c>
      <c r="C38" s="15" t="str">
        <f ca="1">IFERROR(__xludf.DUMMYFUNCTION("GOOGLETRANSLATE('Genshin Impact'!C38,""ru"",""en"")"),"Bloom")</f>
        <v>Bloom</v>
      </c>
      <c r="D38" s="15" t="str">
        <f ca="1">IFERROR(__xludf.DUMMYFUNCTION("GOOGLETRANSLATE('Genshin Impact'!D38,""ru"",""en"")"),"Combustion")</f>
        <v>Combustion</v>
      </c>
      <c r="E38" s="15" t="str">
        <f ca="1">IFERROR(__xludf.DUMMYFUNCTION("GOOGLETRANSLATE('Genshin Impact'!E38,""ru"",""en"")"),"Catalysis")</f>
        <v>Catalysis</v>
      </c>
    </row>
    <row r="39" spans="1:5">
      <c r="A39" s="15" t="str">
        <f ca="1">IFERROR(__xludf.DUMMYFUNCTION("GOOGLETRANSLATE('Genshin Impact'!A39,""ru"",""en"")"),"Which character is NOT a five-star Pyro user?")</f>
        <v>Which character is NOT a five-star Pyro user?</v>
      </c>
      <c r="B39" s="15" t="str">
        <f ca="1">IFERROR(__xludf.DUMMYFUNCTION("GOOGLETRANSLATE('Genshin Impact'!B39,""ru"",""en"")"),"Bennett")</f>
        <v>Bennett</v>
      </c>
      <c r="C39" s="15" t="str">
        <f ca="1">IFERROR(__xludf.DUMMYFUNCTION("GOOGLETRANSLATE('Genshin Impact'!C39,""ru"",""en"")"),"Hu Tao")</f>
        <v>Hu Tao</v>
      </c>
      <c r="D39" s="15" t="str">
        <f ca="1">IFERROR(__xludf.DUMMYFUNCTION("GOOGLETRANSLATE('Genshin Impact'!D39,""ru"",""en"")"),"Diluc")</f>
        <v>Diluc</v>
      </c>
      <c r="E39" s="15" t="str">
        <f ca="1">IFERROR(__xludf.DUMMYFUNCTION("GOOGLETRANSLATE('Genshin Impact'!E39,""ru"",""en"")"),"Kli")</f>
        <v>Kli</v>
      </c>
    </row>
    <row r="40" spans="1:5">
      <c r="A40" s="15" t="str">
        <f ca="1">IFERROR(__xludf.DUMMYFUNCTION("GOOGLETRANSLATE('Genshin Impact'!A40,""ru"",""en"")"),"Which character is the only four-star Anemo Greatsword user?")</f>
        <v>Which character is the only four-star Anemo Greatsword user?</v>
      </c>
      <c r="B40" s="15" t="str">
        <f ca="1">IFERROR(__xludf.DUMMYFUNCTION("GOOGLETRANSLATE('Genshin Impact'!B40,""ru"",""en"")"),"Sayu")</f>
        <v>Sayu</v>
      </c>
      <c r="C40" s="15" t="str">
        <f ca="1">IFERROR(__xludf.DUMMYFUNCTION("GOOGLETRANSLATE('Genshin Impact'!C40,""ru"",""en"")"),"Sucrose")</f>
        <v>Sucrose</v>
      </c>
      <c r="D40" s="15" t="str">
        <f ca="1">IFERROR(__xludf.DUMMYFUNCTION("GOOGLETRANSLATE('Genshin Impact'!D40,""ru"",""en"")"),"Faruzan")</f>
        <v>Faruzan</v>
      </c>
      <c r="E40" s="15" t="str">
        <f ca="1">IFERROR(__xludf.DUMMYFUNCTION("GOOGLETRANSLATE('Genshin Impact'!E40,""ru"",""en"")"),"Lynette")</f>
        <v>Lynette</v>
      </c>
    </row>
    <row r="41" spans="1:5">
      <c r="A41" s="15" t="str">
        <f ca="1">IFERROR(__xludf.DUMMYFUNCTION("GOOGLETRANSLATE('Genshin Impact'!A41,""ru"",""en"")"),"In which region does the element Dendro first appear?")</f>
        <v>In which region does the element Dendro first appear?</v>
      </c>
      <c r="B41" s="15" t="str">
        <f ca="1">IFERROR(__xludf.DUMMYFUNCTION("GOOGLETRANSLATE('Genshin Impact'!B41,""ru"",""en"")"),"Sumeru")</f>
        <v>Sumeru</v>
      </c>
      <c r="C41" s="15" t="str">
        <f ca="1">IFERROR(__xludf.DUMMYFUNCTION("GOOGLETRANSLATE('Genshin Impact'!C41,""ru"",""en"")"),"Li Yue")</f>
        <v>Li Yue</v>
      </c>
      <c r="D41" s="15" t="str">
        <f ca="1">IFERROR(__xludf.DUMMYFUNCTION("GOOGLETRANSLATE('Genshin Impact'!D41,""ru"",""en"")"),"Inazuma")</f>
        <v>Inazuma</v>
      </c>
      <c r="E41" s="15" t="str">
        <f ca="1">IFERROR(__xludf.DUMMYFUNCTION("GOOGLETRANSLATE('Genshin Impact'!E41,""ru"",""en"")"),"Fontaine")</f>
        <v>Fontaine</v>
      </c>
    </row>
    <row r="42" spans="1:5">
      <c r="A42" s="15" t="str">
        <f ca="1">IFERROR(__xludf.DUMMYFUNCTION("GOOGLETRANSLATE('Genshin Impact'!A42,""ru"",""en"")"),"What is the title of the third chapter of Volume III of the Archon Quests?")</f>
        <v>What is the title of the third chapter of Volume III of the Archon Quests?</v>
      </c>
      <c r="B42" s="15" t="str">
        <f ca="1">IFERROR(__xludf.DUMMYFUNCTION("GOOGLETRANSLATE('Genshin Impact'!B42,""ru"",""en"")"),"Dreams, emptiness and deception")</f>
        <v>Dreams, emptiness and deception</v>
      </c>
      <c r="C42" s="15" t="str">
        <f ca="1">IFERROR(__xludf.DUMMYFUNCTION("GOOGLETRANSLATE('Genshin Impact'!C42,""ru"",""en"")"),"Through smoke and dark forests")</f>
        <v>Through smoke and dark forests</v>
      </c>
      <c r="D42" s="15" t="str">
        <f ca="1">IFERROR(__xludf.DUMMYFUNCTION("GOOGLETRANSLATE('Genshin Impact'!D42,""ru"",""en"")"),"A hundred fresh roses brings the morning")</f>
        <v>A hundred fresh roses brings the morning</v>
      </c>
      <c r="E42" s="15" t="str">
        <f ca="1">IFERROR(__xludf.DUMMYFUNCTION("GOOGLETRANSLATE('Genshin Impact'!E42,""ru"",""en"")"),"King Deshret and the Three Wise Men")</f>
        <v>King Deshret and the Three Wise Men</v>
      </c>
    </row>
    <row r="43" spans="1:5">
      <c r="A43" s="15" t="str">
        <f ca="1">IFERROR(__xludf.DUMMYFUNCTION("GOOGLETRANSLATE('Genshin Impact'!A43,""ru"",""en"")"),"Which character is the only five-star Geo Greatsword user?")</f>
        <v>Which character is the only five-star Geo Greatsword user?</v>
      </c>
      <c r="B43" s="15" t="str">
        <f ca="1">IFERROR(__xludf.DUMMYFUNCTION("GOOGLETRANSLATE('Genshin Impact'!B43,""ru"",""en"")"),"Itto")</f>
        <v>Itto</v>
      </c>
      <c r="C43" s="15" t="str">
        <f ca="1">IFERROR(__xludf.DUMMYFUNCTION("GOOGLETRANSLATE('Genshin Impact'!C43,""ru"",""en"")"),"Noelle")</f>
        <v>Noelle</v>
      </c>
      <c r="D43" s="15" t="str">
        <f ca="1">IFERROR(__xludf.DUMMYFUNCTION("GOOGLETRANSLATE('Genshin Impact'!D43,""ru"",""en"")"),"Zhong Li")</f>
        <v>Zhong Li</v>
      </c>
      <c r="E43" s="15" t="str">
        <f ca="1">IFERROR(__xludf.DUMMYFUNCTION("GOOGLETRANSLATE('Genshin Impact'!E43,""ru"",""en"")"),"Albedo")</f>
        <v>Albedo</v>
      </c>
    </row>
    <row r="44" spans="1:5">
      <c r="A44" s="15" t="str">
        <f ca="1">IFERROR(__xludf.DUMMYFUNCTION("GOOGLETRANSLATE('Genshin Impact'!A44,""ru"",""en"")"),"What elemental reaction occurs when Cryo and Electro are combined?")</f>
        <v>What elemental reaction occurs when Cryo and Electro are combined?</v>
      </c>
      <c r="B44" s="15" t="str">
        <f ca="1">IFERROR(__xludf.DUMMYFUNCTION("GOOGLETRANSLATE('Genshin Impact'!B44,""ru"",""en"")"),"Superconductivity")</f>
        <v>Superconductivity</v>
      </c>
      <c r="C44" s="15" t="str">
        <f ca="1">IFERROR(__xludf.DUMMYFUNCTION("GOOGLETRANSLATE('Genshin Impact'!C44,""ru"",""en"")"),"Freezing")</f>
        <v>Freezing</v>
      </c>
      <c r="D44" s="15" t="str">
        <f ca="1">IFERROR(__xludf.DUMMYFUNCTION("GOOGLETRANSLATE('Genshin Impact'!D44,""ru"",""en"")"),"Overload")</f>
        <v>Overload</v>
      </c>
      <c r="E44" s="15" t="str">
        <f ca="1">IFERROR(__xludf.DUMMYFUNCTION("GOOGLETRANSLATE('Genshin Impact'!E44,""ru"",""en"")"),"Melting")</f>
        <v>Melting</v>
      </c>
    </row>
    <row r="45" spans="1:5">
      <c r="A45" s="15" t="str">
        <f ca="1">IFERROR(__xludf.DUMMYFUNCTION("GOOGLETRANSLATE('Genshin Impact'!A45,""ru"",""en"")"),"Which character is the only four-star Hydro polearm user?")</f>
        <v>Which character is the only four-star Hydro polearm user?</v>
      </c>
      <c r="B45" s="15" t="str">
        <f ca="1">IFERROR(__xludf.DUMMYFUNCTION("GOOGLETRANSLATE('Genshin Impact'!B45,""ru"",""en"")"),"Candace")</f>
        <v>Candace</v>
      </c>
      <c r="C45" s="15" t="str">
        <f ca="1">IFERROR(__xludf.DUMMYFUNCTION("GOOGLETRANSLATE('Genshin Impact'!C45,""ru"",""en"")"),"Barbara")</f>
        <v>Barbara</v>
      </c>
      <c r="D45" s="15" t="str">
        <f ca="1">IFERROR(__xludf.DUMMYFUNCTION("GOOGLETRANSLATE('Genshin Impact'!D45,""ru"",""en"")"),"Xing Qiu")</f>
        <v>Xing Qiu</v>
      </c>
      <c r="E45" s="15" t="str">
        <f ca="1">IFERROR(__xludf.DUMMYFUNCTION("GOOGLETRANSLATE('Genshin Impact'!E45,""ru"",""en"")"),"Dahlia")</f>
        <v>Dahlia</v>
      </c>
    </row>
    <row r="46" spans="1:5">
      <c r="A46" s="15" t="str">
        <f ca="1">IFERROR(__xludf.DUMMYFUNCTION("GOOGLETRANSLATE('Genshin Impact'!A46,""ru"",""en"")"),"In which Archon quest volume does Fontaine first appear?")</f>
        <v>In which Archon quest volume does Fontaine first appear?</v>
      </c>
      <c r="B46" s="15" t="str">
        <f ca="1">IFERROR(__xludf.DUMMYFUNCTION("GOOGLETRANSLATE('Genshin Impact'!B46,""ru"",""en"")"),"Volume IV")</f>
        <v>Volume IV</v>
      </c>
      <c r="C46" s="15" t="str">
        <f ca="1">IFERROR(__xludf.DUMMYFUNCTION("GOOGLETRANSLATE('Genshin Impact'!C46,""ru"",""en"")"),"Volume III")</f>
        <v>Volume III</v>
      </c>
      <c r="D46" s="15" t="str">
        <f ca="1">IFERROR(__xludf.DUMMYFUNCTION("GOOGLETRANSLATE('Genshin Impact'!D46,""ru"",""en"")"),"Volume V")</f>
        <v>Volume V</v>
      </c>
      <c r="E46" s="15" t="str">
        <f ca="1">IFERROR(__xludf.DUMMYFUNCTION("GOOGLETRANSLATE('Genshin Impact'!E46,""ru"",""en"")"),"Interludes")</f>
        <v>Interludes</v>
      </c>
    </row>
    <row r="47" spans="1:5">
      <c r="A47" s="15" t="str">
        <f ca="1">IFERROR(__xludf.DUMMYFUNCTION("GOOGLETRANSLATE('Genshin Impact'!A47,""ru"",""en"")"),"Which character from Inazuma uses the Electro element and a one-handed sword?")</f>
        <v>Which character from Inazuma uses the Electro element and a one-handed sword?</v>
      </c>
      <c r="B47" s="15" t="str">
        <f ca="1">IFERROR(__xludf.DUMMYFUNCTION("GOOGLETRANSLATE('Genshin Impact'!B47,""ru"",""en"")"),"Shinobu")</f>
        <v>Shinobu</v>
      </c>
      <c r="C47" s="15" t="str">
        <f ca="1">IFERROR(__xludf.DUMMYFUNCTION("GOOGLETRANSLATE('Genshin Impact'!C47,""ru"",""en"")"),"Raiden")</f>
        <v>Raiden</v>
      </c>
      <c r="D47" s="15" t="str">
        <f ca="1">IFERROR(__xludf.DUMMYFUNCTION("GOOGLETRANSLATE('Genshin Impact'!D47,""ru"",""en"")"),"Sarah")</f>
        <v>Sarah</v>
      </c>
      <c r="E47" s="15" t="str">
        <f ca="1">IFERROR(__xludf.DUMMYFUNCTION("GOOGLETRANSLATE('Genshin Impact'!E47,""ru"",""en"")"),"Ke Qing")</f>
        <v>Ke Qing</v>
      </c>
    </row>
    <row r="48" spans="1:5">
      <c r="A48" s="15" t="str">
        <f ca="1">IFERROR(__xludf.DUMMYFUNCTION("GOOGLETRANSLATE('Genshin Impact'!A48,""ru"",""en"")"),"What elemental reaction occurs when Dendro and Pyro combine?")</f>
        <v>What elemental reaction occurs when Dendro and Pyro combine?</v>
      </c>
      <c r="B48" s="15" t="str">
        <f ca="1">IFERROR(__xludf.DUMMYFUNCTION("GOOGLETRANSLATE('Genshin Impact'!B48,""ru"",""en"")"),"Combustion")</f>
        <v>Combustion</v>
      </c>
      <c r="C48" s="15" t="str">
        <f ca="1">IFERROR(__xludf.DUMMYFUNCTION("GOOGLETRANSLATE('Genshin Impact'!C48,""ru"",""en"")"),"Bloom")</f>
        <v>Bloom</v>
      </c>
      <c r="D48" s="15" t="str">
        <f ca="1">IFERROR(__xludf.DUMMYFUNCTION("GOOGLETRANSLATE('Genshin Impact'!D48,""ru"",""en"")"),"Exacerbation")</f>
        <v>Exacerbation</v>
      </c>
      <c r="E48" s="15" t="str">
        <f ca="1">IFERROR(__xludf.DUMMYFUNCTION("GOOGLETRANSLATE('Genshin Impact'!E48,""ru"",""en"")"),"Catalysis")</f>
        <v>Catalysis</v>
      </c>
    </row>
    <row r="49" spans="1:5">
      <c r="A49" s="15" t="str">
        <f ca="1">IFERROR(__xludf.DUMMYFUNCTION("GOOGLETRANSLATE('Genshin Impact'!A49,""ru"",""en"")"),"Which character is the only five-star character to use an adaptive element?")</f>
        <v>Which character is the only five-star character to use an adaptive element?</v>
      </c>
      <c r="B49" s="15" t="str">
        <f ca="1">IFERROR(__xludf.DUMMYFUNCTION("GOOGLETRANSLATE('Genshin Impact'!B49,""ru"",""en"")"),"Traveler")</f>
        <v>Traveler</v>
      </c>
      <c r="C49" s="15" t="str">
        <f ca="1">IFERROR(__xludf.DUMMYFUNCTION("GOOGLETRANSLATE('Genshin Impact'!C49,""ru"",""en"")"),"Albedo")</f>
        <v>Albedo</v>
      </c>
      <c r="D49" s="15" t="str">
        <f ca="1">IFERROR(__xludf.DUMMYFUNCTION("GOOGLETRANSLATE('Genshin Impact'!D49,""ru"",""en"")"),"Nahida")</f>
        <v>Nahida</v>
      </c>
      <c r="E49" s="15" t="str">
        <f ca="1">IFERROR(__xludf.DUMMYFUNCTION("GOOGLETRANSLATE('Genshin Impact'!E49,""ru"",""en"")"),"Venti")</f>
        <v>Venti</v>
      </c>
    </row>
    <row r="50" spans="1:5">
      <c r="A50" s="15" t="str">
        <f ca="1">IFERROR(__xludf.DUMMYFUNCTION("GOOGLETRANSLATE('Genshin Impact'!A50,""ru"",""en"")"),"How many main regions are planned in Teyvat?")</f>
        <v>How many main regions are planned in Teyvat?</v>
      </c>
      <c r="B50" s="15" t="str">
        <f ca="1">IFERROR(__xludf.DUMMYFUNCTION("GOOGLETRANSLATE('Genshin Impact'!B50,""ru"",""en"")"),"7 regions")</f>
        <v>7 regions</v>
      </c>
      <c r="C50" s="15" t="str">
        <f ca="1">IFERROR(__xludf.DUMMYFUNCTION("GOOGLETRANSLATE('Genshin Impact'!C50,""ru"",""en"")"),"5 regions")</f>
        <v>5 regions</v>
      </c>
      <c r="D50" s="15" t="str">
        <f ca="1">IFERROR(__xludf.DUMMYFUNCTION("GOOGLETRANSLATE('Genshin Impact'!D50,""ru"",""en"")"),"6 regions")</f>
        <v>6 regions</v>
      </c>
      <c r="E50" s="15" t="str">
        <f ca="1">IFERROR(__xludf.DUMMYFUNCTION("GOOGLETRANSLATE('Genshin Impact'!E50,""ru"",""en"")"),"8 regions")</f>
        <v>8 regions</v>
      </c>
    </row>
    <row r="51" spans="1:5">
      <c r="A51" s="15" t="str">
        <f ca="1">IFERROR(__xludf.DUMMYFUNCTION("GOOGLETRANSLATE('Genshin Impact'!A51,""ru"",""en"")"),"Which character from Snezhnaya uses Hydro Element and a bow?")</f>
        <v>Which character from Snezhnaya uses Hydro Element and a bow?</v>
      </c>
      <c r="B51" s="15" t="str">
        <f ca="1">IFERROR(__xludf.DUMMYFUNCTION("GOOGLETRANSLATE('Genshin Impact'!B51,""ru"",""en"")"),"Tartaglia")</f>
        <v>Tartaglia</v>
      </c>
      <c r="C51" s="15" t="str">
        <f ca="1">IFERROR(__xludf.DUMMYFUNCTION("GOOGLETRANSLATE('Genshin Impact'!C51,""ru"",""en"")"),"Harlequin")</f>
        <v>Harlequin</v>
      </c>
      <c r="D51" s="15" t="str">
        <f ca="1">IFERROR(__xludf.DUMMYFUNCTION("GOOGLETRANSLATE('Genshin Impact'!D51,""ru"",""en"")"),"Ganyu")</f>
        <v>Ganyu</v>
      </c>
      <c r="E51" s="15" t="str">
        <f ca="1">IFERROR(__xludf.DUMMYFUNCTION("GOOGLETRANSLATE('Genshin Impact'!E51,""ru"",""en"")"),"Ye Lan")</f>
        <v>Ye Lan</v>
      </c>
    </row>
    <row r="52" spans="1:5">
      <c r="A52" s="15" t="str">
        <f ca="1">IFERROR(__xludf.DUMMYFUNCTION("GOOGLETRANSLATE('Genshin Impact'!A52,""ru"",""en"")"),"Which character is the only four-star Pyro Greatsword user from Liyue?")</f>
        <v>Which character is the only four-star Pyro Greatsword user from Liyue?</v>
      </c>
      <c r="B52" s="15" t="str">
        <f ca="1">IFERROR(__xludf.DUMMYFUNCTION("GOOGLETRANSLATE('Genshin Impact'!B52,""ru"",""en"")"),"Xin Yan")</f>
        <v>Xin Yan</v>
      </c>
      <c r="C52" s="15" t="str">
        <f ca="1">IFERROR(__xludf.DUMMYFUNCTION("GOOGLETRANSLATE('Genshin Impact'!C52,""ru"",""en"")"),"Fireplace")</f>
        <v>Fireplace</v>
      </c>
      <c r="D52" s="15" t="str">
        <f ca="1">IFERROR(__xludf.DUMMYFUNCTION("GOOGLETRANSLATE('Genshin Impact'!D52,""ru"",""en"")"),"Diluc")</f>
        <v>Diluc</v>
      </c>
      <c r="E52" s="15" t="str">
        <f ca="1">IFERROR(__xludf.DUMMYFUNCTION("GOOGLETRANSLATE('Genshin Impact'!E52,""ru"",""en"")"),"Bei Dou")</f>
        <v>Bei Dou</v>
      </c>
    </row>
    <row r="53" spans="1:5">
      <c r="A53" s="15" t="str">
        <f ca="1">IFERROR(__xludf.DUMMYFUNCTION("GOOGLETRANSLATE('Genshin Impact'!A53,""ru"",""en"")"),"What elemental reaction occurs when Dendro and Hydro are combined?")</f>
        <v>What elemental reaction occurs when Dendro and Hydro are combined?</v>
      </c>
      <c r="B53" s="15" t="str">
        <f ca="1">IFERROR(__xludf.DUMMYFUNCTION("GOOGLETRANSLATE('Genshin Impact'!B53,""ru"",""en"")"),"Bloom")</f>
        <v>Bloom</v>
      </c>
      <c r="C53" s="15" t="str">
        <f ca="1">IFERROR(__xludf.DUMMYFUNCTION("GOOGLETRANSLATE('Genshin Impact'!C53,""ru"",""en"")"),"Combustion")</f>
        <v>Combustion</v>
      </c>
      <c r="D53" s="15" t="str">
        <f ca="1">IFERROR(__xludf.DUMMYFUNCTION("GOOGLETRANSLATE('Genshin Impact'!D53,""ru"",""en"")"),"Exacerbation")</f>
        <v>Exacerbation</v>
      </c>
      <c r="E53" s="15" t="str">
        <f ca="1">IFERROR(__xludf.DUMMYFUNCTION("GOOGLETRANSLATE('Genshin Impact'!E53,""ru"",""en"")"),"Freezing")</f>
        <v>Freezing</v>
      </c>
    </row>
    <row r="54" spans="1:5">
      <c r="A54" s="15" t="str">
        <f ca="1">IFERROR(__xludf.DUMMYFUNCTION("GOOGLETRANSLATE('Genshin Impact'!A54,""ru"",""en"")"),"Which character is the only five-star Anemo bow user?")</f>
        <v>Which character is the only five-star Anemo bow user?</v>
      </c>
      <c r="B54" s="15" t="str">
        <f ca="1">IFERROR(__xludf.DUMMYFUNCTION("GOOGLETRANSLATE('Genshin Impact'!B54,""ru"",""en"")"),"Venti")</f>
        <v>Venti</v>
      </c>
      <c r="C54" s="15" t="str">
        <f ca="1">IFERROR(__xludf.DUMMYFUNCTION("GOOGLETRANSLATE('Genshin Impact'!C54,""ru"",""en"")"),"Kazuha")</f>
        <v>Kazuha</v>
      </c>
      <c r="D54" s="15" t="str">
        <f ca="1">IFERROR(__xludf.DUMMYFUNCTION("GOOGLETRANSLATE('Genshin Impact'!D54,""ru"",""en"")"),"Xiao")</f>
        <v>Xiao</v>
      </c>
      <c r="E54" s="15" t="str">
        <f ca="1">IFERROR(__xludf.DUMMYFUNCTION("GOOGLETRANSLATE('Genshin Impact'!E54,""ru"",""en"")"),"Wanderer")</f>
        <v>Wanderer</v>
      </c>
    </row>
    <row r="55" spans="1:5">
      <c r="A55" s="15" t="str">
        <f ca="1">IFERROR(__xludf.DUMMYFUNCTION("GOOGLETRANSLATE('Genshin Impact'!A55,""ru"",""en"")"),"In which Archon quest volume does Natlan first appear?")</f>
        <v>In which Archon quest volume does Natlan first appear?</v>
      </c>
      <c r="B55" s="15" t="str">
        <f ca="1">IFERROR(__xludf.DUMMYFUNCTION("GOOGLETRANSLATE('Genshin Impact'!B55,""ru"",""en"")"),"Volume V")</f>
        <v>Volume V</v>
      </c>
      <c r="C55" s="15" t="str">
        <f ca="1">IFERROR(__xludf.DUMMYFUNCTION("GOOGLETRANSLATE('Genshin Impact'!C55,""ru"",""en"")"),"Volume IV")</f>
        <v>Volume IV</v>
      </c>
      <c r="D55" s="15" t="str">
        <f ca="1">IFERROR(__xludf.DUMMYFUNCTION("GOOGLETRANSLATE('Genshin Impact'!D55,""ru"",""en"")"),"Volume VI")</f>
        <v>Volume VI</v>
      </c>
      <c r="E55" s="15" t="str">
        <f ca="1">IFERROR(__xludf.DUMMYFUNCTION("GOOGLETRANSLATE('Genshin Impact'!E55,""ru"",""en"")"),"Interludes")</f>
        <v>Interludes</v>
      </c>
    </row>
    <row r="56" spans="1:5">
      <c r="A56" s="15" t="str">
        <f ca="1">IFERROR(__xludf.DUMMYFUNCTION("GOOGLETRANSLATE('Genshin Impact'!A56,""ru"",""en"")"),"Which character is the only four-star Electro Greatsword user?")</f>
        <v>Which character is the only four-star Electro Greatsword user?</v>
      </c>
      <c r="B56" s="15" t="str">
        <f ca="1">IFERROR(__xludf.DUMMYFUNCTION("GOOGLETRANSLATE('Genshin Impact'!B56,""ru"",""en"")"),"Razor")</f>
        <v>Razor</v>
      </c>
      <c r="C56" s="15" t="str">
        <f ca="1">IFERROR(__xludf.DUMMYFUNCTION("GOOGLETRANSLATE('Genshin Impact'!C56,""ru"",""en"")"),"Dory")</f>
        <v>Dory</v>
      </c>
      <c r="D56" s="15" t="str">
        <f ca="1">IFERROR(__xludf.DUMMYFUNCTION("GOOGLETRANSLATE('Genshin Impact'!D56,""ru"",""en"")"),"Itto")</f>
        <v>Itto</v>
      </c>
      <c r="E56" s="15" t="str">
        <f ca="1">IFERROR(__xludf.DUMMYFUNCTION("GOOGLETRANSLATE('Genshin Impact'!E56,""ru"",""en"")"),"Noelle")</f>
        <v>Noelle</v>
      </c>
    </row>
    <row r="57" spans="1:5">
      <c r="A57" s="15" t="str">
        <f ca="1">IFERROR(__xludf.DUMMYFUNCTION("GOOGLETRANSLATE('Genshin Impact'!A57,""ru"",""en"")"),"What is the maximum number of talents a character can level up?")</f>
        <v>What is the maximum number of talents a character can level up?</v>
      </c>
      <c r="B57" s="15" t="str">
        <f ca="1">IFERROR(__xludf.DUMMYFUNCTION("GOOGLETRANSLATE('Genshin Impact'!B57,""ru"",""en"")"),"3 talents")</f>
        <v>3 talents</v>
      </c>
      <c r="C57" s="15" t="str">
        <f ca="1">IFERROR(__xludf.DUMMYFUNCTION("GOOGLETRANSLATE('Genshin Impact'!C57,""ru"",""en"")"),"4 talents")</f>
        <v>4 talents</v>
      </c>
      <c r="D57" s="15" t="str">
        <f ca="1">IFERROR(__xludf.DUMMYFUNCTION("GOOGLETRANSLATE('Genshin Impact'!D57,""ru"",""en"")"),"5 talents")</f>
        <v>5 talents</v>
      </c>
      <c r="E57" s="15" t="str">
        <f ca="1">IFERROR(__xludf.DUMMYFUNCTION("GOOGLETRANSLATE('Genshin Impact'!E57,""ru"",""en"")"),"2 talents")</f>
        <v>2 talents</v>
      </c>
    </row>
    <row r="58" spans="1:5">
      <c r="A58" s="15" t="str">
        <f ca="1">IFERROR(__xludf.DUMMYFUNCTION("GOOGLETRANSLATE('Genshin Impact'!A58,""ru"",""en"")"),"Which character from Mondstadt uses Geo Element and a greatsword?")</f>
        <v>Which character from Mondstadt uses Geo Element and a greatsword?</v>
      </c>
      <c r="B58" s="15" t="str">
        <f ca="1">IFERROR(__xludf.DUMMYFUNCTION("GOOGLETRANSLATE('Genshin Impact'!B58,""ru"",""en"")"),"Noelle")</f>
        <v>Noelle</v>
      </c>
      <c r="C58" s="15" t="str">
        <f ca="1">IFERROR(__xludf.DUMMYFUNCTION("GOOGLETRANSLATE('Genshin Impact'!C58,""ru"",""en"")"),"Albedo")</f>
        <v>Albedo</v>
      </c>
      <c r="D58" s="15" t="str">
        <f ca="1">IFERROR(__xludf.DUMMYFUNCTION("GOOGLETRANSLATE('Genshin Impact'!D58,""ru"",""en"")"),"Itto")</f>
        <v>Itto</v>
      </c>
      <c r="E58" s="15" t="str">
        <f ca="1">IFERROR(__xludf.DUMMYFUNCTION("GOOGLETRANSLATE('Genshin Impact'!E58,""ru"",""en"")"),"Diluc")</f>
        <v>Diluc</v>
      </c>
    </row>
    <row r="59" spans="1:5">
      <c r="A59" s="15" t="str">
        <f ca="1">IFERROR(__xludf.DUMMYFUNCTION("GOOGLETRANSLATE('Genshin Impact'!A59,""ru"",""en"")"),"What elemental reaction occurs when Pyro and Electro combine?")</f>
        <v>What elemental reaction occurs when Pyro and Electro combine?</v>
      </c>
      <c r="B59" s="15" t="str">
        <f ca="1">IFERROR(__xludf.DUMMYFUNCTION("GOOGLETRANSLATE('Genshin Impact'!B59,""ru"",""en"")"),"Overload")</f>
        <v>Overload</v>
      </c>
      <c r="C59" s="15" t="str">
        <f ca="1">IFERROR(__xludf.DUMMYFUNCTION("GOOGLETRANSLATE('Genshin Impact'!C59,""ru"",""en"")"),"Melting")</f>
        <v>Melting</v>
      </c>
      <c r="D59" s="15" t="str">
        <f ca="1">IFERROR(__xludf.DUMMYFUNCTION("GOOGLETRANSLATE('Genshin Impact'!D59,""ru"",""en"")"),"Evaporation")</f>
        <v>Evaporation</v>
      </c>
      <c r="E59" s="15" t="str">
        <f ca="1">IFERROR(__xludf.DUMMYFUNCTION("GOOGLETRANSLATE('Genshin Impact'!E59,""ru"",""en"")"),"Superconductivity")</f>
        <v>Superconductivity</v>
      </c>
    </row>
    <row r="60" spans="1:5">
      <c r="A60" s="15" t="str">
        <f ca="1">IFERROR(__xludf.DUMMYFUNCTION("GOOGLETRANSLATE('Genshin Impact'!A60,""ru"",""en"")"),"Which character is the only four-star Cryo bow user?")</f>
        <v>Which character is the only four-star Cryo bow user?</v>
      </c>
      <c r="B60" s="15" t="str">
        <f ca="1">IFERROR(__xludf.DUMMYFUNCTION("GOOGLETRANSLATE('Genshin Impact'!B60,""ru"",""en"")"),"Diona")</f>
        <v>Diona</v>
      </c>
      <c r="C60" s="15" t="str">
        <f ca="1">IFERROR(__xludf.DUMMYFUNCTION("GOOGLETRANSLATE('Genshin Impact'!C60,""ru"",""en"")"),"Ganyu")</f>
        <v>Ganyu</v>
      </c>
      <c r="D60" s="15" t="str">
        <f ca="1">IFERROR(__xludf.DUMMYFUNCTION("GOOGLETRANSLATE('Genshin Impact'!D60,""ru"",""en"")"),"Faruzan")</f>
        <v>Faruzan</v>
      </c>
      <c r="E60" s="15" t="str">
        <f ca="1">IFERROR(__xludf.DUMMYFUNCTION("GOOGLETRANSLATE('Genshin Impact'!E60,""ru"",""en"")"),"Goro")</f>
        <v>Goro</v>
      </c>
    </row>
    <row r="61" spans="1:5">
      <c r="A61" s="15" t="str">
        <f ca="1">IFERROR(__xludf.DUMMYFUNCTION("GOOGLETRANSLATE('Genshin Impact'!A61,""ru"",""en"")"),"What is the title of the fourth chapter of Volume III of the Archon Quests?")</f>
        <v>What is the title of the fourth chapter of Volume III of the Archon Quests?</v>
      </c>
      <c r="B61" s="15" t="str">
        <f ca="1">IFERROR(__xludf.DUMMYFUNCTION("GOOGLETRANSLATE('Genshin Impact'!B61,""ru"",""en"")"),"King Deshret and the Three Wise Men")</f>
        <v>King Deshret and the Three Wise Men</v>
      </c>
      <c r="C61" s="15" t="str">
        <f ca="1">IFERROR(__xludf.DUMMYFUNCTION("GOOGLETRANSLATE('Genshin Impact'!C61,""ru"",""en"")"),"Dreams, emptiness and deception")</f>
        <v>Dreams, emptiness and deception</v>
      </c>
      <c r="D61" s="15" t="str">
        <f ca="1">IFERROR(__xludf.DUMMYFUNCTION("GOOGLETRANSLATE('Genshin Impact'!D61,""ru"",""en"")"),"The Akashic Pulse and the Kalpa Flame")</f>
        <v>The Akashic Pulse and the Kalpa Flame</v>
      </c>
      <c r="E61" s="15" t="str">
        <f ca="1">IFERROR(__xludf.DUMMYFUNCTION("GOOGLETRANSLATE('Genshin Impact'!E61,""ru"",""en"")"),"A hundred fresh roses brings the morning")</f>
        <v>A hundred fresh roses brings the morning</v>
      </c>
    </row>
    <row r="62" spans="1:5">
      <c r="A62" s="15" t="str">
        <f ca="1">IFERROR(__xludf.DUMMYFUNCTION("GOOGLETRANSLATE('Genshin Impact'!A62,""ru"",""en"")"),"Which character is the only five-star Dendro catalyst user from Liyue?")</f>
        <v>Which character is the only five-star Dendro catalyst user from Liyue?</v>
      </c>
      <c r="B62" s="15" t="str">
        <f ca="1">IFERROR(__xludf.DUMMYFUNCTION("GOOGLETRANSLATE('Genshin Impact'!B62,""ru"",""en"")"),"Bai Zhu")</f>
        <v>Bai Zhu</v>
      </c>
      <c r="C62" s="15" t="str">
        <f ca="1">IFERROR(__xludf.DUMMYFUNCTION("GOOGLETRANSLATE('Genshin Impact'!C62,""ru"",""en"")"),"Nahida")</f>
        <v>Nahida</v>
      </c>
      <c r="D62" s="15" t="str">
        <f ca="1">IFERROR(__xludf.DUMMYFUNCTION("GOOGLETRANSLATE('Genshin Impact'!D62,""ru"",""en"")"),"Zhong Li")</f>
        <v>Zhong Li</v>
      </c>
      <c r="E62" s="15" t="str">
        <f ca="1">IFERROR(__xludf.DUMMYFUNCTION("GOOGLETRANSLATE('Genshin Impact'!E62,""ru"",""en"")"),"Tignari")</f>
        <v>Tignari</v>
      </c>
    </row>
    <row r="63" spans="1:5">
      <c r="A63" s="15" t="str">
        <f ca="1">IFERROR(__xludf.DUMMYFUNCTION("GOOGLETRANSLATE('Genshin Impact'!A63,""ru"",""en"")"),"What is the maximum rarity of weapons in the game?")</f>
        <v>What is the maximum rarity of weapons in the game?</v>
      </c>
      <c r="B63" s="15" t="str">
        <f ca="1">IFERROR(__xludf.DUMMYFUNCTION("GOOGLETRANSLATE('Genshin Impact'!B63,""ru"",""en"")"),"5 stars")</f>
        <v>5 stars</v>
      </c>
      <c r="C63" s="15" t="str">
        <f ca="1">IFERROR(__xludf.DUMMYFUNCTION("GOOGLETRANSLATE('Genshin Impact'!C63,""ru"",""en"")"),"4 stars")</f>
        <v>4 stars</v>
      </c>
      <c r="D63" s="15" t="str">
        <f ca="1">IFERROR(__xludf.DUMMYFUNCTION("GOOGLETRANSLATE('Genshin Impact'!D63,""ru"",""en"")"),"6 stars")</f>
        <v>6 stars</v>
      </c>
      <c r="E63" s="15" t="str">
        <f ca="1">IFERROR(__xludf.DUMMYFUNCTION("GOOGLETRANSLATE('Genshin Impact'!E63,""ru"",""en"")"),"3 stars")</f>
        <v>3 stars</v>
      </c>
    </row>
    <row r="64" spans="1:5">
      <c r="A64" s="15" t="str">
        <f ca="1">IFERROR(__xludf.DUMMYFUNCTION("GOOGLETRANSLATE('Genshin Impact'!A64,""ru"",""en"")"),"Which character from Inazuma uses Geo Element and a bow?")</f>
        <v>Which character from Inazuma uses Geo Element and a bow?</v>
      </c>
      <c r="B64" s="15" t="str">
        <f ca="1">IFERROR(__xludf.DUMMYFUNCTION("GOOGLETRANSLATE('Genshin Impact'!B64,""ru"",""en"")"),"Goro")</f>
        <v>Goro</v>
      </c>
      <c r="C64" s="15" t="str">
        <f ca="1">IFERROR(__xludf.DUMMYFUNCTION("GOOGLETRANSLATE('Genshin Impact'!C64,""ru"",""en"")"),"Itto")</f>
        <v>Itto</v>
      </c>
      <c r="D64" s="15" t="str">
        <f ca="1">IFERROR(__xludf.DUMMYFUNCTION("GOOGLETRANSLATE('Genshin Impact'!D64,""ru"",""en"")"),"Sarah")</f>
        <v>Sarah</v>
      </c>
      <c r="E64" s="15" t="str">
        <f ca="1">IFERROR(__xludf.DUMMYFUNCTION("GOOGLETRANSLATE('Genshin Impact'!E64,""ru"",""en"")"),"Kokomi")</f>
        <v>Kokomi</v>
      </c>
    </row>
    <row r="65" spans="1:5">
      <c r="A65" s="15" t="str">
        <f ca="1">IFERROR(__xludf.DUMMYFUNCTION("GOOGLETRANSLATE('Genshin Impact'!A65,""ru"",""en"")"),"What is the title of Chapter 5 of Volume III of the Archon Quests?")</f>
        <v>What is the title of Chapter 5 of Volume III of the Archon Quests?</v>
      </c>
      <c r="B65" s="15" t="str">
        <f ca="1">IFERROR(__xludf.DUMMYFUNCTION("GOOGLETRANSLATE('Genshin Impact'!B65,""ru"",""en"")"),"The Akashic Pulse and the Kalpa Flame")</f>
        <v>The Akashic Pulse and the Kalpa Flame</v>
      </c>
      <c r="C65" s="15" t="str">
        <f ca="1">IFERROR(__xludf.DUMMYFUNCTION("GOOGLETRANSLATE('Genshin Impact'!C65,""ru"",""en"")"),"King Deshret and the Three Wise Men")</f>
        <v>King Deshret and the Three Wise Men</v>
      </c>
      <c r="D65" s="15" t="str">
        <f ca="1">IFERROR(__xludf.DUMMYFUNCTION("GOOGLETRANSLATE('Genshin Impact'!D65,""ru"",""en"")"),"Dreams, emptiness and deception")</f>
        <v>Dreams, emptiness and deception</v>
      </c>
      <c r="E65" s="15" t="str">
        <f ca="1">IFERROR(__xludf.DUMMYFUNCTION("GOOGLETRANSLATE('Genshin Impact'!E65,""ru"",""en"")"),"Caribert")</f>
        <v>Caribert</v>
      </c>
    </row>
    <row r="66" spans="1:5">
      <c r="A66" s="15" t="str">
        <f ca="1">IFERROR(__xludf.DUMMYFUNCTION("GOOGLETRANSLATE('Genshin Impact'!A66,""ru"",""en"")"),"Which character is the only four-star Hydro Catalyst user?")</f>
        <v>Which character is the only four-star Hydro Catalyst user?</v>
      </c>
      <c r="B66" s="15" t="str">
        <f ca="1">IFERROR(__xludf.DUMMYFUNCTION("GOOGLETRANSLATE('Genshin Impact'!B66,""ru"",""en"")"),"Barbara")</f>
        <v>Barbara</v>
      </c>
      <c r="C66" s="15" t="str">
        <f ca="1">IFERROR(__xludf.DUMMYFUNCTION("GOOGLETRANSLATE('Genshin Impact'!C66,""ru"",""en"")"),"Mona")</f>
        <v>Mona</v>
      </c>
      <c r="D66" s="15" t="str">
        <f ca="1">IFERROR(__xludf.DUMMYFUNCTION("GOOGLETRANSLATE('Genshin Impact'!D66,""ru"",""en"")"),"Kokomi")</f>
        <v>Kokomi</v>
      </c>
      <c r="E66" s="15" t="str">
        <f ca="1">IFERROR(__xludf.DUMMYFUNCTION("GOOGLETRANSLATE('Genshin Impact'!E66,""ru"",""en"")"),"Neuvillette")</f>
        <v>Neuvillette</v>
      </c>
    </row>
    <row r="67" spans="1:5">
      <c r="A67" s="15" t="str">
        <f ca="1">IFERROR(__xludf.DUMMYFUNCTION("GOOGLETRANSLATE('Genshin Impact'!A67,""ru"",""en"")"),"What region is the character Kinich in?")</f>
        <v>What region is the character Kinich in?</v>
      </c>
      <c r="B67" s="15" t="str">
        <f ca="1">IFERROR(__xludf.DUMMYFUNCTION("GOOGLETRANSLATE('Genshin Impact'!B67,""ru"",""en"")"),"Natlan")</f>
        <v>Natlan</v>
      </c>
      <c r="C67" s="15" t="str">
        <f ca="1">IFERROR(__xludf.DUMMYFUNCTION("GOOGLETRANSLATE('Genshin Impact'!C67,""ru"",""en"")"),"Sumeru")</f>
        <v>Sumeru</v>
      </c>
      <c r="D67" s="15" t="str">
        <f ca="1">IFERROR(__xludf.DUMMYFUNCTION("GOOGLETRANSLATE('Genshin Impact'!D67,""ru"",""en"")"),"Fontaine")</f>
        <v>Fontaine</v>
      </c>
      <c r="E67" s="15" t="str">
        <f ca="1">IFERROR(__xludf.DUMMYFUNCTION("GOOGLETRANSLATE('Genshin Impact'!E67,""ru"",""en"")"),"Inazuma")</f>
        <v>Inazuma</v>
      </c>
    </row>
    <row r="68" spans="1:5">
      <c r="A68" s="15" t="str">
        <f ca="1">IFERROR(__xludf.DUMMYFUNCTION("GOOGLETRANSLATE('Genshin Impact'!A68,""ru"",""en"")"),"Which elemental reaction does NOT exist in the game?")</f>
        <v>Which elemental reaction does NOT exist in the game?</v>
      </c>
      <c r="B68" s="15" t="str">
        <f ca="1">IFERROR(__xludf.DUMMYFUNCTION("GOOGLETRANSLATE('Genshin Impact'!B68,""ru"",""en"")"),"Explosion")</f>
        <v>Explosion</v>
      </c>
      <c r="C68" s="15" t="str">
        <f ca="1">IFERROR(__xludf.DUMMYFUNCTION("GOOGLETRANSLATE('Genshin Impact'!C68,""ru"",""en"")"),"Diffusion")</f>
        <v>Diffusion</v>
      </c>
      <c r="D68" s="15" t="str">
        <f ca="1">IFERROR(__xludf.DUMMYFUNCTION("GOOGLETRANSLATE('Genshin Impact'!D68,""ru"",""en"")"),"Crystallization")</f>
        <v>Crystallization</v>
      </c>
      <c r="E68" s="15" t="str">
        <f ca="1">IFERROR(__xludf.DUMMYFUNCTION("GOOGLETRANSLATE('Genshin Impact'!E68,""ru"",""en"")"),"Bloom")</f>
        <v>Bloom</v>
      </c>
    </row>
    <row r="69" spans="1:5">
      <c r="A69" s="15" t="str">
        <f ca="1">IFERROR(__xludf.DUMMYFUNCTION("GOOGLETRANSLATE('Genshin Impact'!A69,""ru"",""en"")"),"Which character is the only five-star Electro Catalyst user?")</f>
        <v>Which character is the only five-star Electro Catalyst user?</v>
      </c>
      <c r="B69" s="15" t="str">
        <f ca="1">IFERROR(__xludf.DUMMYFUNCTION("GOOGLETRANSLATE('Genshin Impact'!B69,""ru"",""en"")"),"Varesa")</f>
        <v>Varesa</v>
      </c>
      <c r="C69" s="15" t="str">
        <f ca="1">IFERROR(__xludf.DUMMYFUNCTION("GOOGLETRANSLATE('Genshin Impact'!C69,""ru"",""en"")"),"Raiden")</f>
        <v>Raiden</v>
      </c>
      <c r="D69" s="15" t="str">
        <f ca="1">IFERROR(__xludf.DUMMYFUNCTION("GOOGLETRANSLATE('Genshin Impact'!D69,""ru"",""en"")"),"Ke Qing")</f>
        <v>Ke Qing</v>
      </c>
      <c r="E69" s="15" t="str">
        <f ca="1">IFERROR(__xludf.DUMMYFUNCTION("GOOGLETRANSLATE('Genshin Impact'!E69,""ru"",""en"")"),"Saino")</f>
        <v>Saino</v>
      </c>
    </row>
    <row r="70" spans="1:5">
      <c r="A70" s="15" t="str">
        <f ca="1">IFERROR(__xludf.DUMMYFUNCTION("GOOGLETRANSLATE('Genshin Impact'!A70,""ru"",""en"")"),"How many elemental transformation reactions are there in the game?")</f>
        <v>How many elemental transformation reactions are there in the game?</v>
      </c>
      <c r="B70" s="15" t="str">
        <f ca="1">IFERROR(__xludf.DUMMYFUNCTION("GOOGLETRANSLATE('Genshin Impact'!B70,""ru"",""en"")"),"7 reactions")</f>
        <v>7 reactions</v>
      </c>
      <c r="C70" s="15" t="str">
        <f ca="1">IFERROR(__xludf.DUMMYFUNCTION("GOOGLETRANSLATE('Genshin Impact'!C70,""ru"",""en"")"),"5 reactions")</f>
        <v>5 reactions</v>
      </c>
      <c r="D70" s="15" t="str">
        <f ca="1">IFERROR(__xludf.DUMMYFUNCTION("GOOGLETRANSLATE('Genshin Impact'!D70,""ru"",""en"")"),"6 reactions")</f>
        <v>6 reactions</v>
      </c>
      <c r="E70" s="15" t="str">
        <f ca="1">IFERROR(__xludf.DUMMYFUNCTION("GOOGLETRANSLATE('Genshin Impact'!E70,""ru"",""en"")"),"8 reactions")</f>
        <v>8 reactions</v>
      </c>
    </row>
    <row r="71" spans="1:5">
      <c r="A71" s="15" t="str">
        <f ca="1">IFERROR(__xludf.DUMMYFUNCTION("GOOGLETRANSLATE('Genshin Impact'!A71,""ru"",""en"")"),"Which character from Sumeru uses the Cryo element and a one-handed sword?")</f>
        <v>Which character from Sumeru uses the Cryo element and a one-handed sword?</v>
      </c>
      <c r="B71" s="15" t="str">
        <f ca="1">IFERROR(__xludf.DUMMYFUNCTION("GOOGLETRANSLATE('Genshin Impact'!B71,""ru"",""en"")"),"Laila")</f>
        <v>Laila</v>
      </c>
      <c r="C71" s="15" t="str">
        <f ca="1">IFERROR(__xludf.DUMMYFUNCTION("GOOGLETRANSLATE('Genshin Impact'!C71,""ru"",""en"")"),"Kaveh")</f>
        <v>Kaveh</v>
      </c>
      <c r="D71" s="15" t="str">
        <f ca="1">IFERROR(__xludf.DUMMYFUNCTION("GOOGLETRANSLATE('Genshin Impact'!D71,""ru"",""en"")"),"Tracks")</f>
        <v>Tracks</v>
      </c>
      <c r="E71" s="15" t="str">
        <f ca="1">IFERROR(__xludf.DUMMYFUNCTION("GOOGLETRANSLATE('Genshin Impact'!E71,""ru"",""en"")"),"Tignari")</f>
        <v>Tignari</v>
      </c>
    </row>
    <row r="72" spans="1:5">
      <c r="A72" s="15" t="str">
        <f ca="1">IFERROR(__xludf.DUMMYFUNCTION("GOOGLETRANSLATE('Genshin Impact'!A72,""ru"",""en"")"),"Which character is the only five-star Pyro Catalyst user?")</f>
        <v>Which character is the only five-star Pyro Catalyst user?</v>
      </c>
      <c r="B72" s="15" t="str">
        <f ca="1">IFERROR(__xludf.DUMMYFUNCTION("GOOGLETRANSLATE('Genshin Impact'!B72,""ru"",""en"")"),"Kli")</f>
        <v>Kli</v>
      </c>
      <c r="C72" s="15" t="str">
        <f ca="1">IFERROR(__xludf.DUMMYFUNCTION("GOOGLETRANSLATE('Genshin Impact'!C72,""ru"",""en"")"),"Yan Fei")</f>
        <v>Yan Fei</v>
      </c>
      <c r="D72" s="15" t="str">
        <f ca="1">IFERROR(__xludf.DUMMYFUNCTION("GOOGLETRANSLATE('Genshin Impact'!D72,""ru"",""en"")"),"Hu Tao")</f>
        <v>Hu Tao</v>
      </c>
      <c r="E72" s="15" t="str">
        <f ca="1">IFERROR(__xludf.DUMMYFUNCTION("GOOGLETRANSLATE('Genshin Impact'!E72,""ru"",""en"")"),"Diluc")</f>
        <v>Diluc</v>
      </c>
    </row>
    <row r="73" spans="1:5">
      <c r="A73" s="15" t="str">
        <f ca="1">IFERROR(__xludf.DUMMYFUNCTION("GOOGLETRANSLATE('Genshin Impact'!A73,""ru"",""en"")"),"Which Fontaine character uses the Electro element and a one-handed sword?")</f>
        <v>Which Fontaine character uses the Electro element and a one-handed sword?</v>
      </c>
      <c r="B73" s="15" t="str">
        <f ca="1">IFERROR(__xludf.DUMMYFUNCTION("GOOGLETRANSLATE('Genshin Impact'!B73,""ru"",""en"")"),"Clorinda")</f>
        <v>Clorinda</v>
      </c>
      <c r="C73" s="15" t="str">
        <f ca="1">IFERROR(__xludf.DUMMYFUNCTION("GOOGLETRANSLATE('Genshin Impact'!C73,""ru"",""en"")"),"Furina")</f>
        <v>Furina</v>
      </c>
      <c r="D73" s="15" t="str">
        <f ca="1">IFERROR(__xludf.DUMMYFUNCTION("GOOGLETRANSLATE('Genshin Impact'!D73,""ru"",""en"")"),"Neuvillette")</f>
        <v>Neuvillette</v>
      </c>
      <c r="E73" s="15" t="str">
        <f ca="1">IFERROR(__xludf.DUMMYFUNCTION("GOOGLETRANSLATE('Genshin Impact'!E73,""ru"",""en"")"),"Risley")</f>
        <v>Risley</v>
      </c>
    </row>
    <row r="74" spans="1:5">
      <c r="A74" s="15" t="str">
        <f ca="1">IFERROR(__xludf.DUMMYFUNCTION("GOOGLETRANSLATE('Genshin Impact'!A74,""ru"",""en"")"),"What elemental reaction occurs when Geo is combined with any other element?")</f>
        <v>What elemental reaction occurs when Geo is combined with any other element?</v>
      </c>
      <c r="B74" s="15" t="str">
        <f ca="1">IFERROR(__xludf.DUMMYFUNCTION("GOOGLETRANSLATE('Genshin Impact'!B74,""ru"",""en"")"),"Crystallization")</f>
        <v>Crystallization</v>
      </c>
      <c r="C74" s="15" t="str">
        <f ca="1">IFERROR(__xludf.DUMMYFUNCTION("GOOGLETRANSLATE('Genshin Impact'!C74,""ru"",""en"")"),"Diffusion")</f>
        <v>Diffusion</v>
      </c>
      <c r="D74" s="15" t="str">
        <f ca="1">IFERROR(__xludf.DUMMYFUNCTION("GOOGLETRANSLATE('Genshin Impact'!D74,""ru"",""en"")"),"Explosion")</f>
        <v>Explosion</v>
      </c>
      <c r="E74" s="15" t="str">
        <f ca="1">IFERROR(__xludf.DUMMYFUNCTION("GOOGLETRANSLATE('Genshin Impact'!E74,""ru"",""en"")"),"Absorption")</f>
        <v>Absorption</v>
      </c>
    </row>
    <row r="75" spans="1:5">
      <c r="A75" s="15" t="str">
        <f ca="1">IFERROR(__xludf.DUMMYFUNCTION("GOOGLETRANSLATE('Genshin Impact'!A75,""ru"",""en"")"),"Which character is the only four-star Geo-User of the catalyst?")</f>
        <v>Which character is the only four-star Geo-User of the catalyst?</v>
      </c>
      <c r="B75" s="15" t="str">
        <f ca="1">IFERROR(__xludf.DUMMYFUNCTION("GOOGLETRANSLATE('Genshin Impact'!B75,""ru"",""en"")"),"Ning Guang")</f>
        <v>Ning Guang</v>
      </c>
      <c r="C75" s="15" t="str">
        <f ca="1">IFERROR(__xludf.DUMMYFUNCTION("GOOGLETRANSLATE('Genshin Impact'!C75,""ru"",""en"")"),"Noelle")</f>
        <v>Noelle</v>
      </c>
      <c r="D75" s="15" t="str">
        <f ca="1">IFERROR(__xludf.DUMMYFUNCTION("GOOGLETRANSLATE('Genshin Impact'!D75,""ru"",""en"")"),"Albedo")</f>
        <v>Albedo</v>
      </c>
      <c r="E75" s="15" t="str">
        <f ca="1">IFERROR(__xludf.DUMMYFUNCTION("GOOGLETRANSLATE('Genshin Impact'!E75,""ru"",""en"")"),"Goro")</f>
        <v>Goro</v>
      </c>
    </row>
    <row r="76" spans="1:5">
      <c r="A76" s="15" t="str">
        <f ca="1">IFERROR(__xludf.DUMMYFUNCTION("GOOGLETRANSLATE('Genshin Impact'!A76,""ru"",""en"")"),"What region is the character Kachina in?")</f>
        <v>What region is the character Kachina in?</v>
      </c>
      <c r="B76" s="15" t="str">
        <f ca="1">IFERROR(__xludf.DUMMYFUNCTION("GOOGLETRANSLATE('Genshin Impact'!B76,""ru"",""en"")"),"Natlan")</f>
        <v>Natlan</v>
      </c>
      <c r="C76" s="15" t="str">
        <f ca="1">IFERROR(__xludf.DUMMYFUNCTION("GOOGLETRANSLATE('Genshin Impact'!C76,""ru"",""en"")"),"Sumeru")</f>
        <v>Sumeru</v>
      </c>
      <c r="D76" s="15" t="str">
        <f ca="1">IFERROR(__xludf.DUMMYFUNCTION("GOOGLETRANSLATE('Genshin Impact'!D76,""ru"",""en"")"),"Fontaine")</f>
        <v>Fontaine</v>
      </c>
      <c r="E76" s="15" t="str">
        <f ca="1">IFERROR(__xludf.DUMMYFUNCTION("GOOGLETRANSLATE('Genshin Impact'!E76,""ru"",""en"")"),"Inazuma")</f>
        <v>Inazuma</v>
      </c>
    </row>
    <row r="77" spans="1:5">
      <c r="A77" s="15" t="str">
        <f ca="1">IFERROR(__xludf.DUMMYFUNCTION("GOOGLETRANSLATE('Genshin Impact'!A77,""ru"",""en"")"),"Which character is the only five-star Dendro two-handed sword user?")</f>
        <v>Which character is the only five-star Dendro two-handed sword user?</v>
      </c>
      <c r="B77" s="15" t="str">
        <f ca="1">IFERROR(__xludf.DUMMYFUNCTION("GOOGLETRANSLATE('Genshin Impact'!B77,""ru"",""en"")"),"Kinich")</f>
        <v>Kinich</v>
      </c>
      <c r="C77" s="15" t="str">
        <f ca="1">IFERROR(__xludf.DUMMYFUNCTION("GOOGLETRANSLATE('Genshin Impact'!C77,""ru"",""en"")"),"Kaveh")</f>
        <v>Kaveh</v>
      </c>
      <c r="D77" s="15" t="str">
        <f ca="1">IFERROR(__xludf.DUMMYFUNCTION("GOOGLETRANSLATE('Genshin Impact'!D77,""ru"",""en"")"),"Tignari")</f>
        <v>Tignari</v>
      </c>
      <c r="E77" s="15" t="str">
        <f ca="1">IFERROR(__xludf.DUMMYFUNCTION("GOOGLETRANSLATE('Genshin Impact'!E77,""ru"",""en"")"),"Al-Haytham")</f>
        <v>Al-Haytham</v>
      </c>
    </row>
    <row r="78" spans="1:5">
      <c r="A78" s="15" t="str">
        <f ca="1">IFERROR(__xludf.DUMMYFUNCTION("GOOGLETRANSLATE('Genshin Impact'!A78,""ru"",""en"")"),"What is the title of the first chapter of Volume IV of the Archon Quests?")</f>
        <v>What is the title of the first chapter of Volume IV of the Archon Quests?</v>
      </c>
      <c r="B78" s="15" t="str">
        <f ca="1">IFERROR(__xludf.DUMMYFUNCTION("GOOGLETRANSLATE('Genshin Impact'!B78,""ru"",""en"")"),"Prelude of white dews and black waves")</f>
        <v>Prelude of white dews and black waves</v>
      </c>
      <c r="C78" s="15" t="str">
        <f ca="1">IFERROR(__xludf.DUMMYFUNCTION("GOOGLETRANSLATE('Genshin Impact'!C78,""ru"",""en"")"),"Like a light rain for no reason")</f>
        <v>Like a light rain for no reason</v>
      </c>
      <c r="D78" s="15" t="str">
        <f ca="1">IFERROR(__xludf.DUMMYFUNCTION("GOOGLETRANSLATE('Genshin Impact'!D78,""ru"",""en"")"),"To the shining stars in the depths")</f>
        <v>To the shining stars in the depths</v>
      </c>
      <c r="E78" s="15" t="str">
        <f ca="1">IFERROR(__xludf.DUMMYFUNCTION("GOOGLETRANSLATE('Genshin Impact'!E78,""ru"",""en"")"),"The approach of disaster")</f>
        <v>The approach of disaster</v>
      </c>
    </row>
    <row r="79" spans="1:5">
      <c r="A79" s="15" t="str">
        <f ca="1">IFERROR(__xludf.DUMMYFUNCTION("GOOGLETRANSLATE('Genshin Impact'!A79,""ru"",""en"")"),"Which Natlan character uses a Geo-element and a polearm?")</f>
        <v>Which Natlan character uses a Geo-element and a polearm?</v>
      </c>
      <c r="B79" s="15" t="str">
        <f ca="1">IFERROR(__xludf.DUMMYFUNCTION("GOOGLETRANSLATE('Genshin Impact'!B79,""ru"",""en"")"),"Kachina")</f>
        <v>Kachina</v>
      </c>
      <c r="C79" s="15" t="str">
        <f ca="1">IFERROR(__xludf.DUMMYFUNCTION("GOOGLETRANSLATE('Genshin Impact'!C79,""ru"",""en"")"),"Kinich")</f>
        <v>Kinich</v>
      </c>
      <c r="D79" s="15" t="str">
        <f ca="1">IFERROR(__xludf.DUMMYFUNCTION("GOOGLETRANSLATE('Genshin Impact'!D79,""ru"",""en"")"),"Mavuika")</f>
        <v>Mavuika</v>
      </c>
      <c r="E79" s="15" t="str">
        <f ca="1">IFERROR(__xludf.DUMMYFUNCTION("GOOGLETRANSLATE('Genshin Impact'!E79,""ru"",""en"")"),"Ororon")</f>
        <v>Ororon</v>
      </c>
    </row>
    <row r="80" spans="1:5">
      <c r="A80" s="15" t="str">
        <f ca="1">IFERROR(__xludf.DUMMYFUNCTION("GOOGLETRANSLATE('Genshin Impact'!A80,""ru"",""en"")"),"What elemental reaction occurs when Pyro is added to the Bloom reaction?")</f>
        <v>What elemental reaction occurs when Pyro is added to the Bloom reaction?</v>
      </c>
      <c r="B80" s="15" t="str">
        <f ca="1">IFERROR(__xludf.DUMMYFUNCTION("GOOGLETRANSLATE('Genshin Impact'!B80,""ru"",""en"")"),"Budding")</f>
        <v>Budding</v>
      </c>
      <c r="C80" s="15" t="str">
        <f ca="1">IFERROR(__xludf.DUMMYFUNCTION("GOOGLETRANSLATE('Genshin Impact'!C80,""ru"",""en"")"),"Vegeta")</f>
        <v>Vegeta</v>
      </c>
      <c r="D80" s="15" t="str">
        <f ca="1">IFERROR(__xludf.DUMMYFUNCTION("GOOGLETRANSLATE('Genshin Impact'!D80,""ru"",""en"")"),"Germination")</f>
        <v>Germination</v>
      </c>
      <c r="E80" s="15" t="str">
        <f ca="1">IFERROR(__xludf.DUMMYFUNCTION("GOOGLETRANSLATE('Genshin Impact'!E80,""ru"",""en"")"),"Sprawl")</f>
        <v>Sprawl</v>
      </c>
    </row>
    <row r="81" spans="1:5">
      <c r="A81" s="15" t="str">
        <f ca="1">IFERROR(__xludf.DUMMYFUNCTION("GOOGLETRANSLATE('Genshin Impact'!A81,""ru"",""en"")"),"Which character is the only four-star Anemo Catalyst user from Liyue?")</f>
        <v>Which character is the only four-star Anemo Catalyst user from Liyue?</v>
      </c>
      <c r="B81" s="15" t="str">
        <f ca="1">IFERROR(__xludf.DUMMYFUNCTION("GOOGLETRANSLATE('Genshin Impact'!B81,""ru"",""en"")"),"Lan Yan")</f>
        <v>Lan Yan</v>
      </c>
      <c r="C81" s="15" t="str">
        <f ca="1">IFERROR(__xludf.DUMMYFUNCTION("GOOGLETRANSLATE('Genshin Impact'!C81,""ru"",""en"")"),"Sucrose")</f>
        <v>Sucrose</v>
      </c>
      <c r="D81" s="15" t="str">
        <f ca="1">IFERROR(__xludf.DUMMYFUNCTION("GOOGLETRANSLATE('Genshin Impact'!D81,""ru"",""en"")"),"Faruzan")</f>
        <v>Faruzan</v>
      </c>
      <c r="E81" s="15" t="str">
        <f ca="1">IFERROR(__xludf.DUMMYFUNCTION("GOOGLETRANSLATE('Genshin Impact'!E81,""ru"",""en"")"),"Heizo")</f>
        <v>Heizo</v>
      </c>
    </row>
    <row r="82" spans="1:5">
      <c r="A82" s="15" t="str">
        <f ca="1">IFERROR(__xludf.DUMMYFUNCTION("GOOGLETRANSLATE('Genshin Impact'!A82,""ru"",""en"")"),"What is the title of the second chapter of Volume IV of the Archon Quests?")</f>
        <v>What is the title of the second chapter of Volume IV of the Archon Quests?</v>
      </c>
      <c r="B82" s="15" t="str">
        <f ca="1">IFERROR(__xludf.DUMMYFUNCTION("GOOGLETRANSLATE('Genshin Impact'!B82,""ru"",""en"")"),"Like a light rain for no reason")</f>
        <v>Like a light rain for no reason</v>
      </c>
      <c r="C82" s="15" t="str">
        <f ca="1">IFERROR(__xludf.DUMMYFUNCTION("GOOGLETRANSLATE('Genshin Impact'!C82,""ru"",""en"")"),"Prelude of white dews and black waves")</f>
        <v>Prelude of white dews and black waves</v>
      </c>
      <c r="D82" s="15" t="str">
        <f ca="1">IFERROR(__xludf.DUMMYFUNCTION("GOOGLETRANSLATE('Genshin Impact'!D82,""ru"",""en"")"),"To the shining stars in the depths")</f>
        <v>To the shining stars in the depths</v>
      </c>
      <c r="E82" s="15" t="str">
        <f ca="1">IFERROR(__xludf.DUMMYFUNCTION("GOOGLETRANSLATE('Genshin Impact'!E82,""ru"",""en"")"),"The approach of disaster")</f>
        <v>The approach of disaster</v>
      </c>
    </row>
    <row r="83" spans="1:5">
      <c r="A83" s="15" t="str">
        <f ca="1">IFERROR(__xludf.DUMMYFUNCTION("GOOGLETRANSLATE('Genshin Impact'!A83,""ru"",""en"")"),"Which character from Inazuma uses the Dendro element and a one-handed sword?")</f>
        <v>Which character from Inazuma uses the Dendro element and a one-handed sword?</v>
      </c>
      <c r="B83" s="15" t="str">
        <f ca="1">IFERROR(__xludf.DUMMYFUNCTION("GOOGLETRANSLATE('Genshin Impact'!B83,""ru"",""en"")"),"Kirara")</f>
        <v>Kirara</v>
      </c>
      <c r="C83" s="15" t="str">
        <f ca="1">IFERROR(__xludf.DUMMYFUNCTION("GOOGLETRANSLATE('Genshin Impact'!C83,""ru"",""en"")"),"Tracks")</f>
        <v>Tracks</v>
      </c>
      <c r="D83" s="15" t="str">
        <f ca="1">IFERROR(__xludf.DUMMYFUNCTION("GOOGLETRANSLATE('Genshin Impact'!D83,""ru"",""en"")"),"Kaveh")</f>
        <v>Kaveh</v>
      </c>
      <c r="E83" s="15" t="str">
        <f ca="1">IFERROR(__xludf.DUMMYFUNCTION("GOOGLETRANSLATE('Genshin Impact'!E83,""ru"",""en"")"),"Al-Haytham")</f>
        <v>Al-Haytham</v>
      </c>
    </row>
    <row r="84" spans="1:5">
      <c r="A84" s="15" t="str">
        <f ca="1">IFERROR(__xludf.DUMMYFUNCTION("GOOGLETRANSLATE('Genshin Impact'!A84,""ru"",""en"")"),"What elemental reaction occurs when Electro is added to the Bloom reaction?")</f>
        <v>What elemental reaction occurs when Electro is added to the Bloom reaction?</v>
      </c>
      <c r="B84" s="15" t="str">
        <f ca="1">IFERROR(__xludf.DUMMYFUNCTION("GOOGLETRANSLATE('Genshin Impact'!B84,""ru"",""en"")"),"Hyperblooming")</f>
        <v>Hyperblooming</v>
      </c>
      <c r="C84" s="15" t="str">
        <f ca="1">IFERROR(__xludf.DUMMYFUNCTION("GOOGLETRANSLATE('Genshin Impact'!C84,""ru"",""en"")"),"Exacerbation")</f>
        <v>Exacerbation</v>
      </c>
      <c r="D84" s="15" t="str">
        <f ca="1">IFERROR(__xludf.DUMMYFUNCTION("GOOGLETRANSLATE('Genshin Impact'!D84,""ru"",""en"")"),"Catalysis")</f>
        <v>Catalysis</v>
      </c>
      <c r="E84" s="15" t="str">
        <f ca="1">IFERROR(__xludf.DUMMYFUNCTION("GOOGLETRANSLATE('Genshin Impact'!E84,""ru"",""en"")"),"Electroflowering")</f>
        <v>Electroflowering</v>
      </c>
    </row>
    <row r="85" spans="1:5">
      <c r="A85" s="15" t="str">
        <f ca="1">IFERROR(__xludf.DUMMYFUNCTION("GOOGLETRANSLATE('Genshin Impact'!A85,""ru"",""en"")"),"Which character is the only five-star Hydro bow user from Fontaine?")</f>
        <v>Which character is the only five-star Hydro bow user from Fontaine?</v>
      </c>
      <c r="B85" s="15" t="str">
        <f ca="1">IFERROR(__xludf.DUMMYFUNCTION("GOOGLETRANSLATE('Genshin Impact'!B85,""ru"",""en"")"),"Sidgwin")</f>
        <v>Sidgwin</v>
      </c>
      <c r="C85" s="15" t="str">
        <f ca="1">IFERROR(__xludf.DUMMYFUNCTION("GOOGLETRANSLATE('Genshin Impact'!C85,""ru"",""en"")"),"Furina")</f>
        <v>Furina</v>
      </c>
      <c r="D85" s="15" t="str">
        <f ca="1">IFERROR(__xludf.DUMMYFUNCTION("GOOGLETRANSLATE('Genshin Impact'!D85,""ru"",""en"")"),"Neuvillette")</f>
        <v>Neuvillette</v>
      </c>
      <c r="E85" s="15" t="str">
        <f ca="1">IFERROR(__xludf.DUMMYFUNCTION("GOOGLETRANSLATE('Genshin Impact'!E85,""ru"",""en"")"),"Clorinda")</f>
        <v>Clorinda</v>
      </c>
    </row>
    <row r="86" spans="1:5">
      <c r="A86" s="15" t="str">
        <f ca="1">IFERROR(__xludf.DUMMYFUNCTION("GOOGLETRANSLATE('Genshin Impact'!A86,""ru"",""en"")"),"What is the title of the third chapter of Volume IV of the Archon Quests?")</f>
        <v>What is the title of the third chapter of Volume IV of the Archon Quests?</v>
      </c>
      <c r="B86" s="15" t="str">
        <f ca="1">IFERROR(__xludf.DUMMYFUNCTION("GOOGLETRANSLATE('Genshin Impact'!B86,""ru"",""en"")"),"To the shining stars in the depths")</f>
        <v>To the shining stars in the depths</v>
      </c>
      <c r="C86" s="15" t="str">
        <f ca="1">IFERROR(__xludf.DUMMYFUNCTION("GOOGLETRANSLATE('Genshin Impact'!C86,""ru"",""en"")"),"Like a light rain for no reason")</f>
        <v>Like a light rain for no reason</v>
      </c>
      <c r="D86" s="15" t="str">
        <f ca="1">IFERROR(__xludf.DUMMYFUNCTION("GOOGLETRANSLATE('Genshin Impact'!D86,""ru"",""en"")"),"The approach of disaster")</f>
        <v>The approach of disaster</v>
      </c>
      <c r="E86" s="15" t="str">
        <f ca="1">IFERROR(__xludf.DUMMYFUNCTION("GOOGLETRANSLATE('Genshin Impact'!E86,""ru"",""en"")"),"Masquerade of the Guilty")</f>
        <v>Masquerade of the Guilty</v>
      </c>
    </row>
    <row r="87" spans="1:5">
      <c r="A87" s="15" t="str">
        <f ca="1">IFERROR(__xludf.DUMMYFUNCTION("GOOGLETRANSLATE('Genshin Impact'!A87,""ru"",""en"")"),"Which Fontaine character uses the Cryo element and a two-handed sword?")</f>
        <v>Which Fontaine character uses the Cryo element and a two-handed sword?</v>
      </c>
      <c r="B87" s="15" t="str">
        <f ca="1">IFERROR(__xludf.DUMMYFUNCTION("GOOGLETRANSLATE('Genshin Impact'!B87,""ru"",""en"")"),"Freminet")</f>
        <v>Freminet</v>
      </c>
      <c r="C87" s="15" t="str">
        <f ca="1">IFERROR(__xludf.DUMMYFUNCTION("GOOGLETRANSLATE('Genshin Impact'!C87,""ru"",""en"")"),"Risley")</f>
        <v>Risley</v>
      </c>
      <c r="D87" s="15" t="str">
        <f ca="1">IFERROR(__xludf.DUMMYFUNCTION("GOOGLETRANSLATE('Genshin Impact'!D87,""ru"",""en"")"),"Clorinda")</f>
        <v>Clorinda</v>
      </c>
      <c r="E87" s="15" t="str">
        <f ca="1">IFERROR(__xludf.DUMMYFUNCTION("GOOGLETRANSLATE('Genshin Impact'!E87,""ru"",""en"")"),"Lynette")</f>
        <v>Lynette</v>
      </c>
    </row>
    <row r="88" spans="1:5">
      <c r="A88" s="15" t="str">
        <f ca="1">IFERROR(__xludf.DUMMYFUNCTION("GOOGLETRANSLATE('Genshin Impact'!A88,""ru"",""en"")"),"Which character is the only four-star Pyro polearm user from Inazuma?")</f>
        <v>Which character is the only four-star Pyro polearm user from Inazuma?</v>
      </c>
      <c r="B88" s="15" t="str">
        <f ca="1">IFERROR(__xludf.DUMMYFUNCTION("GOOGLETRANSLATE('Genshin Impact'!B88,""ru"",""en"")"),"Tom")</f>
        <v>Tom</v>
      </c>
      <c r="C88" s="15" t="str">
        <f ca="1">IFERROR(__xludf.DUMMYFUNCTION("GOOGLETRANSLATE('Genshin Impact'!C88,""ru"",""en"")"),"Xiang Ling")</f>
        <v>Xiang Ling</v>
      </c>
      <c r="D88" s="15" t="str">
        <f ca="1">IFERROR(__xludf.DUMMYFUNCTION("GOOGLETRANSLATE('Genshin Impact'!D88,""ru"",""en"")"),"Hu Tao")</f>
        <v>Hu Tao</v>
      </c>
      <c r="E88" s="15" t="str">
        <f ca="1">IFERROR(__xludf.DUMMYFUNCTION("GOOGLETRANSLATE('Genshin Impact'!E88,""ru"",""en"")"),"Yoimiya")</f>
        <v>Yoimiya</v>
      </c>
    </row>
    <row r="89" spans="1:5">
      <c r="A89" s="15" t="str">
        <f ca="1">IFERROR(__xludf.DUMMYFUNCTION("GOOGLETRANSLATE('Genshin Impact'!A89,""ru"",""en"")"),"What is the title of the fourth chapter of Volume IV of the Archon Quests?")</f>
        <v>What is the title of the fourth chapter of Volume IV of the Archon Quests?</v>
      </c>
      <c r="B89" s="15" t="str">
        <f ca="1">IFERROR(__xludf.DUMMYFUNCTION("GOOGLETRANSLATE('Genshin Impact'!B89,""ru"",""en"")"),"The approach of disaster")</f>
        <v>The approach of disaster</v>
      </c>
      <c r="C89" s="15" t="str">
        <f ca="1">IFERROR(__xludf.DUMMYFUNCTION("GOOGLETRANSLATE('Genshin Impact'!C89,""ru"",""en"")"),"To the shining stars in the depths")</f>
        <v>To the shining stars in the depths</v>
      </c>
      <c r="D89" s="15" t="str">
        <f ca="1">IFERROR(__xludf.DUMMYFUNCTION("GOOGLETRANSLATE('Genshin Impact'!D89,""ru"",""en"")"),"Masquerade of the Guilty")</f>
        <v>Masquerade of the Guilty</v>
      </c>
      <c r="E89" s="15" t="str">
        <f ca="1">IFERROR(__xludf.DUMMYFUNCTION("GOOGLETRANSLATE('Genshin Impact'!E89,""ru"",""en"")"),"A bedtime story")</f>
        <v>A bedtime story</v>
      </c>
    </row>
    <row r="90" spans="1:5">
      <c r="A90" s="15" t="str">
        <f ca="1">IFERROR(__xludf.DUMMYFUNCTION("GOOGLETRANSLATE('Genshin Impact'!A90,""ru"",""en"")"),"Which character from Sumeru uses the Electro element and a bow?")</f>
        <v>Which character from Sumeru uses the Electro element and a bow?</v>
      </c>
      <c r="B90" s="15" t="str">
        <f ca="1">IFERROR(__xludf.DUMMYFUNCTION("GOOGLETRANSLATE('Genshin Impact'!B90,""ru"",""en"")"),"Setos")</f>
        <v>Setos</v>
      </c>
      <c r="C90" s="15" t="str">
        <f ca="1">IFERROR(__xludf.DUMMYFUNCTION("GOOGLETRANSLATE('Genshin Impact'!C90,""ru"",""en"")"),"Tignari")</f>
        <v>Tignari</v>
      </c>
      <c r="D90" s="15" t="str">
        <f ca="1">IFERROR(__xludf.DUMMYFUNCTION("GOOGLETRANSLATE('Genshin Impact'!D90,""ru"",""en"")"),"Tracks")</f>
        <v>Tracks</v>
      </c>
      <c r="E90" s="15" t="str">
        <f ca="1">IFERROR(__xludf.DUMMYFUNCTION("GOOGLETRANSLATE('Genshin Impact'!E90,""ru"",""en"")"),"Faruzan")</f>
        <v>Faruzan</v>
      </c>
    </row>
    <row r="91" spans="1:5">
      <c r="A91" s="15" t="str">
        <f ca="1">IFERROR(__xludf.DUMMYFUNCTION("GOOGLETRANSLATE('Genshin Impact'!A91,""ru"",""en"")"),"Which character is the only five-star Anemo Catalyst user from Liyue?")</f>
        <v>Which character is the only five-star Anemo Catalyst user from Liyue?</v>
      </c>
      <c r="B91" s="15" t="str">
        <f ca="1">IFERROR(__xludf.DUMMYFUNCTION("GOOGLETRANSLATE('Genshin Impact'!B91,""ru"",""en"")"),"Xian Yun")</f>
        <v>Xian Yun</v>
      </c>
      <c r="C91" s="15" t="str">
        <f ca="1">IFERROR(__xludf.DUMMYFUNCTION("GOOGLETRANSLATE('Genshin Impact'!C91,""ru"",""en"")"),"Xiao")</f>
        <v>Xiao</v>
      </c>
      <c r="D91" s="15" t="str">
        <f ca="1">IFERROR(__xludf.DUMMYFUNCTION("GOOGLETRANSLATE('Genshin Impact'!D91,""ru"",""en"")"),"Zhong Li")</f>
        <v>Zhong Li</v>
      </c>
      <c r="E91" s="15" t="str">
        <f ca="1">IFERROR(__xludf.DUMMYFUNCTION("GOOGLETRANSLATE('Genshin Impact'!E91,""ru"",""en"")"),"Wanderer")</f>
        <v>Wanderer</v>
      </c>
    </row>
    <row r="92" spans="1:5">
      <c r="A92" s="15" t="str">
        <f ca="1">IFERROR(__xludf.DUMMYFUNCTION("GOOGLETRANSLATE('Genshin Impact'!A92,""ru"",""en"")"),"What is the title of Chapter 5 of Volume IV of the Archon Quests?")</f>
        <v>What is the title of Chapter 5 of Volume IV of the Archon Quests?</v>
      </c>
      <c r="B92" s="15" t="str">
        <f ca="1">IFERROR(__xludf.DUMMYFUNCTION("GOOGLETRANSLATE('Genshin Impact'!B92,""ru"",""en"")"),"Masquerade of the Guilty")</f>
        <v>Masquerade of the Guilty</v>
      </c>
      <c r="C92" s="15" t="str">
        <f ca="1">IFERROR(__xludf.DUMMYFUNCTION("GOOGLETRANSLATE('Genshin Impact'!C92,""ru"",""en"")"),"The approach of disaster")</f>
        <v>The approach of disaster</v>
      </c>
      <c r="D92" s="15" t="str">
        <f ca="1">IFERROR(__xludf.DUMMYFUNCTION("GOOGLETRANSLATE('Genshin Impact'!D92,""ru"",""en"")"),"To the shining stars in the depths")</f>
        <v>To the shining stars in the depths</v>
      </c>
      <c r="E92" s="15" t="str">
        <f ca="1">IFERROR(__xludf.DUMMYFUNCTION("GOOGLETRANSLATE('Genshin Impact'!E92,""ru"",""en"")"),"A bedtime story")</f>
        <v>A bedtime story</v>
      </c>
    </row>
    <row r="93" spans="1:5">
      <c r="A93" s="15" t="str">
        <f ca="1">IFERROR(__xludf.DUMMYFUNCTION("GOOGLETRANSLATE('Genshin Impact'!A93,""ru"",""en"")"),"Which character from Natlan uses the Electro element and a bow?")</f>
        <v>Which character from Natlan uses the Electro element and a bow?</v>
      </c>
      <c r="B93" s="15" t="str">
        <f ca="1">IFERROR(__xludf.DUMMYFUNCTION("GOOGLETRANSLATE('Genshin Impact'!B93,""ru"",""en"")"),"Ororon")</f>
        <v>Ororon</v>
      </c>
      <c r="C93" s="15" t="str">
        <f ca="1">IFERROR(__xludf.DUMMYFUNCTION("GOOGLETRANSLATE('Genshin Impact'!C93,""ru"",""en"")"),"Kachina")</f>
        <v>Kachina</v>
      </c>
      <c r="D93" s="15" t="str">
        <f ca="1">IFERROR(__xludf.DUMMYFUNCTION("GOOGLETRANSLATE('Genshin Impact'!D93,""ru"",""en"")"),"Kinich")</f>
        <v>Kinich</v>
      </c>
      <c r="E93" s="15" t="str">
        <f ca="1">IFERROR(__xludf.DUMMYFUNCTION("GOOGLETRANSLATE('Genshin Impact'!E93,""ru"",""en"")"),"Mavuika")</f>
        <v>Mavuika</v>
      </c>
    </row>
    <row r="94" spans="1:5">
      <c r="A94" s="15" t="str">
        <f ca="1">IFERROR(__xludf.DUMMYFUNCTION("GOOGLETRANSLATE('Genshin Impact'!A94,""ru"",""en"")"),"Which character is the only five-star Anemo bow user from Natlan?")</f>
        <v>Which character is the only five-star Anemo bow user from Natlan?</v>
      </c>
      <c r="B94" s="15" t="str">
        <f ca="1">IFERROR(__xludf.DUMMYFUNCTION("GOOGLETRANSLATE('Genshin Impact'!B94,""ru"",""en"")"),"Chaska")</f>
        <v>Chaska</v>
      </c>
      <c r="C94" s="15" t="str">
        <f ca="1">IFERROR(__xludf.DUMMYFUNCTION("GOOGLETRANSLATE('Genshin Impact'!C94,""ru"",""en"")"),"Venti")</f>
        <v>Venti</v>
      </c>
      <c r="D94" s="15" t="str">
        <f ca="1">IFERROR(__xludf.DUMMYFUNCTION("GOOGLETRANSLATE('Genshin Impact'!D94,""ru"",""en"")"),"Kinich")</f>
        <v>Kinich</v>
      </c>
      <c r="E94" s="15" t="str">
        <f ca="1">IFERROR(__xludf.DUMMYFUNCTION("GOOGLETRANSLATE('Genshin Impact'!E94,""ru"",""en"")"),"Mavuika")</f>
        <v>Mavuika</v>
      </c>
    </row>
    <row r="95" spans="1:5">
      <c r="A95" s="15" t="str">
        <f ca="1">IFERROR(__xludf.DUMMYFUNCTION("GOOGLETRANSLATE('Genshin Impact'!A95,""ru"",""en"")"),"What elemental reaction occurs when Hydro and Cryo are combined?")</f>
        <v>What elemental reaction occurs when Hydro and Cryo are combined?</v>
      </c>
      <c r="B95" s="15" t="str">
        <f ca="1">IFERROR(__xludf.DUMMYFUNCTION("GOOGLETRANSLATE('Genshin Impact'!B95,""ru"",""en"")"),"Freezing")</f>
        <v>Freezing</v>
      </c>
      <c r="C95" s="15" t="str">
        <f ca="1">IFERROR(__xludf.DUMMYFUNCTION("GOOGLETRANSLATE('Genshin Impact'!C95,""ru"",""en"")"),"Melting")</f>
        <v>Melting</v>
      </c>
      <c r="D95" s="15" t="str">
        <f ca="1">IFERROR(__xludf.DUMMYFUNCTION("GOOGLETRANSLATE('Genshin Impact'!D95,""ru"",""en"")"),"Evaporation")</f>
        <v>Evaporation</v>
      </c>
      <c r="E95" s="15" t="str">
        <f ca="1">IFERROR(__xludf.DUMMYFUNCTION("GOOGLETRANSLATE('Genshin Impact'!E95,""ru"",""en"")"),"Superconductivity")</f>
        <v>Superconductivity</v>
      </c>
    </row>
    <row r="96" spans="1:5">
      <c r="A96" s="15" t="str">
        <f ca="1">IFERROR(__xludf.DUMMYFUNCTION("GOOGLETRANSLATE('Genshin Impact'!A96,""ru"",""en"")"),"Which character is the only five-star Geo-user of a one-handed sword from Fontaine?")</f>
        <v>Which character is the only five-star Geo-user of a one-handed sword from Fontaine?</v>
      </c>
      <c r="B96" s="15" t="str">
        <f ca="1">IFERROR(__xludf.DUMMYFUNCTION("GOOGLETRANSLATE('Genshin Impact'!B96,""ru"",""en"")"),"Tiori")</f>
        <v>Tiori</v>
      </c>
      <c r="C96" s="15" t="str">
        <f ca="1">IFERROR(__xludf.DUMMYFUNCTION("GOOGLETRANSLATE('Genshin Impact'!C96,""ru"",""en"")"),"Albedo")</f>
        <v>Albedo</v>
      </c>
      <c r="D96" s="15" t="str">
        <f ca="1">IFERROR(__xludf.DUMMYFUNCTION("GOOGLETRANSLATE('Genshin Impact'!D96,""ru"",""en"")"),"Itto")</f>
        <v>Itto</v>
      </c>
      <c r="E96" s="15" t="str">
        <f ca="1">IFERROR(__xludf.DUMMYFUNCTION("GOOGLETRANSLATE('Genshin Impact'!E96,""ru"",""en"")"),"Navia")</f>
        <v>Navia</v>
      </c>
    </row>
    <row r="97" spans="1:5">
      <c r="A97" s="15" t="str">
        <f ca="1">IFERROR(__xludf.DUMMYFUNCTION("GOOGLETRANSLATE('Genshin Impact'!A97,""ru"",""en"")"),"What region is the character Mualani in?")</f>
        <v>What region is the character Mualani in?</v>
      </c>
      <c r="B97" s="15" t="str">
        <f ca="1">IFERROR(__xludf.DUMMYFUNCTION("GOOGLETRANSLATE('Genshin Impact'!B97,""ru"",""en"")"),"Natlan")</f>
        <v>Natlan</v>
      </c>
      <c r="C97" s="15" t="str">
        <f ca="1">IFERROR(__xludf.DUMMYFUNCTION("GOOGLETRANSLATE('Genshin Impact'!C97,""ru"",""en"")"),"Fontaine")</f>
        <v>Fontaine</v>
      </c>
      <c r="D97" s="15" t="str">
        <f ca="1">IFERROR(__xludf.DUMMYFUNCTION("GOOGLETRANSLATE('Genshin Impact'!D97,""ru"",""en"")"),"Sumeru")</f>
        <v>Sumeru</v>
      </c>
      <c r="E97" s="15" t="str">
        <f ca="1">IFERROR(__xludf.DUMMYFUNCTION("GOOGLETRANSLATE('Genshin Impact'!E97,""ru"",""en"")"),"Inazuma")</f>
        <v>Inazuma</v>
      </c>
    </row>
    <row r="98" spans="1:5">
      <c r="A98" s="15" t="str">
        <f ca="1">IFERROR(__xludf.DUMMYFUNCTION("GOOGLETRANSLATE('Genshin Impact'!A98,""ru"",""en"")"),"Which Fontaine character uses the Anemo element and a one-handed sword?")</f>
        <v>Which Fontaine character uses the Anemo element and a one-handed sword?</v>
      </c>
      <c r="B98" s="15" t="str">
        <f ca="1">IFERROR(__xludf.DUMMYFUNCTION("GOOGLETRANSLATE('Genshin Impact'!B98,""ru"",""en"")"),"Lynette")</f>
        <v>Lynette</v>
      </c>
      <c r="C98" s="15" t="str">
        <f ca="1">IFERROR(__xludf.DUMMYFUNCTION("GOOGLETRANSLATE('Genshin Impact'!C98,""ru"",""en"")"),"Clorinda")</f>
        <v>Clorinda</v>
      </c>
      <c r="D98" s="15" t="str">
        <f ca="1">IFERROR(__xludf.DUMMYFUNCTION("GOOGLETRANSLATE('Genshin Impact'!D98,""ru"",""en"")"),"Furina")</f>
        <v>Furina</v>
      </c>
      <c r="E98" s="15" t="str">
        <f ca="1">IFERROR(__xludf.DUMMYFUNCTION("GOOGLETRANSLATE('Genshin Impact'!E98,""ru"",""en"")"),"Freminet")</f>
        <v>Freminet</v>
      </c>
    </row>
    <row r="99" spans="1:5">
      <c r="A99" s="15" t="str">
        <f ca="1">IFERROR(__xludf.DUMMYFUNCTION("GOOGLETRANSLATE('Genshin Impact'!A99,""ru"",""en"")"),"What is the maximum rarity of characters in the game?")</f>
        <v>What is the maximum rarity of characters in the game?</v>
      </c>
      <c r="B99" s="15" t="str">
        <f ca="1">IFERROR(__xludf.DUMMYFUNCTION("GOOGLETRANSLATE('Genshin Impact'!B99,""ru"",""en"")"),"5 stars")</f>
        <v>5 stars</v>
      </c>
      <c r="C99" s="15" t="str">
        <f ca="1">IFERROR(__xludf.DUMMYFUNCTION("GOOGLETRANSLATE('Genshin Impact'!C99,""ru"",""en"")"),"4 stars")</f>
        <v>4 stars</v>
      </c>
      <c r="D99" s="15" t="str">
        <f ca="1">IFERROR(__xludf.DUMMYFUNCTION("GOOGLETRANSLATE('Genshin Impact'!D99,""ru"",""en"")"),"6 stars")</f>
        <v>6 stars</v>
      </c>
      <c r="E99" s="15" t="str">
        <f ca="1">IFERROR(__xludf.DUMMYFUNCTION("GOOGLETRANSLATE('Genshin Impact'!E99,""ru"",""en"")"),"3 stars")</f>
        <v>3 stars</v>
      </c>
    </row>
    <row r="100" spans="1:5">
      <c r="A100" s="15" t="str">
        <f ca="1">IFERROR(__xludf.DUMMYFUNCTION("GOOGLETRANSLATE('Genshin Impact'!A100,""ru"",""en"")"),"Which character from Liyue uses Pyro element and a polearm?")</f>
        <v>Which character from Liyue uses Pyro element and a polearm?</v>
      </c>
      <c r="B100" s="15" t="str">
        <f ca="1">IFERROR(__xludf.DUMMYFUNCTION("GOOGLETRANSLATE('Genshin Impact'!B100,""ru"",""en"")"),"Hu Tao")</f>
        <v>Hu Tao</v>
      </c>
      <c r="C100" s="15" t="str">
        <f ca="1">IFERROR(__xludf.DUMMYFUNCTION("GOOGLETRANSLATE('Genshin Impact'!C100,""ru"",""en"")"),"Zhong Li")</f>
        <v>Zhong Li</v>
      </c>
      <c r="D100" s="15" t="str">
        <f ca="1">IFERROR(__xludf.DUMMYFUNCTION("GOOGLETRANSLATE('Genshin Impact'!D100,""ru"",""en"")"),"Xiao")</f>
        <v>Xiao</v>
      </c>
      <c r="E100" s="15" t="str">
        <f ca="1">IFERROR(__xludf.DUMMYFUNCTION("GOOGLETRANSLATE('Genshin Impact'!E100,""ru"",""en"")"),"Bai Zhu")</f>
        <v>Bai Zhu</v>
      </c>
    </row>
    <row r="101" spans="1:5">
      <c r="A101" s="15" t="str">
        <f ca="1">IFERROR(__xludf.DUMMYFUNCTION("GOOGLETRANSLATE('Genshin Impact'!A101,""ru"",""en"")"),"What is the title of the sixth chapter of the Gemini III Archon Quests?")</f>
        <v>What is the title of the sixth chapter of the Gemini III Archon Quests?</v>
      </c>
      <c r="B101" s="15" t="str">
        <f ca="1">IFERROR(__xludf.DUMMYFUNCTION("GOOGLETRANSLATE('Genshin Impact'!B101,""ru"",""en"")"),"Caribert")</f>
        <v>Caribert</v>
      </c>
      <c r="C101" s="15" t="str">
        <f ca="1">IFERROR(__xludf.DUMMYFUNCTION("GOOGLETRANSLATE('Genshin Impact'!C101,""ru"",""en"")"),"Requiem of the echoing depths")</f>
        <v>Requiem of the echoing depths</v>
      </c>
      <c r="D101" s="15" t="str">
        <f ca="1">IFERROR(__xludf.DUMMYFUNCTION("GOOGLETRANSLATE('Genshin Impact'!D101,""ru"",""en"")"),"We will meet again")</f>
        <v>We will meet again</v>
      </c>
      <c r="E101" s="15" t="str">
        <f ca="1">IFERROR(__xludf.DUMMYFUNCTION("GOOGLETRANSLATE('Genshin Impact'!E101,""ru"",""en"")"),"Branch Guardian: Dainsleif")</f>
        <v>Branch Guardian: Dainsleif</v>
      </c>
    </row>
    <row r="102" spans="1:5">
      <c r="A102" s="15" t="str">
        <f ca="1">IFERROR(__xludf.DUMMYFUNCTION("GOOGLETRANSLATE('Genshin Impact'!A102,""ru"",""en"")"),"Which character is the only four-star Anemo catalyst user from Natlan?")</f>
        <v>Which character is the only four-star Anemo catalyst user from Natlan?</v>
      </c>
      <c r="B102" s="15" t="str">
        <f ca="1">IFERROR(__xludf.DUMMYFUNCTION("GOOGLETRANSLATE('Genshin Impact'!B102,""ru"",""en"")"),"Ifa")</f>
        <v>Ifa</v>
      </c>
      <c r="C102" s="15" t="str">
        <f ca="1">IFERROR(__xludf.DUMMYFUNCTION("GOOGLETRANSLATE('Genshin Impact'!C102,""ru"",""en"")"),"Sucrose")</f>
        <v>Sucrose</v>
      </c>
      <c r="D102" s="15" t="str">
        <f ca="1">IFERROR(__xludf.DUMMYFUNCTION("GOOGLETRANSLATE('Genshin Impact'!D102,""ru"",""en"")"),"Lan Yan")</f>
        <v>Lan Yan</v>
      </c>
      <c r="E102" s="15" t="str">
        <f ca="1">IFERROR(__xludf.DUMMYFUNCTION("GOOGLETRANSLATE('Genshin Impact'!E102,""ru"",""en"")"),"Heizo")</f>
        <v>Heizo</v>
      </c>
    </row>
    <row r="103" spans="1:5">
      <c r="A103" s="15" t="str">
        <f ca="1">IFERROR(__xludf.DUMMYFUNCTION("GOOGLETRANSLATE('Genshin Impact'!A103,""ru"",""en"")"),"Which character from Sumeru uses the Dendro element and a greatsword?")</f>
        <v>Which character from Sumeru uses the Dendro element and a greatsword?</v>
      </c>
      <c r="B103" s="15" t="str">
        <f ca="1">IFERROR(__xludf.DUMMYFUNCTION("GOOGLETRANSLATE('Genshin Impact'!B103,""ru"",""en"")"),"Kaveh")</f>
        <v>Kaveh</v>
      </c>
      <c r="C103" s="15" t="str">
        <f ca="1">IFERROR(__xludf.DUMMYFUNCTION("GOOGLETRANSLATE('Genshin Impact'!C103,""ru"",""en"")"),"Tignari")</f>
        <v>Tignari</v>
      </c>
      <c r="D103" s="15" t="str">
        <f ca="1">IFERROR(__xludf.DUMMYFUNCTION("GOOGLETRANSLATE('Genshin Impact'!D103,""ru"",""en"")"),"Tracks")</f>
        <v>Tracks</v>
      </c>
      <c r="E103" s="15" t="str">
        <f ca="1">IFERROR(__xludf.DUMMYFUNCTION("GOOGLETRANSLATE('Genshin Impact'!E103,""ru"",""en"")"),"Al-Haytham")</f>
        <v>Al-Haytham</v>
      </c>
    </row>
    <row r="104" spans="1:5">
      <c r="A104" s="15" t="str">
        <f ca="1">IFERROR(__xludf.DUMMYFUNCTION("GOOGLETRANSLATE('Genshin Impact'!A104,""ru"",""en"")"),"What region is the character Citlali in?")</f>
        <v>What region is the character Citlali in?</v>
      </c>
      <c r="B104" s="15" t="str">
        <f ca="1">IFERROR(__xludf.DUMMYFUNCTION("GOOGLETRANSLATE('Genshin Impact'!B104,""ru"",""en"")"),"Natlan")</f>
        <v>Natlan</v>
      </c>
      <c r="C104" s="15" t="str">
        <f ca="1">IFERROR(__xludf.DUMMYFUNCTION("GOOGLETRANSLATE('Genshin Impact'!C104,""ru"",""en"")"),"Snowy")</f>
        <v>Snowy</v>
      </c>
      <c r="D104" s="15" t="str">
        <f ca="1">IFERROR(__xludf.DUMMYFUNCTION("GOOGLETRANSLATE('Genshin Impact'!D104,""ru"",""en"")"),"Fontaine")</f>
        <v>Fontaine</v>
      </c>
      <c r="E104" s="15" t="str">
        <f ca="1">IFERROR(__xludf.DUMMYFUNCTION("GOOGLETRANSLATE('Genshin Impact'!E104,""ru"",""en"")"),"Sumeru")</f>
        <v>Sumeru</v>
      </c>
    </row>
    <row r="105" spans="1:5">
      <c r="A105" s="15" t="str">
        <f ca="1">IFERROR(__xludf.DUMMYFUNCTION("GOOGLETRANSLATE('Genshin Impact'!A105,""ru"",""en"")"),"Which character is the only five-star Hydro-Catalyst user from Natlan?")</f>
        <v>Which character is the only five-star Hydro-Catalyst user from Natlan?</v>
      </c>
      <c r="B105" s="15" t="str">
        <f ca="1">IFERROR(__xludf.DUMMYFUNCTION("GOOGLETRANSLATE('Genshin Impact'!B105,""ru"",""en"")"),"Mualani")</f>
        <v>Mualani</v>
      </c>
      <c r="C105" s="15" t="str">
        <f ca="1">IFERROR(__xludf.DUMMYFUNCTION("GOOGLETRANSLATE('Genshin Impact'!C105,""ru"",""en"")"),"Neuvillette")</f>
        <v>Neuvillette</v>
      </c>
      <c r="D105" s="15" t="str">
        <f ca="1">IFERROR(__xludf.DUMMYFUNCTION("GOOGLETRANSLATE('Genshin Impact'!D105,""ru"",""en"")"),"Kokomi")</f>
        <v>Kokomi</v>
      </c>
      <c r="E105" s="15" t="str">
        <f ca="1">IFERROR(__xludf.DUMMYFUNCTION("GOOGLETRANSLATE('Genshin Impact'!E105,""ru"",""en"")"),"Barbara")</f>
        <v>Barbara</v>
      </c>
    </row>
    <row r="106" spans="1:5">
      <c r="A106" s="15" t="str">
        <f ca="1">IFERROR(__xludf.DUMMYFUNCTION("GOOGLETRANSLATE('Genshin Impact'!A106,""ru"",""en"")"),"What is the title of the first chapter of Volume V of the Archon Quests?")</f>
        <v>What is the title of the first chapter of Volume V of the Archon Quests?</v>
      </c>
      <c r="B106" s="15" t="str">
        <f ca="1">IFERROR(__xludf.DUMMYFUNCTION("GOOGLETRANSLATE('Genshin Impact'!B106,""ru"",""en"")"),"Flowers under the scorching sun")</f>
        <v>Flowers under the scorching sun</v>
      </c>
      <c r="C106" s="15" t="str">
        <f ca="1">IFERROR(__xludf.DUMMYFUNCTION("GOOGLETRANSLATE('Genshin Impact'!C106,""ru"",""en"")"),"Black Stone Under a White Stone")</f>
        <v>Black Stone Under a White Stone</v>
      </c>
      <c r="D106" s="15" t="str">
        <f ca="1">IFERROR(__xludf.DUMMYFUNCTION("GOOGLETRANSLATE('Genshin Impact'!D106,""ru"",""en"")"),"A flaming ode to resurrection")</f>
        <v>A flaming ode to resurrection</v>
      </c>
      <c r="E106" s="15" t="str">
        <f ca="1">IFERROR(__xludf.DUMMYFUNCTION("GOOGLETRANSLATE('Genshin Impact'!E106,""ru"",""en"")"),"Merciless frost")</f>
        <v>Merciless frost</v>
      </c>
    </row>
    <row r="107" spans="1:5">
      <c r="A107" s="15" t="str">
        <f ca="1">IFERROR(__xludf.DUMMYFUNCTION("GOOGLETRANSLATE('Genshin Impact'!A107,""ru"",""en"")"),"What adventure level do you need to unlock co-op?")</f>
        <v>What adventure level do you need to unlock co-op?</v>
      </c>
      <c r="B107" s="15" t="str">
        <f ca="1">IFERROR(__xludf.DUMMYFUNCTION("GOOGLETRANSLATE('Genshin Impact'!B107,""ru"",""en"")"),"16")</f>
        <v>16</v>
      </c>
      <c r="C107" s="15" t="str">
        <f ca="1">IFERROR(__xludf.DUMMYFUNCTION("GOOGLETRANSLATE('Genshin Impact'!C107,""ru"",""en"")"),"10")</f>
        <v>10</v>
      </c>
      <c r="D107" s="15" t="str">
        <f ca="1">IFERROR(__xludf.DUMMYFUNCTION("GOOGLETRANSLATE('Genshin Impact'!D107,""ru"",""en"")"),"20")</f>
        <v>20</v>
      </c>
      <c r="E107" s="15" t="str">
        <f ca="1">IFERROR(__xludf.DUMMYFUNCTION("GOOGLETRANSLATE('Genshin Impact'!E107,""ru"",""en"")"),"8")</f>
        <v>8</v>
      </c>
    </row>
    <row r="114" spans="2:5">
      <c r="B114" s="16"/>
      <c r="C114" s="16"/>
      <c r="D114" s="16"/>
      <c r="E114" s="16"/>
    </row>
    <row r="115" spans="2:5">
      <c r="B115" s="16"/>
      <c r="C115" s="16"/>
      <c r="D115" s="16"/>
      <c r="E115" s="16"/>
    </row>
    <row r="116" spans="2:5">
      <c r="B116" s="16"/>
      <c r="C116" s="16"/>
      <c r="D116" s="16"/>
      <c r="E116" s="16"/>
    </row>
    <row r="117" spans="2:5">
      <c r="B117" s="16"/>
      <c r="C117" s="16"/>
      <c r="D117" s="16"/>
      <c r="E117" s="16"/>
    </row>
    <row r="118" spans="2:5">
      <c r="B118" s="16"/>
      <c r="C118" s="16"/>
      <c r="D118" s="16"/>
      <c r="E118" s="16"/>
    </row>
    <row r="119" spans="2:5">
      <c r="B119" s="16"/>
      <c r="C119" s="16"/>
      <c r="D119" s="16"/>
      <c r="E119" s="16"/>
    </row>
    <row r="120" spans="2:5">
      <c r="B120" s="16"/>
      <c r="C120" s="16"/>
      <c r="D120" s="16"/>
      <c r="E120" s="16"/>
    </row>
    <row r="121" spans="2:5">
      <c r="B121" s="16"/>
      <c r="C121" s="16"/>
      <c r="D121" s="16"/>
      <c r="E121" s="16"/>
    </row>
    <row r="122" spans="2:5">
      <c r="B122" s="16"/>
      <c r="C122" s="16"/>
      <c r="D122" s="16"/>
      <c r="E122" s="16"/>
    </row>
    <row r="123" spans="2:5">
      <c r="B123" s="16"/>
      <c r="C123" s="16"/>
      <c r="D123" s="16"/>
      <c r="E123" s="16"/>
    </row>
    <row r="124" spans="2:5">
      <c r="B124" s="16"/>
      <c r="C124" s="16"/>
      <c r="D124" s="16"/>
      <c r="E124" s="16"/>
    </row>
    <row r="125" spans="2:5">
      <c r="B125" s="16"/>
      <c r="C125" s="16"/>
      <c r="D125" s="16"/>
      <c r="E125" s="16"/>
    </row>
    <row r="126" spans="2:5">
      <c r="B126" s="16"/>
      <c r="C126" s="16"/>
      <c r="D126" s="16"/>
      <c r="E126" s="16"/>
    </row>
    <row r="127" spans="2:5">
      <c r="B127" s="16"/>
      <c r="C127" s="16"/>
      <c r="D127" s="16"/>
      <c r="E127" s="16"/>
    </row>
    <row r="128" spans="2:5">
      <c r="B128" s="16"/>
      <c r="C128" s="16"/>
      <c r="D128" s="16"/>
      <c r="E128" s="16"/>
    </row>
    <row r="129" spans="2:5">
      <c r="B129" s="16"/>
      <c r="C129" s="16"/>
      <c r="D129" s="16"/>
      <c r="E129" s="16"/>
    </row>
    <row r="130" spans="2:5">
      <c r="B130" s="16"/>
      <c r="C130" s="16"/>
      <c r="D130" s="16"/>
      <c r="E130" s="16"/>
    </row>
    <row r="131" spans="2:5">
      <c r="B131" s="16"/>
      <c r="C131" s="16"/>
      <c r="D131" s="16"/>
      <c r="E131" s="16"/>
    </row>
    <row r="132" spans="2:5">
      <c r="B132" s="16"/>
      <c r="C132" s="16"/>
      <c r="D132" s="16"/>
      <c r="E132" s="16"/>
    </row>
    <row r="133" spans="2:5">
      <c r="B133" s="16"/>
      <c r="C133" s="16"/>
      <c r="D133" s="16"/>
      <c r="E133" s="16"/>
    </row>
    <row r="134" spans="2:5">
      <c r="B134" s="16"/>
      <c r="C134" s="16"/>
      <c r="D134" s="16"/>
      <c r="E134" s="16"/>
    </row>
    <row r="135" spans="2:5">
      <c r="B135" s="16"/>
      <c r="C135" s="16"/>
      <c r="D135" s="16"/>
      <c r="E135" s="16"/>
    </row>
    <row r="136" spans="2:5">
      <c r="B136" s="16"/>
      <c r="C136" s="16"/>
      <c r="D136" s="16"/>
      <c r="E136" s="16"/>
    </row>
    <row r="137" spans="2:5">
      <c r="B137" s="16"/>
      <c r="C137" s="16"/>
      <c r="D137" s="16"/>
      <c r="E137" s="16"/>
    </row>
    <row r="138" spans="2:5">
      <c r="B138" s="16"/>
      <c r="C138" s="16"/>
      <c r="D138" s="16"/>
      <c r="E138" s="16"/>
    </row>
    <row r="139" spans="2:5">
      <c r="B139" s="16"/>
      <c r="C139" s="16"/>
      <c r="D139" s="16"/>
      <c r="E139" s="16"/>
    </row>
    <row r="140" spans="2:5">
      <c r="B140" s="16"/>
      <c r="C140" s="16"/>
      <c r="D140" s="16"/>
      <c r="E140" s="16"/>
    </row>
    <row r="141" spans="2:5">
      <c r="B141" s="16"/>
      <c r="C141" s="16"/>
      <c r="D141" s="16"/>
      <c r="E141" s="16"/>
    </row>
    <row r="142" spans="2:5">
      <c r="B142" s="16"/>
      <c r="C142" s="16"/>
      <c r="D142" s="16"/>
      <c r="E142" s="16"/>
    </row>
    <row r="143" spans="2:5">
      <c r="B143" s="16"/>
      <c r="C143" s="16"/>
      <c r="D143" s="16"/>
      <c r="E143" s="16"/>
    </row>
    <row r="144" spans="2:5">
      <c r="B144" s="16"/>
      <c r="C144" s="16"/>
      <c r="D144" s="16"/>
      <c r="E144" s="16"/>
    </row>
    <row r="145" spans="2:5">
      <c r="B145" s="16"/>
      <c r="C145" s="16"/>
      <c r="D145" s="16"/>
      <c r="E145" s="16"/>
    </row>
    <row r="146" spans="2:5">
      <c r="B146" s="16"/>
      <c r="C146" s="16"/>
      <c r="D146" s="16"/>
      <c r="E146" s="16"/>
    </row>
    <row r="147" spans="2:5">
      <c r="B147" s="16"/>
      <c r="C147" s="16"/>
      <c r="D147" s="16"/>
      <c r="E147" s="16"/>
    </row>
    <row r="148" spans="2:5">
      <c r="B148" s="16"/>
      <c r="C148" s="16"/>
      <c r="D148" s="16"/>
      <c r="E148" s="16"/>
    </row>
    <row r="149" spans="2:5">
      <c r="B149" s="16"/>
      <c r="C149" s="16"/>
      <c r="D149" s="16"/>
      <c r="E149" s="16"/>
    </row>
    <row r="150" spans="2:5">
      <c r="B150" s="16"/>
      <c r="C150" s="16"/>
      <c r="D150" s="16"/>
      <c r="E150" s="16"/>
    </row>
    <row r="151" spans="2:5">
      <c r="B151" s="16"/>
      <c r="C151" s="16"/>
      <c r="D151" s="16"/>
      <c r="E151" s="16"/>
    </row>
    <row r="152" spans="2:5">
      <c r="B152" s="16"/>
      <c r="C152" s="16"/>
      <c r="D152" s="16"/>
      <c r="E152" s="16"/>
    </row>
    <row r="153" spans="2:5">
      <c r="B153" s="16"/>
      <c r="C153" s="16"/>
      <c r="D153" s="16"/>
      <c r="E153" s="16"/>
    </row>
    <row r="154" spans="2:5">
      <c r="B154" s="16"/>
      <c r="C154" s="16"/>
      <c r="D154" s="16"/>
      <c r="E154" s="16"/>
    </row>
    <row r="155" spans="2:5">
      <c r="B155" s="16"/>
      <c r="C155" s="16"/>
      <c r="D155" s="16"/>
      <c r="E155" s="16"/>
    </row>
    <row r="156" spans="2:5">
      <c r="B156" s="16"/>
      <c r="C156" s="16"/>
      <c r="D156" s="16"/>
      <c r="E156" s="16"/>
    </row>
    <row r="157" spans="2:5">
      <c r="B157" s="16"/>
      <c r="C157" s="16"/>
      <c r="D157" s="16"/>
      <c r="E157" s="16"/>
    </row>
    <row r="158" spans="2:5">
      <c r="B158" s="16"/>
      <c r="C158" s="16"/>
      <c r="D158" s="16"/>
      <c r="E158" s="16"/>
    </row>
    <row r="159" spans="2:5">
      <c r="B159" s="16"/>
      <c r="C159" s="16"/>
      <c r="D159" s="16"/>
      <c r="E159" s="16"/>
    </row>
    <row r="160" spans="2:5">
      <c r="B160" s="16"/>
      <c r="C160" s="16"/>
      <c r="D160" s="16"/>
      <c r="E160" s="16"/>
    </row>
    <row r="161" spans="2:5">
      <c r="B161" s="16"/>
      <c r="C161" s="16"/>
      <c r="D161" s="16"/>
      <c r="E161" s="16"/>
    </row>
    <row r="162" spans="2:5">
      <c r="B162" s="16"/>
      <c r="C162" s="16"/>
      <c r="D162" s="16"/>
      <c r="E162" s="16"/>
    </row>
    <row r="163" spans="2:5">
      <c r="B163" s="16"/>
      <c r="C163" s="16"/>
      <c r="D163" s="16"/>
      <c r="E163" s="16"/>
    </row>
    <row r="164" spans="2:5">
      <c r="B164" s="16"/>
      <c r="C164" s="16"/>
      <c r="D164" s="16"/>
      <c r="E164" s="16"/>
    </row>
    <row r="165" spans="2:5">
      <c r="B165" s="16"/>
      <c r="C165" s="16"/>
      <c r="D165" s="16"/>
      <c r="E165" s="16"/>
    </row>
    <row r="166" spans="2:5">
      <c r="B166" s="16"/>
      <c r="C166" s="16"/>
      <c r="D166" s="16"/>
      <c r="E166" s="16"/>
    </row>
    <row r="167" spans="2:5">
      <c r="B167" s="16"/>
      <c r="C167" s="16"/>
      <c r="D167" s="16"/>
      <c r="E167" s="16"/>
    </row>
    <row r="168" spans="2:5">
      <c r="B168" s="16"/>
      <c r="C168" s="16"/>
      <c r="D168" s="16"/>
      <c r="E168" s="16"/>
    </row>
    <row r="169" spans="2:5">
      <c r="B169" s="16"/>
      <c r="C169" s="16"/>
      <c r="D169" s="16"/>
      <c r="E169" s="16"/>
    </row>
    <row r="170" spans="2:5">
      <c r="B170" s="16"/>
      <c r="C170" s="16"/>
      <c r="D170" s="16"/>
      <c r="E170" s="16"/>
    </row>
    <row r="171" spans="2:5">
      <c r="B171" s="16"/>
      <c r="C171" s="16"/>
      <c r="D171" s="16"/>
      <c r="E171" s="16"/>
    </row>
    <row r="172" spans="2:5">
      <c r="B172" s="16"/>
      <c r="C172" s="16"/>
      <c r="D172" s="16"/>
      <c r="E172" s="16"/>
    </row>
    <row r="173" spans="2:5">
      <c r="B173" s="16"/>
      <c r="C173" s="16"/>
      <c r="D173" s="16"/>
      <c r="E173" s="16"/>
    </row>
    <row r="174" spans="2:5">
      <c r="B174" s="16"/>
      <c r="C174" s="16"/>
      <c r="D174" s="16"/>
      <c r="E174" s="16"/>
    </row>
    <row r="175" spans="2:5">
      <c r="B175" s="16"/>
      <c r="C175" s="16"/>
      <c r="D175" s="16"/>
      <c r="E175" s="16"/>
    </row>
    <row r="176" spans="2:5">
      <c r="B176" s="16"/>
      <c r="C176" s="16"/>
      <c r="D176" s="16"/>
      <c r="E176" s="16"/>
    </row>
    <row r="177" spans="2:5">
      <c r="B177" s="16"/>
      <c r="C177" s="16"/>
      <c r="D177" s="16"/>
      <c r="E177" s="16"/>
    </row>
    <row r="178" spans="2:5">
      <c r="B178" s="16"/>
      <c r="C178" s="16"/>
      <c r="D178" s="16"/>
      <c r="E178" s="16"/>
    </row>
    <row r="179" spans="2:5">
      <c r="B179" s="16"/>
      <c r="C179" s="16"/>
      <c r="D179" s="16"/>
      <c r="E179" s="16"/>
    </row>
    <row r="180" spans="2:5">
      <c r="B180" s="16"/>
      <c r="C180" s="16"/>
      <c r="D180" s="16"/>
      <c r="E180" s="16"/>
    </row>
    <row r="181" spans="2:5">
      <c r="B181" s="16"/>
      <c r="C181" s="16"/>
      <c r="D181" s="16"/>
      <c r="E181" s="16"/>
    </row>
    <row r="182" spans="2:5">
      <c r="B182" s="16"/>
      <c r="C182" s="16"/>
      <c r="D182" s="16"/>
      <c r="E182" s="16"/>
    </row>
    <row r="183" spans="2:5">
      <c r="B183" s="16"/>
      <c r="C183" s="16"/>
      <c r="D183" s="16"/>
      <c r="E183" s="16"/>
    </row>
    <row r="184" spans="2:5">
      <c r="B184" s="16"/>
      <c r="C184" s="16"/>
      <c r="D184" s="16"/>
      <c r="E184" s="16"/>
    </row>
    <row r="185" spans="2:5">
      <c r="B185" s="16"/>
      <c r="C185" s="16"/>
      <c r="D185" s="16"/>
      <c r="E185" s="16"/>
    </row>
    <row r="186" spans="2:5">
      <c r="B186" s="16"/>
      <c r="C186" s="16"/>
      <c r="D186" s="16"/>
      <c r="E186" s="16"/>
    </row>
    <row r="187" spans="2:5">
      <c r="B187" s="16"/>
      <c r="C187" s="16"/>
      <c r="D187" s="16"/>
      <c r="E187" s="16"/>
    </row>
    <row r="188" spans="2:5">
      <c r="B188" s="16"/>
      <c r="C188" s="16"/>
      <c r="D188" s="16"/>
      <c r="E188" s="16"/>
    </row>
    <row r="189" spans="2:5">
      <c r="B189" s="16"/>
      <c r="C189" s="16"/>
      <c r="D189" s="16"/>
      <c r="E189" s="16"/>
    </row>
    <row r="190" spans="2:5">
      <c r="B190" s="16"/>
      <c r="C190" s="16"/>
      <c r="D190" s="16"/>
      <c r="E190" s="16"/>
    </row>
    <row r="191" spans="2:5">
      <c r="B191" s="16"/>
      <c r="C191" s="16"/>
      <c r="D191" s="16"/>
      <c r="E191" s="16"/>
    </row>
    <row r="192" spans="2:5">
      <c r="B192" s="16"/>
      <c r="C192" s="16"/>
      <c r="D192" s="16"/>
      <c r="E192" s="16"/>
    </row>
    <row r="193" spans="2:5">
      <c r="B193" s="16"/>
      <c r="C193" s="16"/>
      <c r="D193" s="16"/>
      <c r="E193" s="16"/>
    </row>
    <row r="194" spans="2:5">
      <c r="B194" s="16"/>
      <c r="C194" s="16"/>
      <c r="D194" s="16"/>
      <c r="E194" s="16"/>
    </row>
    <row r="195" spans="2:5">
      <c r="B195" s="16"/>
      <c r="C195" s="16"/>
      <c r="D195" s="16"/>
      <c r="E195" s="16"/>
    </row>
    <row r="196" spans="2:5">
      <c r="B196" s="16"/>
      <c r="C196" s="16"/>
      <c r="D196" s="16"/>
      <c r="E196" s="16"/>
    </row>
    <row r="197" spans="2:5">
      <c r="B197" s="16"/>
      <c r="C197" s="16"/>
      <c r="D197" s="16"/>
      <c r="E197" s="16"/>
    </row>
    <row r="198" spans="2:5">
      <c r="B198" s="16"/>
      <c r="C198" s="16"/>
      <c r="D198" s="16"/>
      <c r="E198" s="16"/>
    </row>
    <row r="199" spans="2:5">
      <c r="B199" s="16"/>
      <c r="C199" s="16"/>
      <c r="D199" s="16"/>
      <c r="E199" s="16"/>
    </row>
    <row r="200" spans="2:5">
      <c r="B200" s="16"/>
      <c r="C200" s="16"/>
      <c r="D200" s="16"/>
      <c r="E200" s="16"/>
    </row>
    <row r="201" spans="2:5">
      <c r="B201" s="16"/>
      <c r="C201" s="16"/>
      <c r="D201" s="16"/>
      <c r="E201" s="16"/>
    </row>
    <row r="202" spans="2:5">
      <c r="B202" s="16"/>
      <c r="C202" s="16"/>
      <c r="D202" s="16"/>
      <c r="E202" s="16"/>
    </row>
    <row r="203" spans="2:5">
      <c r="B203" s="16"/>
      <c r="C203" s="16"/>
      <c r="D203" s="16"/>
      <c r="E203" s="16"/>
    </row>
    <row r="204" spans="2:5">
      <c r="B204" s="16"/>
      <c r="C204" s="16"/>
      <c r="D204" s="16"/>
      <c r="E204" s="16"/>
    </row>
    <row r="205" spans="2:5">
      <c r="B205" s="16"/>
      <c r="C205" s="16"/>
      <c r="D205" s="16"/>
      <c r="E205" s="16"/>
    </row>
    <row r="206" spans="2:5">
      <c r="B206" s="16"/>
      <c r="C206" s="16"/>
      <c r="D206" s="16"/>
      <c r="E206" s="16"/>
    </row>
    <row r="207" spans="2:5">
      <c r="B207" s="16"/>
      <c r="C207" s="16"/>
      <c r="D207" s="16"/>
      <c r="E207" s="16"/>
    </row>
    <row r="208" spans="2:5">
      <c r="B208" s="16"/>
      <c r="C208" s="16"/>
      <c r="D208" s="16"/>
      <c r="E208" s="16"/>
    </row>
    <row r="209" spans="2:5">
      <c r="B209" s="16"/>
      <c r="C209" s="16"/>
      <c r="D209" s="16"/>
      <c r="E209" s="16"/>
    </row>
    <row r="210" spans="2:5">
      <c r="B210" s="16"/>
      <c r="C210" s="16"/>
      <c r="D210" s="16"/>
      <c r="E210" s="16"/>
    </row>
    <row r="211" spans="2:5">
      <c r="B211" s="16"/>
      <c r="C211" s="16"/>
      <c r="D211" s="16"/>
      <c r="E211" s="16"/>
    </row>
    <row r="212" spans="2:5">
      <c r="B212" s="16"/>
      <c r="C212" s="16"/>
      <c r="D212" s="16"/>
      <c r="E212" s="16"/>
    </row>
    <row r="213" spans="2:5">
      <c r="B213" s="16"/>
      <c r="C213" s="16"/>
      <c r="D213" s="16"/>
      <c r="E213" s="16"/>
    </row>
    <row r="214" spans="2:5">
      <c r="B214" s="16"/>
      <c r="C214" s="16"/>
      <c r="D214" s="16"/>
      <c r="E214" s="16"/>
    </row>
    <row r="215" spans="2:5">
      <c r="B215" s="16"/>
      <c r="C215" s="16"/>
      <c r="D215" s="16"/>
      <c r="E215" s="16"/>
    </row>
    <row r="216" spans="2:5">
      <c r="B216" s="16"/>
      <c r="C216" s="16"/>
      <c r="D216" s="16"/>
      <c r="E216" s="16"/>
    </row>
    <row r="217" spans="2:5">
      <c r="B217" s="16"/>
      <c r="C217" s="16"/>
      <c r="D217" s="16"/>
      <c r="E217" s="16"/>
    </row>
    <row r="218" spans="2:5">
      <c r="B218" s="16"/>
      <c r="C218" s="16"/>
      <c r="D218" s="16"/>
      <c r="E218" s="16"/>
    </row>
    <row r="219" spans="2:5">
      <c r="B219" s="16"/>
      <c r="C219" s="16"/>
      <c r="D219" s="16"/>
      <c r="E219" s="16"/>
    </row>
    <row r="220" spans="2:5">
      <c r="B220" s="16"/>
      <c r="C220" s="16"/>
      <c r="D220" s="16"/>
      <c r="E220" s="16"/>
    </row>
    <row r="221" spans="2:5">
      <c r="B221" s="16"/>
      <c r="C221" s="16"/>
      <c r="D221" s="16"/>
      <c r="E221" s="16"/>
    </row>
    <row r="222" spans="2:5">
      <c r="B222" s="16"/>
      <c r="C222" s="16"/>
      <c r="D222" s="16"/>
      <c r="E222" s="16"/>
    </row>
    <row r="223" spans="2:5">
      <c r="B223" s="16"/>
      <c r="C223" s="16"/>
      <c r="D223" s="16"/>
      <c r="E223" s="16"/>
    </row>
    <row r="224" spans="2:5">
      <c r="B224" s="16"/>
      <c r="C224" s="16"/>
      <c r="D224" s="16"/>
      <c r="E224" s="16"/>
    </row>
    <row r="225" spans="2:5">
      <c r="B225" s="16"/>
      <c r="C225" s="16"/>
      <c r="D225" s="16"/>
      <c r="E225" s="16"/>
    </row>
    <row r="226" spans="2:5">
      <c r="B226" s="16"/>
      <c r="C226" s="16"/>
      <c r="D226" s="16"/>
      <c r="E226" s="16"/>
    </row>
    <row r="227" spans="2:5">
      <c r="B227" s="16"/>
      <c r="C227" s="16"/>
      <c r="D227" s="16"/>
      <c r="E227" s="16"/>
    </row>
    <row r="228" spans="2:5">
      <c r="B228" s="16"/>
      <c r="C228" s="16"/>
      <c r="D228" s="16"/>
      <c r="E228" s="16"/>
    </row>
    <row r="229" spans="2:5">
      <c r="B229" s="16"/>
      <c r="C229" s="16"/>
      <c r="D229" s="16"/>
      <c r="E229" s="16"/>
    </row>
    <row r="230" spans="2:5">
      <c r="B230" s="16"/>
      <c r="C230" s="16"/>
      <c r="D230" s="16"/>
      <c r="E230" s="16"/>
    </row>
    <row r="231" spans="2:5">
      <c r="B231" s="16"/>
      <c r="C231" s="16"/>
      <c r="D231" s="16"/>
      <c r="E231" s="16"/>
    </row>
    <row r="232" spans="2:5">
      <c r="B232" s="16"/>
      <c r="C232" s="16"/>
      <c r="D232" s="16"/>
      <c r="E232" s="16"/>
    </row>
    <row r="233" spans="2:5">
      <c r="B233" s="16"/>
      <c r="C233" s="16"/>
      <c r="D233" s="16"/>
      <c r="E233" s="16"/>
    </row>
    <row r="234" spans="2:5">
      <c r="B234" s="16"/>
      <c r="C234" s="16"/>
      <c r="D234" s="16"/>
      <c r="E234" s="16"/>
    </row>
    <row r="235" spans="2:5">
      <c r="B235" s="16"/>
      <c r="C235" s="16"/>
      <c r="D235" s="16"/>
      <c r="E235" s="16"/>
    </row>
    <row r="236" spans="2:5">
      <c r="B236" s="16"/>
      <c r="C236" s="16"/>
      <c r="D236" s="16"/>
      <c r="E236" s="16"/>
    </row>
    <row r="237" spans="2:5">
      <c r="B237" s="16"/>
      <c r="C237" s="16"/>
      <c r="D237" s="16"/>
      <c r="E237" s="16"/>
    </row>
    <row r="238" spans="2:5">
      <c r="B238" s="16"/>
      <c r="C238" s="16"/>
      <c r="D238" s="16"/>
      <c r="E238" s="16"/>
    </row>
    <row r="239" spans="2:5">
      <c r="B239" s="16"/>
      <c r="C239" s="16"/>
      <c r="D239" s="16"/>
      <c r="E239" s="16"/>
    </row>
    <row r="240" spans="2:5">
      <c r="B240" s="16"/>
      <c r="C240" s="16"/>
      <c r="D240" s="16"/>
      <c r="E240" s="16"/>
    </row>
    <row r="241" spans="2:5">
      <c r="B241" s="16"/>
      <c r="C241" s="16"/>
      <c r="D241" s="16"/>
      <c r="E241" s="16"/>
    </row>
    <row r="242" spans="2:5">
      <c r="B242" s="16"/>
      <c r="C242" s="16"/>
      <c r="D242" s="16"/>
      <c r="E242" s="16"/>
    </row>
    <row r="243" spans="2:5">
      <c r="B243" s="16"/>
      <c r="C243" s="16"/>
      <c r="D243" s="16"/>
      <c r="E243" s="16"/>
    </row>
    <row r="244" spans="2:5">
      <c r="B244" s="16"/>
      <c r="C244" s="16"/>
      <c r="D244" s="16"/>
      <c r="E244" s="16"/>
    </row>
    <row r="245" spans="2:5">
      <c r="B245" s="16"/>
      <c r="C245" s="16"/>
      <c r="D245" s="16"/>
      <c r="E245" s="16"/>
    </row>
    <row r="246" spans="2:5">
      <c r="B246" s="16"/>
      <c r="C246" s="16"/>
      <c r="D246" s="16"/>
      <c r="E246" s="16"/>
    </row>
    <row r="247" spans="2:5">
      <c r="B247" s="16"/>
      <c r="C247" s="16"/>
      <c r="D247" s="16"/>
      <c r="E247" s="16"/>
    </row>
    <row r="248" spans="2:5">
      <c r="B248" s="16"/>
      <c r="C248" s="16"/>
      <c r="D248" s="16"/>
      <c r="E248" s="16"/>
    </row>
    <row r="249" spans="2:5">
      <c r="B249" s="16"/>
      <c r="C249" s="16"/>
      <c r="D249" s="16"/>
      <c r="E249" s="16"/>
    </row>
    <row r="250" spans="2:5">
      <c r="B250" s="16"/>
      <c r="C250" s="16"/>
      <c r="D250" s="16"/>
      <c r="E250" s="16"/>
    </row>
    <row r="251" spans="2:5">
      <c r="B251" s="16"/>
      <c r="C251" s="16"/>
      <c r="D251" s="16"/>
      <c r="E251" s="16"/>
    </row>
    <row r="252" spans="2:5">
      <c r="B252" s="16"/>
      <c r="C252" s="16"/>
      <c r="D252" s="16"/>
      <c r="E252" s="16"/>
    </row>
    <row r="253" spans="2:5">
      <c r="B253" s="16"/>
      <c r="C253" s="16"/>
      <c r="D253" s="16"/>
      <c r="E253" s="16"/>
    </row>
    <row r="254" spans="2:5">
      <c r="B254" s="16"/>
      <c r="C254" s="16"/>
      <c r="D254" s="16"/>
      <c r="E254" s="16"/>
    </row>
    <row r="255" spans="2:5">
      <c r="B255" s="16"/>
      <c r="C255" s="16"/>
      <c r="D255" s="16"/>
      <c r="E255" s="16"/>
    </row>
    <row r="256" spans="2:5">
      <c r="B256" s="16"/>
      <c r="C256" s="16"/>
      <c r="D256" s="16"/>
      <c r="E256" s="16"/>
    </row>
    <row r="257" spans="2:5">
      <c r="B257" s="16"/>
      <c r="C257" s="16"/>
      <c r="D257" s="16"/>
      <c r="E257" s="16"/>
    </row>
    <row r="258" spans="2:5">
      <c r="B258" s="16"/>
      <c r="C258" s="16"/>
      <c r="D258" s="16"/>
      <c r="E258" s="16"/>
    </row>
    <row r="259" spans="2:5">
      <c r="B259" s="16"/>
      <c r="C259" s="16"/>
      <c r="D259" s="16"/>
      <c r="E259" s="16"/>
    </row>
    <row r="260" spans="2:5">
      <c r="B260" s="16"/>
      <c r="C260" s="16"/>
      <c r="D260" s="16"/>
      <c r="E260" s="16"/>
    </row>
    <row r="261" spans="2:5">
      <c r="B261" s="16"/>
      <c r="C261" s="16"/>
      <c r="D261" s="16"/>
      <c r="E261" s="16"/>
    </row>
    <row r="262" spans="2:5">
      <c r="B262" s="16"/>
      <c r="C262" s="16"/>
      <c r="D262" s="16"/>
      <c r="E262" s="16"/>
    </row>
    <row r="263" spans="2:5">
      <c r="B263" s="16"/>
      <c r="C263" s="16"/>
      <c r="D263" s="16"/>
      <c r="E263" s="16"/>
    </row>
    <row r="264" spans="2:5">
      <c r="B264" s="16"/>
      <c r="C264" s="16"/>
      <c r="D264" s="16"/>
      <c r="E264" s="16"/>
    </row>
    <row r="265" spans="2:5">
      <c r="B265" s="16"/>
      <c r="C265" s="16"/>
      <c r="D265" s="16"/>
      <c r="E265" s="16"/>
    </row>
    <row r="266" spans="2:5">
      <c r="B266" s="16"/>
      <c r="C266" s="16"/>
      <c r="D266" s="16"/>
      <c r="E266" s="16"/>
    </row>
    <row r="267" spans="2:5">
      <c r="B267" s="16"/>
      <c r="C267" s="16"/>
      <c r="D267" s="16"/>
      <c r="E267" s="16"/>
    </row>
    <row r="268" spans="2:5">
      <c r="B268" s="16"/>
      <c r="C268" s="16"/>
      <c r="D268" s="16"/>
      <c r="E268" s="16"/>
    </row>
    <row r="269" spans="2:5">
      <c r="B269" s="16"/>
      <c r="C269" s="16"/>
      <c r="D269" s="16"/>
      <c r="E269" s="16"/>
    </row>
    <row r="270" spans="2:5">
      <c r="B270" s="16"/>
      <c r="C270" s="16"/>
      <c r="D270" s="16"/>
      <c r="E270" s="16"/>
    </row>
    <row r="271" spans="2:5">
      <c r="B271" s="16"/>
      <c r="C271" s="16"/>
      <c r="D271" s="16"/>
      <c r="E271" s="16"/>
    </row>
    <row r="272" spans="2:5">
      <c r="B272" s="16"/>
      <c r="C272" s="16"/>
      <c r="D272" s="16"/>
      <c r="E272" s="16"/>
    </row>
    <row r="273" spans="2:5">
      <c r="B273" s="16"/>
      <c r="C273" s="16"/>
      <c r="D273" s="16"/>
      <c r="E273" s="16"/>
    </row>
    <row r="274" spans="2:5">
      <c r="B274" s="16"/>
      <c r="C274" s="16"/>
      <c r="D274" s="16"/>
      <c r="E274" s="16"/>
    </row>
    <row r="275" spans="2:5">
      <c r="B275" s="16"/>
      <c r="C275" s="16"/>
      <c r="D275" s="16"/>
      <c r="E275" s="16"/>
    </row>
    <row r="276" spans="2:5">
      <c r="B276" s="16"/>
      <c r="C276" s="16"/>
      <c r="D276" s="16"/>
      <c r="E276" s="16"/>
    </row>
    <row r="277" spans="2:5">
      <c r="B277" s="16"/>
      <c r="C277" s="16"/>
      <c r="D277" s="16"/>
      <c r="E277" s="16"/>
    </row>
    <row r="278" spans="2:5">
      <c r="B278" s="16"/>
      <c r="C278" s="16"/>
      <c r="D278" s="16"/>
      <c r="E278" s="16"/>
    </row>
    <row r="279" spans="2:5">
      <c r="B279" s="16"/>
      <c r="C279" s="16"/>
      <c r="D279" s="16"/>
      <c r="E279" s="16"/>
    </row>
    <row r="280" spans="2:5">
      <c r="B280" s="16"/>
      <c r="C280" s="16"/>
      <c r="D280" s="16"/>
      <c r="E280" s="16"/>
    </row>
    <row r="281" spans="2:5">
      <c r="B281" s="16"/>
      <c r="C281" s="16"/>
      <c r="D281" s="16"/>
      <c r="E281" s="16"/>
    </row>
    <row r="282" spans="2:5">
      <c r="B282" s="16"/>
      <c r="C282" s="16"/>
      <c r="D282" s="16"/>
      <c r="E282" s="16"/>
    </row>
    <row r="283" spans="2:5">
      <c r="B283" s="16"/>
      <c r="C283" s="16"/>
      <c r="D283" s="16"/>
      <c r="E283" s="16"/>
    </row>
    <row r="284" spans="2:5">
      <c r="B284" s="16"/>
      <c r="C284" s="16"/>
      <c r="D284" s="16"/>
      <c r="E284" s="16"/>
    </row>
    <row r="285" spans="2:5">
      <c r="B285" s="16"/>
      <c r="C285" s="16"/>
      <c r="D285" s="16"/>
      <c r="E285" s="16"/>
    </row>
    <row r="286" spans="2:5">
      <c r="B286" s="16"/>
      <c r="C286" s="16"/>
      <c r="D286" s="16"/>
      <c r="E286" s="16"/>
    </row>
    <row r="287" spans="2:5">
      <c r="B287" s="16"/>
      <c r="C287" s="16"/>
      <c r="D287" s="16"/>
      <c r="E287" s="16"/>
    </row>
    <row r="288" spans="2:5">
      <c r="B288" s="16"/>
      <c r="C288" s="16"/>
      <c r="D288" s="16"/>
      <c r="E288" s="16"/>
    </row>
    <row r="289" spans="2:5">
      <c r="B289" s="16"/>
      <c r="C289" s="16"/>
      <c r="D289" s="16"/>
      <c r="E289" s="16"/>
    </row>
    <row r="290" spans="2:5">
      <c r="B290" s="16"/>
      <c r="C290" s="16"/>
      <c r="D290" s="16"/>
      <c r="E290" s="16"/>
    </row>
    <row r="291" spans="2:5">
      <c r="B291" s="16"/>
      <c r="C291" s="16"/>
      <c r="D291" s="16"/>
      <c r="E291" s="16"/>
    </row>
    <row r="292" spans="2:5">
      <c r="B292" s="16"/>
      <c r="C292" s="16"/>
      <c r="D292" s="16"/>
      <c r="E292" s="16"/>
    </row>
    <row r="293" spans="2:5">
      <c r="B293" s="16"/>
      <c r="C293" s="16"/>
      <c r="D293" s="16"/>
      <c r="E293" s="16"/>
    </row>
    <row r="294" spans="2:5">
      <c r="B294" s="16"/>
      <c r="C294" s="16"/>
      <c r="D294" s="16"/>
      <c r="E294" s="16"/>
    </row>
    <row r="295" spans="2:5">
      <c r="B295" s="16"/>
      <c r="C295" s="16"/>
      <c r="D295" s="16"/>
      <c r="E295" s="16"/>
    </row>
    <row r="296" spans="2:5">
      <c r="B296" s="16"/>
      <c r="C296" s="16"/>
      <c r="D296" s="16"/>
      <c r="E296" s="16"/>
    </row>
    <row r="297" spans="2:5">
      <c r="B297" s="16"/>
      <c r="C297" s="16"/>
      <c r="D297" s="16"/>
      <c r="E297" s="16"/>
    </row>
    <row r="298" spans="2:5">
      <c r="B298" s="16"/>
      <c r="C298" s="16"/>
      <c r="D298" s="16"/>
      <c r="E298" s="16"/>
    </row>
    <row r="299" spans="2:5">
      <c r="B299" s="16"/>
      <c r="C299" s="16"/>
      <c r="D299" s="16"/>
      <c r="E299" s="16"/>
    </row>
    <row r="300" spans="2:5">
      <c r="B300" s="16"/>
      <c r="C300" s="16"/>
      <c r="D300" s="16"/>
      <c r="E300" s="16"/>
    </row>
    <row r="301" spans="2:5">
      <c r="B301" s="16"/>
      <c r="C301" s="16"/>
      <c r="D301" s="16"/>
      <c r="E301" s="16"/>
    </row>
    <row r="302" spans="2:5">
      <c r="B302" s="16"/>
      <c r="C302" s="16"/>
      <c r="D302" s="16"/>
      <c r="E302" s="16"/>
    </row>
    <row r="303" spans="2:5">
      <c r="B303" s="16"/>
      <c r="C303" s="16"/>
      <c r="D303" s="16"/>
      <c r="E303" s="16"/>
    </row>
    <row r="304" spans="2:5">
      <c r="B304" s="16"/>
      <c r="C304" s="16"/>
      <c r="D304" s="16"/>
      <c r="E304" s="16"/>
    </row>
    <row r="305" spans="2:5">
      <c r="B305" s="16"/>
      <c r="C305" s="16"/>
      <c r="D305" s="16"/>
      <c r="E305" s="16"/>
    </row>
    <row r="306" spans="2:5">
      <c r="B306" s="16"/>
      <c r="C306" s="16"/>
      <c r="D306" s="16"/>
      <c r="E306" s="16"/>
    </row>
    <row r="307" spans="2:5">
      <c r="B307" s="16"/>
      <c r="C307" s="16"/>
      <c r="D307" s="16"/>
      <c r="E307" s="16"/>
    </row>
    <row r="308" spans="2:5">
      <c r="B308" s="16"/>
      <c r="C308" s="16"/>
      <c r="D308" s="16"/>
      <c r="E308" s="16"/>
    </row>
    <row r="309" spans="2:5">
      <c r="B309" s="16"/>
      <c r="C309" s="16"/>
      <c r="D309" s="16"/>
      <c r="E309" s="16"/>
    </row>
    <row r="310" spans="2:5">
      <c r="B310" s="16"/>
      <c r="C310" s="16"/>
      <c r="D310" s="16"/>
      <c r="E310" s="16"/>
    </row>
    <row r="311" spans="2:5">
      <c r="B311" s="16"/>
      <c r="C311" s="16"/>
      <c r="D311" s="16"/>
      <c r="E311" s="16"/>
    </row>
    <row r="312" spans="2:5">
      <c r="B312" s="16"/>
      <c r="C312" s="16"/>
      <c r="D312" s="16"/>
      <c r="E312" s="16"/>
    </row>
    <row r="313" spans="2:5">
      <c r="B313" s="16"/>
      <c r="C313" s="16"/>
      <c r="D313" s="16"/>
      <c r="E313" s="16"/>
    </row>
    <row r="314" spans="2:5">
      <c r="B314" s="16"/>
      <c r="C314" s="16"/>
      <c r="D314" s="16"/>
      <c r="E314" s="16"/>
    </row>
    <row r="315" spans="2:5">
      <c r="B315" s="16"/>
      <c r="C315" s="16"/>
      <c r="D315" s="16"/>
      <c r="E315" s="16"/>
    </row>
    <row r="316" spans="2:5">
      <c r="B316" s="16"/>
      <c r="C316" s="16"/>
      <c r="D316" s="16"/>
      <c r="E316" s="16"/>
    </row>
    <row r="317" spans="2:5">
      <c r="B317" s="16"/>
      <c r="C317" s="16"/>
      <c r="D317" s="16"/>
      <c r="E317" s="16"/>
    </row>
    <row r="318" spans="2:5">
      <c r="B318" s="16"/>
      <c r="C318" s="16"/>
      <c r="D318" s="16"/>
      <c r="E318" s="16"/>
    </row>
    <row r="319" spans="2:5">
      <c r="B319" s="16"/>
      <c r="C319" s="16"/>
      <c r="D319" s="16"/>
      <c r="E319" s="16"/>
    </row>
    <row r="320" spans="2:5">
      <c r="B320" s="16"/>
      <c r="C320" s="16"/>
      <c r="D320" s="16"/>
      <c r="E320" s="16"/>
    </row>
    <row r="321" spans="2:5">
      <c r="B321" s="16"/>
      <c r="C321" s="16"/>
      <c r="D321" s="16"/>
      <c r="E321" s="16"/>
    </row>
    <row r="322" spans="2:5">
      <c r="B322" s="16"/>
      <c r="C322" s="16"/>
      <c r="D322" s="16"/>
      <c r="E322" s="16"/>
    </row>
    <row r="323" spans="2:5">
      <c r="B323" s="16"/>
      <c r="C323" s="16"/>
      <c r="D323" s="16"/>
      <c r="E323" s="16"/>
    </row>
    <row r="324" spans="2:5">
      <c r="B324" s="16"/>
      <c r="C324" s="16"/>
      <c r="D324" s="16"/>
      <c r="E324" s="16"/>
    </row>
    <row r="325" spans="2:5">
      <c r="B325" s="16"/>
      <c r="C325" s="16"/>
      <c r="D325" s="16"/>
      <c r="E325" s="16"/>
    </row>
    <row r="326" spans="2:5">
      <c r="B326" s="16"/>
      <c r="C326" s="16"/>
      <c r="D326" s="16"/>
      <c r="E326" s="16"/>
    </row>
    <row r="327" spans="2:5">
      <c r="B327" s="16"/>
      <c r="C327" s="16"/>
      <c r="D327" s="16"/>
      <c r="E327" s="16"/>
    </row>
    <row r="328" spans="2:5">
      <c r="B328" s="16"/>
      <c r="C328" s="16"/>
      <c r="D328" s="16"/>
      <c r="E328" s="16"/>
    </row>
    <row r="329" spans="2:5">
      <c r="B329" s="16"/>
      <c r="C329" s="16"/>
      <c r="D329" s="16"/>
      <c r="E329" s="16"/>
    </row>
    <row r="330" spans="2:5">
      <c r="B330" s="16"/>
      <c r="C330" s="16"/>
      <c r="D330" s="16"/>
      <c r="E330" s="16"/>
    </row>
    <row r="331" spans="2:5">
      <c r="B331" s="16"/>
      <c r="C331" s="16"/>
      <c r="D331" s="16"/>
      <c r="E331" s="16"/>
    </row>
    <row r="332" spans="2:5">
      <c r="B332" s="16"/>
      <c r="C332" s="16"/>
      <c r="D332" s="16"/>
      <c r="E332" s="16"/>
    </row>
    <row r="333" spans="2:5">
      <c r="B333" s="16"/>
      <c r="C333" s="16"/>
      <c r="D333" s="16"/>
      <c r="E333" s="16"/>
    </row>
    <row r="334" spans="2:5">
      <c r="B334" s="16"/>
      <c r="C334" s="16"/>
      <c r="D334" s="16"/>
      <c r="E334" s="16"/>
    </row>
    <row r="335" spans="2:5">
      <c r="B335" s="16"/>
      <c r="C335" s="16"/>
      <c r="D335" s="16"/>
      <c r="E335" s="16"/>
    </row>
    <row r="336" spans="2:5">
      <c r="B336" s="16"/>
      <c r="C336" s="16"/>
      <c r="D336" s="16"/>
      <c r="E336" s="16"/>
    </row>
    <row r="337" spans="2:5">
      <c r="B337" s="16"/>
      <c r="C337" s="16"/>
      <c r="D337" s="16"/>
      <c r="E337" s="16"/>
    </row>
    <row r="338" spans="2:5">
      <c r="B338" s="16"/>
      <c r="C338" s="16"/>
      <c r="D338" s="16"/>
      <c r="E338" s="16"/>
    </row>
    <row r="339" spans="2:5">
      <c r="B339" s="16"/>
      <c r="C339" s="16"/>
      <c r="D339" s="16"/>
      <c r="E339" s="16"/>
    </row>
    <row r="340" spans="2:5">
      <c r="B340" s="16"/>
      <c r="C340" s="16"/>
      <c r="D340" s="16"/>
      <c r="E340" s="16"/>
    </row>
    <row r="341" spans="2:5">
      <c r="B341" s="16"/>
      <c r="C341" s="16"/>
      <c r="D341" s="16"/>
      <c r="E341" s="16"/>
    </row>
    <row r="342" spans="2:5">
      <c r="B342" s="16"/>
      <c r="C342" s="16"/>
      <c r="D342" s="16"/>
      <c r="E342" s="16"/>
    </row>
    <row r="343" spans="2:5">
      <c r="B343" s="16"/>
      <c r="C343" s="16"/>
      <c r="D343" s="16"/>
      <c r="E343" s="16"/>
    </row>
    <row r="344" spans="2:5">
      <c r="B344" s="16"/>
      <c r="C344" s="16"/>
      <c r="D344" s="16"/>
      <c r="E344" s="16"/>
    </row>
    <row r="345" spans="2:5">
      <c r="B345" s="16"/>
      <c r="C345" s="16"/>
      <c r="D345" s="16"/>
      <c r="E345" s="16"/>
    </row>
    <row r="346" spans="2:5">
      <c r="B346" s="16"/>
      <c r="C346" s="16"/>
      <c r="D346" s="16"/>
      <c r="E346" s="16"/>
    </row>
    <row r="347" spans="2:5">
      <c r="B347" s="16"/>
      <c r="C347" s="16"/>
      <c r="D347" s="16"/>
      <c r="E347" s="16"/>
    </row>
    <row r="348" spans="2:5">
      <c r="B348" s="16"/>
      <c r="C348" s="16"/>
      <c r="D348" s="16"/>
      <c r="E348" s="16"/>
    </row>
    <row r="349" spans="2:5">
      <c r="B349" s="16"/>
      <c r="C349" s="16"/>
      <c r="D349" s="16"/>
      <c r="E349" s="16"/>
    </row>
    <row r="350" spans="2:5">
      <c r="B350" s="16"/>
      <c r="C350" s="16"/>
      <c r="D350" s="16"/>
      <c r="E350" s="16"/>
    </row>
    <row r="351" spans="2:5">
      <c r="B351" s="16"/>
      <c r="C351" s="16"/>
      <c r="D351" s="16"/>
      <c r="E351" s="16"/>
    </row>
    <row r="352" spans="2:5">
      <c r="B352" s="16"/>
      <c r="C352" s="16"/>
      <c r="D352" s="16"/>
      <c r="E352" s="16"/>
    </row>
    <row r="353" spans="2:5">
      <c r="B353" s="16"/>
      <c r="C353" s="16"/>
      <c r="D353" s="16"/>
      <c r="E353" s="16"/>
    </row>
    <row r="354" spans="2:5">
      <c r="B354" s="16"/>
      <c r="C354" s="16"/>
      <c r="D354" s="16"/>
      <c r="E354" s="16"/>
    </row>
    <row r="355" spans="2:5">
      <c r="B355" s="16"/>
      <c r="C355" s="16"/>
      <c r="D355" s="16"/>
      <c r="E355" s="16"/>
    </row>
    <row r="356" spans="2:5">
      <c r="B356" s="16"/>
      <c r="C356" s="16"/>
      <c r="D356" s="16"/>
      <c r="E356" s="16"/>
    </row>
    <row r="357" spans="2:5">
      <c r="B357" s="16"/>
      <c r="C357" s="16"/>
      <c r="D357" s="16"/>
      <c r="E357" s="16"/>
    </row>
    <row r="358" spans="2:5">
      <c r="B358" s="16"/>
      <c r="C358" s="16"/>
      <c r="D358" s="16"/>
      <c r="E358" s="16"/>
    </row>
    <row r="359" spans="2:5">
      <c r="B359" s="16"/>
      <c r="C359" s="16"/>
      <c r="D359" s="16"/>
      <c r="E359" s="16"/>
    </row>
    <row r="360" spans="2:5">
      <c r="B360" s="16"/>
      <c r="C360" s="16"/>
      <c r="D360" s="16"/>
      <c r="E360" s="16"/>
    </row>
    <row r="361" spans="2:5">
      <c r="B361" s="16"/>
      <c r="C361" s="16"/>
      <c r="D361" s="16"/>
      <c r="E361" s="16"/>
    </row>
    <row r="362" spans="2:5">
      <c r="B362" s="16"/>
      <c r="C362" s="16"/>
      <c r="D362" s="16"/>
      <c r="E362" s="16"/>
    </row>
    <row r="363" spans="2:5">
      <c r="B363" s="16"/>
      <c r="C363" s="16"/>
      <c r="D363" s="16"/>
      <c r="E363" s="16"/>
    </row>
    <row r="364" spans="2:5">
      <c r="B364" s="16"/>
      <c r="C364" s="16"/>
      <c r="D364" s="16"/>
      <c r="E364" s="16"/>
    </row>
    <row r="365" spans="2:5">
      <c r="B365" s="16"/>
      <c r="C365" s="16"/>
      <c r="D365" s="16"/>
      <c r="E365" s="16"/>
    </row>
    <row r="366" spans="2:5">
      <c r="B366" s="16"/>
      <c r="C366" s="16"/>
      <c r="D366" s="16"/>
      <c r="E366" s="16"/>
    </row>
    <row r="367" spans="2:5">
      <c r="B367" s="16"/>
      <c r="C367" s="16"/>
      <c r="D367" s="16"/>
      <c r="E367" s="16"/>
    </row>
    <row r="368" spans="2:5">
      <c r="B368" s="16"/>
      <c r="C368" s="16"/>
      <c r="D368" s="16"/>
      <c r="E368" s="16"/>
    </row>
    <row r="369" spans="2:5">
      <c r="B369" s="16"/>
      <c r="C369" s="16"/>
      <c r="D369" s="16"/>
      <c r="E369" s="16"/>
    </row>
    <row r="370" spans="2:5">
      <c r="B370" s="16"/>
      <c r="C370" s="16"/>
      <c r="D370" s="16"/>
      <c r="E370" s="16"/>
    </row>
    <row r="371" spans="2:5">
      <c r="B371" s="16"/>
      <c r="C371" s="16"/>
      <c r="D371" s="16"/>
      <c r="E371" s="16"/>
    </row>
    <row r="372" spans="2:5">
      <c r="B372" s="16"/>
      <c r="C372" s="16"/>
      <c r="D372" s="16"/>
      <c r="E372" s="16"/>
    </row>
    <row r="373" spans="2:5">
      <c r="B373" s="16"/>
      <c r="C373" s="16"/>
      <c r="D373" s="16"/>
      <c r="E373" s="16"/>
    </row>
    <row r="374" spans="2:5">
      <c r="B374" s="16"/>
      <c r="C374" s="16"/>
      <c r="D374" s="16"/>
      <c r="E374" s="16"/>
    </row>
    <row r="375" spans="2:5">
      <c r="B375" s="16"/>
      <c r="C375" s="16"/>
      <c r="D375" s="16"/>
      <c r="E375" s="16"/>
    </row>
    <row r="376" spans="2:5">
      <c r="B376" s="16"/>
      <c r="C376" s="16"/>
      <c r="D376" s="16"/>
      <c r="E376" s="16"/>
    </row>
    <row r="377" spans="2:5">
      <c r="B377" s="16"/>
      <c r="C377" s="16"/>
      <c r="D377" s="16"/>
      <c r="E377" s="16"/>
    </row>
    <row r="378" spans="2:5">
      <c r="B378" s="16"/>
      <c r="C378" s="16"/>
      <c r="D378" s="16"/>
      <c r="E378" s="16"/>
    </row>
    <row r="379" spans="2:5">
      <c r="B379" s="16"/>
      <c r="C379" s="16"/>
      <c r="D379" s="16"/>
      <c r="E379" s="16"/>
    </row>
    <row r="380" spans="2:5">
      <c r="B380" s="16"/>
      <c r="C380" s="16"/>
      <c r="D380" s="16"/>
      <c r="E380" s="16"/>
    </row>
    <row r="381" spans="2:5">
      <c r="B381" s="16"/>
      <c r="C381" s="16"/>
      <c r="D381" s="16"/>
      <c r="E381" s="16"/>
    </row>
    <row r="382" spans="2:5">
      <c r="B382" s="16"/>
      <c r="C382" s="16"/>
      <c r="D382" s="16"/>
      <c r="E382" s="16"/>
    </row>
    <row r="383" spans="2:5">
      <c r="B383" s="16"/>
      <c r="C383" s="16"/>
      <c r="D383" s="16"/>
      <c r="E383" s="16"/>
    </row>
    <row r="384" spans="2:5">
      <c r="B384" s="16"/>
      <c r="C384" s="16"/>
      <c r="D384" s="16"/>
      <c r="E384" s="16"/>
    </row>
    <row r="385" spans="2:5">
      <c r="B385" s="16"/>
      <c r="C385" s="16"/>
      <c r="D385" s="16"/>
      <c r="E385" s="16"/>
    </row>
    <row r="386" spans="2:5">
      <c r="B386" s="16"/>
      <c r="C386" s="16"/>
      <c r="D386" s="16"/>
      <c r="E386" s="16"/>
    </row>
    <row r="387" spans="2:5">
      <c r="B387" s="16"/>
      <c r="C387" s="16"/>
      <c r="D387" s="16"/>
      <c r="E387" s="16"/>
    </row>
    <row r="388" spans="2:5">
      <c r="B388" s="16"/>
      <c r="C388" s="16"/>
      <c r="D388" s="16"/>
      <c r="E388" s="16"/>
    </row>
    <row r="389" spans="2:5">
      <c r="B389" s="16"/>
      <c r="C389" s="16"/>
      <c r="D389" s="16"/>
      <c r="E389" s="16"/>
    </row>
    <row r="390" spans="2:5">
      <c r="B390" s="16"/>
      <c r="C390" s="16"/>
      <c r="D390" s="16"/>
      <c r="E390" s="16"/>
    </row>
    <row r="391" spans="2:5">
      <c r="B391" s="16"/>
      <c r="C391" s="16"/>
      <c r="D391" s="16"/>
      <c r="E391" s="16"/>
    </row>
    <row r="392" spans="2:5">
      <c r="B392" s="16"/>
      <c r="C392" s="16"/>
      <c r="D392" s="16"/>
      <c r="E392" s="16"/>
    </row>
    <row r="393" spans="2:5">
      <c r="B393" s="16"/>
      <c r="C393" s="16"/>
      <c r="D393" s="16"/>
      <c r="E393" s="16"/>
    </row>
    <row r="394" spans="2:5">
      <c r="B394" s="16"/>
      <c r="C394" s="16"/>
      <c r="D394" s="16"/>
      <c r="E394" s="16"/>
    </row>
    <row r="395" spans="2:5">
      <c r="B395" s="16"/>
      <c r="C395" s="16"/>
      <c r="D395" s="16"/>
      <c r="E395" s="16"/>
    </row>
    <row r="396" spans="2:5">
      <c r="B396" s="16"/>
      <c r="C396" s="16"/>
      <c r="D396" s="16"/>
      <c r="E396" s="16"/>
    </row>
    <row r="397" spans="2:5">
      <c r="B397" s="16"/>
      <c r="C397" s="16"/>
      <c r="D397" s="16"/>
      <c r="E397" s="16"/>
    </row>
    <row r="398" spans="2:5">
      <c r="B398" s="16"/>
      <c r="C398" s="16"/>
      <c r="D398" s="16"/>
      <c r="E398" s="16"/>
    </row>
    <row r="399" spans="2:5">
      <c r="B399" s="16"/>
      <c r="C399" s="16"/>
      <c r="D399" s="16"/>
      <c r="E399" s="16"/>
    </row>
    <row r="400" spans="2:5">
      <c r="B400" s="16"/>
      <c r="C400" s="16"/>
      <c r="D400" s="16"/>
      <c r="E400" s="16"/>
    </row>
    <row r="401" spans="2:5">
      <c r="B401" s="16"/>
      <c r="C401" s="16"/>
      <c r="D401" s="16"/>
      <c r="E401" s="16"/>
    </row>
    <row r="402" spans="2:5">
      <c r="B402" s="16"/>
      <c r="C402" s="16"/>
      <c r="D402" s="16"/>
      <c r="E402" s="16"/>
    </row>
    <row r="403" spans="2:5">
      <c r="B403" s="16"/>
      <c r="C403" s="16"/>
      <c r="D403" s="16"/>
      <c r="E403" s="16"/>
    </row>
    <row r="404" spans="2:5">
      <c r="B404" s="16"/>
      <c r="C404" s="16"/>
      <c r="D404" s="16"/>
      <c r="E404" s="16"/>
    </row>
    <row r="405" spans="2:5">
      <c r="B405" s="16"/>
      <c r="C405" s="16"/>
      <c r="D405" s="16"/>
      <c r="E405" s="16"/>
    </row>
    <row r="406" spans="2:5">
      <c r="B406" s="16"/>
      <c r="C406" s="16"/>
      <c r="D406" s="16"/>
      <c r="E406" s="16"/>
    </row>
    <row r="407" spans="2:5">
      <c r="B407" s="16"/>
      <c r="C407" s="16"/>
      <c r="D407" s="16"/>
      <c r="E407" s="16"/>
    </row>
    <row r="408" spans="2:5">
      <c r="B408" s="16"/>
      <c r="C408" s="16"/>
      <c r="D408" s="16"/>
      <c r="E408" s="16"/>
    </row>
    <row r="409" spans="2:5">
      <c r="B409" s="16"/>
      <c r="C409" s="16"/>
      <c r="D409" s="16"/>
      <c r="E409" s="16"/>
    </row>
    <row r="410" spans="2:5">
      <c r="B410" s="16"/>
      <c r="C410" s="16"/>
      <c r="D410" s="16"/>
      <c r="E410" s="16"/>
    </row>
    <row r="411" spans="2:5">
      <c r="B411" s="16"/>
      <c r="C411" s="16"/>
      <c r="D411" s="16"/>
      <c r="E411" s="16"/>
    </row>
    <row r="412" spans="2:5">
      <c r="B412" s="16"/>
      <c r="C412" s="16"/>
      <c r="D412" s="16"/>
      <c r="E412" s="16"/>
    </row>
    <row r="413" spans="2:5">
      <c r="B413" s="16"/>
      <c r="C413" s="16"/>
      <c r="D413" s="16"/>
      <c r="E413" s="16"/>
    </row>
    <row r="414" spans="2:5">
      <c r="B414" s="16"/>
      <c r="C414" s="16"/>
      <c r="D414" s="16"/>
      <c r="E414" s="16"/>
    </row>
    <row r="415" spans="2:5">
      <c r="B415" s="16"/>
      <c r="C415" s="16"/>
      <c r="D415" s="16"/>
      <c r="E415" s="16"/>
    </row>
    <row r="416" spans="2:5">
      <c r="B416" s="16"/>
      <c r="C416" s="16"/>
      <c r="D416" s="16"/>
      <c r="E416" s="16"/>
    </row>
    <row r="417" spans="2:5">
      <c r="B417" s="16"/>
      <c r="C417" s="16"/>
      <c r="D417" s="16"/>
      <c r="E417" s="16"/>
    </row>
    <row r="418" spans="2:5">
      <c r="B418" s="16"/>
      <c r="C418" s="16"/>
      <c r="D418" s="16"/>
      <c r="E418" s="16"/>
    </row>
    <row r="419" spans="2:5">
      <c r="B419" s="16"/>
      <c r="C419" s="16"/>
      <c r="D419" s="16"/>
      <c r="E419" s="16"/>
    </row>
    <row r="420" spans="2:5">
      <c r="B420" s="16"/>
      <c r="C420" s="16"/>
      <c r="D420" s="16"/>
      <c r="E420" s="16"/>
    </row>
    <row r="421" spans="2:5">
      <c r="B421" s="16"/>
      <c r="C421" s="16"/>
      <c r="D421" s="16"/>
      <c r="E421" s="16"/>
    </row>
    <row r="422" spans="2:5">
      <c r="B422" s="16"/>
      <c r="C422" s="16"/>
      <c r="D422" s="16"/>
      <c r="E422" s="16"/>
    </row>
    <row r="423" spans="2:5">
      <c r="B423" s="16"/>
      <c r="C423" s="16"/>
      <c r="D423" s="16"/>
      <c r="E423" s="16"/>
    </row>
    <row r="424" spans="2:5">
      <c r="B424" s="16"/>
      <c r="C424" s="16"/>
      <c r="D424" s="16"/>
      <c r="E424" s="16"/>
    </row>
    <row r="425" spans="2:5">
      <c r="B425" s="16"/>
      <c r="C425" s="16"/>
      <c r="D425" s="16"/>
      <c r="E425" s="16"/>
    </row>
    <row r="426" spans="2:5">
      <c r="B426" s="16"/>
      <c r="C426" s="16"/>
      <c r="D426" s="16"/>
      <c r="E426" s="16"/>
    </row>
    <row r="427" spans="2:5">
      <c r="B427" s="16"/>
      <c r="C427" s="16"/>
      <c r="D427" s="16"/>
      <c r="E427" s="16"/>
    </row>
    <row r="428" spans="2:5">
      <c r="B428" s="16"/>
      <c r="C428" s="16"/>
      <c r="D428" s="16"/>
      <c r="E428" s="16"/>
    </row>
    <row r="429" spans="2:5">
      <c r="B429" s="16"/>
      <c r="C429" s="16"/>
      <c r="D429" s="16"/>
      <c r="E429" s="16"/>
    </row>
    <row r="430" spans="2:5">
      <c r="B430" s="16"/>
      <c r="C430" s="16"/>
      <c r="D430" s="16"/>
      <c r="E430" s="16"/>
    </row>
    <row r="431" spans="2:5">
      <c r="B431" s="16"/>
      <c r="C431" s="16"/>
      <c r="D431" s="16"/>
      <c r="E431" s="16"/>
    </row>
    <row r="432" spans="2:5">
      <c r="B432" s="16"/>
      <c r="C432" s="16"/>
      <c r="D432" s="16"/>
      <c r="E432" s="16"/>
    </row>
    <row r="433" spans="2:5">
      <c r="B433" s="16"/>
      <c r="C433" s="16"/>
      <c r="D433" s="16"/>
      <c r="E433" s="16"/>
    </row>
    <row r="434" spans="2:5">
      <c r="B434" s="16"/>
      <c r="C434" s="16"/>
      <c r="D434" s="16"/>
      <c r="E434" s="16"/>
    </row>
    <row r="435" spans="2:5">
      <c r="B435" s="16"/>
      <c r="C435" s="16"/>
      <c r="D435" s="16"/>
      <c r="E435" s="16"/>
    </row>
    <row r="436" spans="2:5">
      <c r="B436" s="16"/>
      <c r="C436" s="16"/>
      <c r="D436" s="16"/>
      <c r="E436" s="16"/>
    </row>
    <row r="437" spans="2:5">
      <c r="B437" s="16"/>
      <c r="C437" s="16"/>
      <c r="D437" s="16"/>
      <c r="E437" s="16"/>
    </row>
    <row r="438" spans="2:5">
      <c r="B438" s="16"/>
      <c r="C438" s="16"/>
      <c r="D438" s="16"/>
      <c r="E438" s="16"/>
    </row>
    <row r="439" spans="2:5">
      <c r="B439" s="16"/>
      <c r="C439" s="16"/>
      <c r="D439" s="16"/>
      <c r="E439" s="16"/>
    </row>
    <row r="440" spans="2:5">
      <c r="B440" s="16"/>
      <c r="C440" s="16"/>
      <c r="D440" s="16"/>
      <c r="E440" s="16"/>
    </row>
    <row r="441" spans="2:5">
      <c r="B441" s="16"/>
      <c r="C441" s="16"/>
      <c r="D441" s="16"/>
      <c r="E441" s="16"/>
    </row>
    <row r="442" spans="2:5">
      <c r="B442" s="16"/>
      <c r="C442" s="16"/>
      <c r="D442" s="16"/>
      <c r="E442" s="16"/>
    </row>
    <row r="443" spans="2:5">
      <c r="B443" s="16"/>
      <c r="C443" s="16"/>
      <c r="D443" s="16"/>
      <c r="E443" s="16"/>
    </row>
    <row r="444" spans="2:5">
      <c r="B444" s="16"/>
      <c r="C444" s="16"/>
      <c r="D444" s="16"/>
      <c r="E444" s="16"/>
    </row>
    <row r="445" spans="2:5">
      <c r="B445" s="16"/>
      <c r="C445" s="16"/>
      <c r="D445" s="16"/>
      <c r="E445" s="16"/>
    </row>
    <row r="446" spans="2:5">
      <c r="B446" s="16"/>
      <c r="C446" s="16"/>
      <c r="D446" s="16"/>
      <c r="E446" s="16"/>
    </row>
    <row r="447" spans="2:5">
      <c r="B447" s="16"/>
      <c r="C447" s="16"/>
      <c r="D447" s="16"/>
      <c r="E447" s="16"/>
    </row>
    <row r="448" spans="2:5">
      <c r="B448" s="16"/>
      <c r="C448" s="16"/>
      <c r="D448" s="16"/>
      <c r="E448" s="16"/>
    </row>
    <row r="449" spans="2:5">
      <c r="B449" s="16"/>
      <c r="C449" s="16"/>
      <c r="D449" s="16"/>
      <c r="E449" s="16"/>
    </row>
    <row r="450" spans="2:5">
      <c r="B450" s="16"/>
      <c r="C450" s="16"/>
      <c r="D450" s="16"/>
      <c r="E450" s="16"/>
    </row>
    <row r="451" spans="2:5">
      <c r="B451" s="16"/>
      <c r="C451" s="16"/>
      <c r="D451" s="16"/>
      <c r="E451" s="16"/>
    </row>
    <row r="452" spans="2:5">
      <c r="B452" s="16"/>
      <c r="C452" s="16"/>
      <c r="D452" s="16"/>
      <c r="E452" s="16"/>
    </row>
    <row r="453" spans="2:5">
      <c r="B453" s="16"/>
      <c r="C453" s="16"/>
      <c r="D453" s="16"/>
      <c r="E453" s="16"/>
    </row>
    <row r="454" spans="2:5">
      <c r="B454" s="16"/>
      <c r="C454" s="16"/>
      <c r="D454" s="16"/>
      <c r="E454" s="16"/>
    </row>
    <row r="455" spans="2:5">
      <c r="B455" s="16"/>
      <c r="C455" s="16"/>
      <c r="D455" s="16"/>
      <c r="E455" s="16"/>
    </row>
    <row r="456" spans="2:5">
      <c r="B456" s="16"/>
      <c r="C456" s="16"/>
      <c r="D456" s="16"/>
      <c r="E456" s="16"/>
    </row>
    <row r="457" spans="2:5">
      <c r="B457" s="16"/>
      <c r="C457" s="16"/>
      <c r="D457" s="16"/>
      <c r="E457" s="16"/>
    </row>
    <row r="458" spans="2:5">
      <c r="B458" s="16"/>
      <c r="C458" s="16"/>
      <c r="D458" s="16"/>
      <c r="E458" s="16"/>
    </row>
    <row r="459" spans="2:5">
      <c r="B459" s="16"/>
      <c r="C459" s="16"/>
      <c r="D459" s="16"/>
      <c r="E459" s="16"/>
    </row>
    <row r="460" spans="2:5">
      <c r="B460" s="16"/>
      <c r="C460" s="16"/>
      <c r="D460" s="16"/>
      <c r="E460" s="16"/>
    </row>
    <row r="461" spans="2:5">
      <c r="B461" s="16"/>
      <c r="C461" s="16"/>
      <c r="D461" s="16"/>
      <c r="E461" s="16"/>
    </row>
    <row r="462" spans="2:5">
      <c r="B462" s="16"/>
      <c r="C462" s="16"/>
      <c r="D462" s="16"/>
      <c r="E462" s="16"/>
    </row>
    <row r="463" spans="2:5">
      <c r="B463" s="16"/>
      <c r="C463" s="16"/>
      <c r="D463" s="16"/>
      <c r="E463" s="16"/>
    </row>
    <row r="464" spans="2:5">
      <c r="B464" s="16"/>
      <c r="C464" s="16"/>
      <c r="D464" s="16"/>
      <c r="E464" s="16"/>
    </row>
    <row r="465" spans="2:5">
      <c r="B465" s="16"/>
      <c r="C465" s="16"/>
      <c r="D465" s="16"/>
      <c r="E465" s="16"/>
    </row>
    <row r="466" spans="2:5">
      <c r="B466" s="16"/>
      <c r="C466" s="16"/>
      <c r="D466" s="16"/>
      <c r="E466" s="16"/>
    </row>
    <row r="467" spans="2:5">
      <c r="B467" s="16"/>
      <c r="C467" s="16"/>
      <c r="D467" s="16"/>
      <c r="E467" s="16"/>
    </row>
    <row r="468" spans="2:5">
      <c r="B468" s="16"/>
      <c r="C468" s="16"/>
      <c r="D468" s="16"/>
      <c r="E468" s="16"/>
    </row>
    <row r="469" spans="2:5">
      <c r="B469" s="16"/>
      <c r="C469" s="16"/>
      <c r="D469" s="16"/>
      <c r="E469" s="16"/>
    </row>
    <row r="470" spans="2:5">
      <c r="B470" s="16"/>
      <c r="C470" s="16"/>
      <c r="D470" s="16"/>
      <c r="E470" s="16"/>
    </row>
    <row r="471" spans="2:5">
      <c r="B471" s="16"/>
      <c r="C471" s="16"/>
      <c r="D471" s="16"/>
      <c r="E471" s="16"/>
    </row>
    <row r="472" spans="2:5">
      <c r="B472" s="16"/>
      <c r="C472" s="16"/>
      <c r="D472" s="16"/>
      <c r="E472" s="16"/>
    </row>
    <row r="473" spans="2:5">
      <c r="B473" s="16"/>
      <c r="C473" s="16"/>
      <c r="D473" s="16"/>
      <c r="E473" s="16"/>
    </row>
    <row r="474" spans="2:5">
      <c r="B474" s="16"/>
      <c r="C474" s="16"/>
      <c r="D474" s="16"/>
      <c r="E474" s="16"/>
    </row>
    <row r="475" spans="2:5">
      <c r="B475" s="16"/>
      <c r="C475" s="16"/>
      <c r="D475" s="16"/>
      <c r="E475" s="16"/>
    </row>
    <row r="476" spans="2:5">
      <c r="B476" s="16"/>
      <c r="C476" s="16"/>
      <c r="D476" s="16"/>
      <c r="E476" s="16"/>
    </row>
    <row r="477" spans="2:5">
      <c r="B477" s="16"/>
      <c r="C477" s="16"/>
      <c r="D477" s="16"/>
      <c r="E477" s="16"/>
    </row>
    <row r="478" spans="2:5">
      <c r="B478" s="16"/>
      <c r="C478" s="16"/>
      <c r="D478" s="16"/>
      <c r="E478" s="16"/>
    </row>
    <row r="479" spans="2:5">
      <c r="B479" s="16"/>
      <c r="C479" s="16"/>
      <c r="D479" s="16"/>
      <c r="E479" s="16"/>
    </row>
    <row r="480" spans="2:5">
      <c r="B480" s="16"/>
      <c r="C480" s="16"/>
      <c r="D480" s="16"/>
      <c r="E480" s="16"/>
    </row>
    <row r="481" spans="2:5">
      <c r="B481" s="16"/>
      <c r="C481" s="16"/>
      <c r="D481" s="16"/>
      <c r="E481" s="16"/>
    </row>
    <row r="482" spans="2:5">
      <c r="B482" s="16"/>
      <c r="C482" s="16"/>
      <c r="D482" s="16"/>
      <c r="E482" s="16"/>
    </row>
    <row r="483" spans="2:5">
      <c r="B483" s="16"/>
      <c r="C483" s="16"/>
      <c r="D483" s="16"/>
      <c r="E483" s="16"/>
    </row>
    <row r="484" spans="2:5">
      <c r="B484" s="16"/>
      <c r="C484" s="16"/>
      <c r="D484" s="16"/>
      <c r="E484" s="16"/>
    </row>
    <row r="485" spans="2:5">
      <c r="B485" s="16"/>
      <c r="C485" s="16"/>
      <c r="D485" s="16"/>
      <c r="E485" s="16"/>
    </row>
    <row r="486" spans="2:5">
      <c r="B486" s="16"/>
      <c r="C486" s="16"/>
      <c r="D486" s="16"/>
      <c r="E486" s="16"/>
    </row>
    <row r="487" spans="2:5">
      <c r="B487" s="16"/>
      <c r="C487" s="16"/>
      <c r="D487" s="16"/>
      <c r="E487" s="16"/>
    </row>
    <row r="488" spans="2:5">
      <c r="B488" s="16"/>
      <c r="C488" s="16"/>
      <c r="D488" s="16"/>
      <c r="E488" s="16"/>
    </row>
    <row r="489" spans="2:5">
      <c r="B489" s="16"/>
      <c r="C489" s="16"/>
      <c r="D489" s="16"/>
      <c r="E489" s="16"/>
    </row>
    <row r="490" spans="2:5">
      <c r="B490" s="16"/>
      <c r="C490" s="16"/>
      <c r="D490" s="16"/>
      <c r="E490" s="16"/>
    </row>
    <row r="491" spans="2:5">
      <c r="B491" s="16"/>
      <c r="C491" s="16"/>
      <c r="D491" s="16"/>
      <c r="E491" s="16"/>
    </row>
    <row r="492" spans="2:5">
      <c r="B492" s="16"/>
      <c r="C492" s="16"/>
      <c r="D492" s="16"/>
      <c r="E492" s="16"/>
    </row>
    <row r="493" spans="2:5">
      <c r="B493" s="16"/>
      <c r="C493" s="16"/>
      <c r="D493" s="16"/>
      <c r="E493" s="16"/>
    </row>
    <row r="494" spans="2:5">
      <c r="B494" s="16"/>
      <c r="C494" s="16"/>
      <c r="D494" s="16"/>
      <c r="E494" s="16"/>
    </row>
    <row r="495" spans="2:5">
      <c r="B495" s="16"/>
      <c r="C495" s="16"/>
      <c r="D495" s="16"/>
      <c r="E495" s="16"/>
    </row>
    <row r="496" spans="2:5">
      <c r="B496" s="16"/>
      <c r="C496" s="16"/>
      <c r="D496" s="16"/>
      <c r="E496" s="16"/>
    </row>
    <row r="497" spans="2:5">
      <c r="B497" s="16"/>
      <c r="C497" s="16"/>
      <c r="D497" s="16"/>
      <c r="E497" s="16"/>
    </row>
    <row r="498" spans="2:5">
      <c r="B498" s="16"/>
      <c r="C498" s="16"/>
      <c r="D498" s="16"/>
      <c r="E498" s="16"/>
    </row>
    <row r="499" spans="2:5">
      <c r="B499" s="16"/>
      <c r="C499" s="16"/>
      <c r="D499" s="16"/>
      <c r="E499" s="16"/>
    </row>
    <row r="500" spans="2:5">
      <c r="B500" s="16"/>
      <c r="C500" s="16"/>
      <c r="D500" s="16"/>
      <c r="E500" s="16"/>
    </row>
    <row r="501" spans="2:5">
      <c r="B501" s="16"/>
      <c r="C501" s="16"/>
      <c r="D501" s="16"/>
      <c r="E501" s="16"/>
    </row>
    <row r="502" spans="2:5">
      <c r="B502" s="16"/>
      <c r="C502" s="16"/>
      <c r="D502" s="16"/>
      <c r="E502" s="16"/>
    </row>
    <row r="503" spans="2:5">
      <c r="B503" s="16"/>
      <c r="C503" s="16"/>
      <c r="D503" s="16"/>
      <c r="E503" s="16"/>
    </row>
    <row r="504" spans="2:5">
      <c r="B504" s="16"/>
      <c r="C504" s="16"/>
      <c r="D504" s="16"/>
      <c r="E504" s="16"/>
    </row>
    <row r="505" spans="2:5">
      <c r="B505" s="16"/>
      <c r="C505" s="16"/>
      <c r="D505" s="16"/>
      <c r="E505" s="16"/>
    </row>
    <row r="506" spans="2:5">
      <c r="B506" s="16"/>
      <c r="C506" s="16"/>
      <c r="D506" s="16"/>
      <c r="E506" s="16"/>
    </row>
    <row r="507" spans="2:5">
      <c r="B507" s="16"/>
      <c r="C507" s="16"/>
      <c r="D507" s="16"/>
      <c r="E507" s="16"/>
    </row>
    <row r="508" spans="2:5">
      <c r="B508" s="16"/>
      <c r="C508" s="16"/>
      <c r="D508" s="16"/>
      <c r="E508" s="16"/>
    </row>
    <row r="509" spans="2:5">
      <c r="B509" s="16"/>
      <c r="C509" s="16"/>
      <c r="D509" s="16"/>
      <c r="E509" s="16"/>
    </row>
    <row r="510" spans="2:5">
      <c r="B510" s="16"/>
      <c r="C510" s="16"/>
      <c r="D510" s="16"/>
      <c r="E510" s="16"/>
    </row>
    <row r="511" spans="2:5">
      <c r="B511" s="16"/>
      <c r="C511" s="16"/>
      <c r="D511" s="16"/>
      <c r="E511" s="16"/>
    </row>
    <row r="512" spans="2:5">
      <c r="B512" s="16"/>
      <c r="C512" s="16"/>
      <c r="D512" s="16"/>
      <c r="E512" s="16"/>
    </row>
    <row r="513" spans="2:5">
      <c r="B513" s="16"/>
      <c r="C513" s="16"/>
      <c r="D513" s="16"/>
      <c r="E513" s="16"/>
    </row>
    <row r="514" spans="2:5">
      <c r="B514" s="16"/>
      <c r="C514" s="16"/>
      <c r="D514" s="16"/>
      <c r="E514" s="16"/>
    </row>
    <row r="515" spans="2:5">
      <c r="B515" s="16"/>
      <c r="C515" s="16"/>
      <c r="D515" s="16"/>
      <c r="E515" s="16"/>
    </row>
    <row r="516" spans="2:5">
      <c r="B516" s="16"/>
      <c r="C516" s="16"/>
      <c r="D516" s="16"/>
      <c r="E516" s="16"/>
    </row>
    <row r="517" spans="2:5">
      <c r="B517" s="16"/>
      <c r="C517" s="16"/>
      <c r="D517" s="16"/>
      <c r="E517" s="16"/>
    </row>
    <row r="518" spans="2:5">
      <c r="B518" s="16"/>
      <c r="C518" s="16"/>
      <c r="D518" s="16"/>
      <c r="E518" s="16"/>
    </row>
    <row r="519" spans="2:5">
      <c r="B519" s="16"/>
      <c r="C519" s="16"/>
      <c r="D519" s="16"/>
      <c r="E519" s="16"/>
    </row>
    <row r="520" spans="2:5">
      <c r="B520" s="16"/>
      <c r="C520" s="16"/>
      <c r="D520" s="16"/>
      <c r="E520" s="16"/>
    </row>
    <row r="521" spans="2:5">
      <c r="B521" s="16"/>
      <c r="C521" s="16"/>
      <c r="D521" s="16"/>
      <c r="E521" s="16"/>
    </row>
    <row r="522" spans="2:5">
      <c r="B522" s="16"/>
      <c r="C522" s="16"/>
      <c r="D522" s="16"/>
      <c r="E522" s="16"/>
    </row>
    <row r="523" spans="2:5">
      <c r="B523" s="16"/>
      <c r="C523" s="16"/>
      <c r="D523" s="16"/>
      <c r="E523" s="16"/>
    </row>
    <row r="524" spans="2:5">
      <c r="B524" s="16"/>
      <c r="C524" s="16"/>
      <c r="D524" s="16"/>
      <c r="E524" s="16"/>
    </row>
    <row r="525" spans="2:5">
      <c r="B525" s="16"/>
      <c r="C525" s="16"/>
      <c r="D525" s="16"/>
      <c r="E525" s="16"/>
    </row>
    <row r="526" spans="2:5">
      <c r="B526" s="16"/>
      <c r="C526" s="16"/>
      <c r="D526" s="16"/>
      <c r="E526" s="16"/>
    </row>
    <row r="527" spans="2:5">
      <c r="B527" s="16"/>
      <c r="C527" s="16"/>
      <c r="D527" s="16"/>
      <c r="E527" s="16"/>
    </row>
    <row r="528" spans="2:5">
      <c r="B528" s="16"/>
      <c r="C528" s="16"/>
      <c r="D528" s="16"/>
      <c r="E528" s="16"/>
    </row>
    <row r="529" spans="2:5">
      <c r="B529" s="16"/>
      <c r="C529" s="16"/>
      <c r="D529" s="16"/>
      <c r="E529" s="16"/>
    </row>
    <row r="530" spans="2:5">
      <c r="B530" s="16"/>
      <c r="C530" s="16"/>
      <c r="D530" s="16"/>
      <c r="E530" s="16"/>
    </row>
    <row r="531" spans="2:5">
      <c r="B531" s="16"/>
      <c r="C531" s="16"/>
      <c r="D531" s="16"/>
      <c r="E531" s="16"/>
    </row>
    <row r="532" spans="2:5">
      <c r="B532" s="16"/>
      <c r="C532" s="16"/>
      <c r="D532" s="16"/>
      <c r="E532" s="16"/>
    </row>
    <row r="533" spans="2:5">
      <c r="B533" s="16"/>
      <c r="C533" s="16"/>
      <c r="D533" s="16"/>
      <c r="E533" s="16"/>
    </row>
    <row r="534" spans="2:5">
      <c r="B534" s="16"/>
      <c r="C534" s="16"/>
      <c r="D534" s="16"/>
      <c r="E534" s="16"/>
    </row>
    <row r="535" spans="2:5">
      <c r="B535" s="16"/>
      <c r="C535" s="16"/>
      <c r="D535" s="16"/>
      <c r="E535" s="16"/>
    </row>
    <row r="536" spans="2:5">
      <c r="B536" s="16"/>
      <c r="C536" s="16"/>
      <c r="D536" s="16"/>
      <c r="E536" s="16"/>
    </row>
    <row r="537" spans="2:5">
      <c r="B537" s="16"/>
      <c r="C537" s="16"/>
      <c r="D537" s="16"/>
      <c r="E537" s="16"/>
    </row>
    <row r="538" spans="2:5">
      <c r="B538" s="16"/>
      <c r="C538" s="16"/>
      <c r="D538" s="16"/>
      <c r="E538" s="16"/>
    </row>
    <row r="539" spans="2:5">
      <c r="B539" s="16"/>
      <c r="C539" s="16"/>
      <c r="D539" s="16"/>
      <c r="E539" s="16"/>
    </row>
    <row r="540" spans="2:5">
      <c r="B540" s="16"/>
      <c r="C540" s="16"/>
      <c r="D540" s="16"/>
      <c r="E540" s="16"/>
    </row>
    <row r="541" spans="2:5">
      <c r="B541" s="16"/>
      <c r="C541" s="16"/>
      <c r="D541" s="16"/>
      <c r="E541" s="16"/>
    </row>
    <row r="542" spans="2:5">
      <c r="B542" s="16"/>
      <c r="C542" s="16"/>
      <c r="D542" s="16"/>
      <c r="E542" s="16"/>
    </row>
    <row r="543" spans="2:5">
      <c r="B543" s="16"/>
      <c r="C543" s="16"/>
      <c r="D543" s="16"/>
      <c r="E543" s="16"/>
    </row>
    <row r="544" spans="2:5">
      <c r="B544" s="16"/>
      <c r="C544" s="16"/>
      <c r="D544" s="16"/>
      <c r="E544" s="16"/>
    </row>
    <row r="545" spans="2:5">
      <c r="B545" s="16"/>
      <c r="C545" s="16"/>
      <c r="D545" s="16"/>
      <c r="E545" s="16"/>
    </row>
    <row r="546" spans="2:5">
      <c r="B546" s="16"/>
      <c r="C546" s="16"/>
      <c r="D546" s="16"/>
      <c r="E546" s="16"/>
    </row>
    <row r="547" spans="2:5">
      <c r="B547" s="16"/>
      <c r="C547" s="16"/>
      <c r="D547" s="16"/>
      <c r="E547" s="16"/>
    </row>
    <row r="548" spans="2:5">
      <c r="B548" s="16"/>
      <c r="C548" s="16"/>
      <c r="D548" s="16"/>
      <c r="E548" s="16"/>
    </row>
    <row r="549" spans="2:5">
      <c r="B549" s="16"/>
      <c r="C549" s="16"/>
      <c r="D549" s="16"/>
      <c r="E549" s="16"/>
    </row>
    <row r="550" spans="2:5">
      <c r="B550" s="16"/>
      <c r="C550" s="16"/>
      <c r="D550" s="16"/>
      <c r="E550" s="16"/>
    </row>
    <row r="551" spans="2:5">
      <c r="B551" s="16"/>
      <c r="C551" s="16"/>
      <c r="D551" s="16"/>
      <c r="E551" s="16"/>
    </row>
    <row r="552" spans="2:5">
      <c r="B552" s="16"/>
      <c r="C552" s="16"/>
      <c r="D552" s="16"/>
      <c r="E552" s="16"/>
    </row>
    <row r="553" spans="2:5">
      <c r="B553" s="16"/>
      <c r="C553" s="16"/>
      <c r="D553" s="16"/>
      <c r="E553" s="16"/>
    </row>
    <row r="554" spans="2:5">
      <c r="B554" s="16"/>
      <c r="C554" s="16"/>
      <c r="D554" s="16"/>
      <c r="E554" s="16"/>
    </row>
    <row r="555" spans="2:5">
      <c r="B555" s="16"/>
      <c r="C555" s="16"/>
      <c r="D555" s="16"/>
      <c r="E555" s="16"/>
    </row>
    <row r="556" spans="2:5">
      <c r="B556" s="16"/>
      <c r="C556" s="16"/>
      <c r="D556" s="16"/>
      <c r="E556" s="16"/>
    </row>
    <row r="557" spans="2:5">
      <c r="B557" s="16"/>
      <c r="C557" s="16"/>
      <c r="D557" s="16"/>
      <c r="E557" s="16"/>
    </row>
    <row r="558" spans="2:5">
      <c r="B558" s="16"/>
      <c r="C558" s="16"/>
      <c r="D558" s="16"/>
      <c r="E558" s="16"/>
    </row>
    <row r="559" spans="2:5">
      <c r="B559" s="16"/>
      <c r="C559" s="16"/>
      <c r="D559" s="16"/>
      <c r="E559" s="16"/>
    </row>
    <row r="560" spans="2:5">
      <c r="B560" s="16"/>
      <c r="C560" s="16"/>
      <c r="D560" s="16"/>
      <c r="E560" s="16"/>
    </row>
    <row r="561" spans="2:5">
      <c r="B561" s="16"/>
      <c r="C561" s="16"/>
      <c r="D561" s="16"/>
      <c r="E561" s="16"/>
    </row>
    <row r="562" spans="2:5">
      <c r="B562" s="16"/>
      <c r="C562" s="16"/>
      <c r="D562" s="16"/>
      <c r="E562" s="16"/>
    </row>
    <row r="563" spans="2:5">
      <c r="B563" s="16"/>
      <c r="C563" s="16"/>
      <c r="D563" s="16"/>
      <c r="E563" s="16"/>
    </row>
    <row r="564" spans="2:5">
      <c r="B564" s="16"/>
      <c r="C564" s="16"/>
      <c r="D564" s="16"/>
      <c r="E564" s="16"/>
    </row>
    <row r="565" spans="2:5">
      <c r="B565" s="16"/>
      <c r="C565" s="16"/>
      <c r="D565" s="16"/>
      <c r="E565" s="16"/>
    </row>
    <row r="566" spans="2:5">
      <c r="B566" s="16"/>
      <c r="C566" s="16"/>
      <c r="D566" s="16"/>
      <c r="E566" s="16"/>
    </row>
    <row r="567" spans="2:5">
      <c r="B567" s="16"/>
      <c r="C567" s="16"/>
      <c r="D567" s="16"/>
      <c r="E567" s="16"/>
    </row>
    <row r="568" spans="2:5">
      <c r="B568" s="16"/>
      <c r="C568" s="16"/>
      <c r="D568" s="16"/>
      <c r="E568" s="16"/>
    </row>
    <row r="569" spans="2:5">
      <c r="B569" s="16"/>
      <c r="C569" s="16"/>
      <c r="D569" s="16"/>
      <c r="E569" s="16"/>
    </row>
    <row r="570" spans="2:5">
      <c r="B570" s="16"/>
      <c r="C570" s="16"/>
      <c r="D570" s="16"/>
      <c r="E570" s="16"/>
    </row>
    <row r="571" spans="2:5">
      <c r="B571" s="16"/>
      <c r="C571" s="16"/>
      <c r="D571" s="16"/>
      <c r="E571" s="16"/>
    </row>
    <row r="572" spans="2:5">
      <c r="B572" s="16"/>
      <c r="C572" s="16"/>
      <c r="D572" s="16"/>
      <c r="E572" s="16"/>
    </row>
    <row r="573" spans="2:5">
      <c r="B573" s="16"/>
      <c r="C573" s="16"/>
      <c r="D573" s="16"/>
      <c r="E573" s="16"/>
    </row>
    <row r="574" spans="2:5">
      <c r="B574" s="16"/>
      <c r="C574" s="16"/>
      <c r="D574" s="16"/>
      <c r="E574" s="16"/>
    </row>
    <row r="575" spans="2:5">
      <c r="B575" s="16"/>
      <c r="C575" s="16"/>
      <c r="D575" s="16"/>
      <c r="E575" s="16"/>
    </row>
    <row r="576" spans="2:5">
      <c r="B576" s="16"/>
      <c r="C576" s="16"/>
      <c r="D576" s="16"/>
      <c r="E576" s="16"/>
    </row>
    <row r="577" spans="2:5">
      <c r="B577" s="16"/>
      <c r="C577" s="16"/>
      <c r="D577" s="16"/>
      <c r="E577" s="16"/>
    </row>
    <row r="578" spans="2:5">
      <c r="B578" s="16"/>
      <c r="C578" s="16"/>
      <c r="D578" s="16"/>
      <c r="E578" s="16"/>
    </row>
    <row r="579" spans="2:5">
      <c r="B579" s="16"/>
      <c r="C579" s="16"/>
      <c r="D579" s="16"/>
      <c r="E579" s="16"/>
    </row>
    <row r="580" spans="2:5">
      <c r="B580" s="16"/>
      <c r="C580" s="16"/>
      <c r="D580" s="16"/>
      <c r="E580" s="16"/>
    </row>
    <row r="581" spans="2:5">
      <c r="B581" s="16"/>
      <c r="C581" s="16"/>
      <c r="D581" s="16"/>
      <c r="E581" s="16"/>
    </row>
    <row r="582" spans="2:5">
      <c r="B582" s="16"/>
      <c r="C582" s="16"/>
      <c r="D582" s="16"/>
      <c r="E582" s="16"/>
    </row>
    <row r="583" spans="2:5">
      <c r="B583" s="16"/>
      <c r="C583" s="16"/>
      <c r="D583" s="16"/>
      <c r="E583" s="16"/>
    </row>
    <row r="584" spans="2:5">
      <c r="B584" s="16"/>
      <c r="C584" s="16"/>
      <c r="D584" s="16"/>
      <c r="E584" s="16"/>
    </row>
    <row r="585" spans="2:5">
      <c r="B585" s="16"/>
      <c r="C585" s="16"/>
      <c r="D585" s="16"/>
      <c r="E585" s="16"/>
    </row>
    <row r="586" spans="2:5">
      <c r="B586" s="16"/>
      <c r="C586" s="16"/>
      <c r="D586" s="16"/>
      <c r="E586" s="16"/>
    </row>
    <row r="587" spans="2:5">
      <c r="B587" s="16"/>
      <c r="C587" s="16"/>
      <c r="D587" s="16"/>
      <c r="E587" s="16"/>
    </row>
    <row r="588" spans="2:5">
      <c r="B588" s="16"/>
      <c r="C588" s="16"/>
      <c r="D588" s="16"/>
      <c r="E588" s="16"/>
    </row>
    <row r="589" spans="2:5">
      <c r="B589" s="16"/>
      <c r="C589" s="16"/>
      <c r="D589" s="16"/>
      <c r="E589" s="16"/>
    </row>
    <row r="590" spans="2:5">
      <c r="B590" s="16"/>
      <c r="C590" s="16"/>
      <c r="D590" s="16"/>
      <c r="E590" s="16"/>
    </row>
    <row r="591" spans="2:5">
      <c r="B591" s="16"/>
      <c r="C591" s="16"/>
      <c r="D591" s="16"/>
      <c r="E591" s="16"/>
    </row>
    <row r="592" spans="2:5">
      <c r="B592" s="16"/>
      <c r="C592" s="16"/>
      <c r="D592" s="16"/>
      <c r="E592" s="16"/>
    </row>
    <row r="593" spans="2:5">
      <c r="B593" s="16"/>
      <c r="C593" s="16"/>
      <c r="D593" s="16"/>
      <c r="E593" s="16"/>
    </row>
    <row r="594" spans="2:5">
      <c r="B594" s="16"/>
      <c r="C594" s="16"/>
      <c r="D594" s="16"/>
      <c r="E594" s="16"/>
    </row>
    <row r="595" spans="2:5">
      <c r="B595" s="16"/>
      <c r="C595" s="16"/>
      <c r="D595" s="16"/>
      <c r="E595" s="16"/>
    </row>
    <row r="596" spans="2:5">
      <c r="B596" s="16"/>
      <c r="C596" s="16"/>
      <c r="D596" s="16"/>
      <c r="E596" s="16"/>
    </row>
    <row r="597" spans="2:5">
      <c r="B597" s="16"/>
      <c r="C597" s="16"/>
      <c r="D597" s="16"/>
      <c r="E597" s="16"/>
    </row>
    <row r="598" spans="2:5">
      <c r="B598" s="16"/>
      <c r="C598" s="16"/>
      <c r="D598" s="16"/>
      <c r="E598" s="16"/>
    </row>
    <row r="599" spans="2:5">
      <c r="B599" s="16"/>
      <c r="C599" s="16"/>
      <c r="D599" s="16"/>
      <c r="E599" s="16"/>
    </row>
    <row r="600" spans="2:5">
      <c r="B600" s="16"/>
      <c r="C600" s="16"/>
      <c r="D600" s="16"/>
      <c r="E600" s="16"/>
    </row>
    <row r="601" spans="2:5">
      <c r="B601" s="16"/>
      <c r="C601" s="16"/>
      <c r="D601" s="16"/>
      <c r="E601" s="16"/>
    </row>
    <row r="602" spans="2:5">
      <c r="B602" s="16"/>
      <c r="C602" s="16"/>
      <c r="D602" s="16"/>
      <c r="E602" s="16"/>
    </row>
    <row r="603" spans="2:5">
      <c r="B603" s="16"/>
      <c r="C603" s="16"/>
      <c r="D603" s="16"/>
      <c r="E603" s="16"/>
    </row>
    <row r="604" spans="2:5">
      <c r="B604" s="16"/>
      <c r="C604" s="16"/>
      <c r="D604" s="16"/>
      <c r="E604" s="16"/>
    </row>
    <row r="605" spans="2:5">
      <c r="B605" s="16"/>
      <c r="C605" s="16"/>
      <c r="D605" s="16"/>
      <c r="E605" s="16"/>
    </row>
    <row r="606" spans="2:5">
      <c r="B606" s="16"/>
      <c r="C606" s="16"/>
      <c r="D606" s="16"/>
      <c r="E606" s="16"/>
    </row>
    <row r="607" spans="2:5">
      <c r="B607" s="16"/>
      <c r="C607" s="16"/>
      <c r="D607" s="16"/>
      <c r="E607" s="16"/>
    </row>
    <row r="608" spans="2:5">
      <c r="B608" s="16"/>
      <c r="C608" s="16"/>
      <c r="D608" s="16"/>
      <c r="E608" s="16"/>
    </row>
    <row r="609" spans="2:5">
      <c r="B609" s="16"/>
      <c r="C609" s="16"/>
      <c r="D609" s="16"/>
      <c r="E609" s="16"/>
    </row>
    <row r="610" spans="2:5">
      <c r="B610" s="16"/>
      <c r="C610" s="16"/>
      <c r="D610" s="16"/>
      <c r="E610" s="16"/>
    </row>
    <row r="611" spans="2:5">
      <c r="B611" s="16"/>
      <c r="C611" s="16"/>
      <c r="D611" s="16"/>
      <c r="E611" s="16"/>
    </row>
    <row r="612" spans="2:5">
      <c r="B612" s="16"/>
      <c r="C612" s="16"/>
      <c r="D612" s="16"/>
      <c r="E612" s="16"/>
    </row>
    <row r="613" spans="2:5">
      <c r="B613" s="16"/>
      <c r="C613" s="16"/>
      <c r="D613" s="16"/>
      <c r="E613" s="16"/>
    </row>
    <row r="614" spans="2:5">
      <c r="B614" s="16"/>
      <c r="C614" s="16"/>
      <c r="D614" s="16"/>
      <c r="E614" s="16"/>
    </row>
    <row r="615" spans="2:5">
      <c r="B615" s="16"/>
      <c r="C615" s="16"/>
      <c r="D615" s="16"/>
      <c r="E615" s="16"/>
    </row>
    <row r="616" spans="2:5">
      <c r="B616" s="16"/>
      <c r="C616" s="16"/>
      <c r="D616" s="16"/>
      <c r="E616" s="16"/>
    </row>
    <row r="617" spans="2:5">
      <c r="B617" s="16"/>
      <c r="C617" s="16"/>
      <c r="D617" s="16"/>
      <c r="E617" s="16"/>
    </row>
    <row r="618" spans="2:5">
      <c r="B618" s="16"/>
      <c r="C618" s="16"/>
      <c r="D618" s="16"/>
      <c r="E618" s="16"/>
    </row>
    <row r="619" spans="2:5">
      <c r="B619" s="16"/>
      <c r="C619" s="16"/>
      <c r="D619" s="16"/>
      <c r="E619" s="16"/>
    </row>
    <row r="620" spans="2:5">
      <c r="B620" s="16"/>
      <c r="C620" s="16"/>
      <c r="D620" s="16"/>
      <c r="E620" s="16"/>
    </row>
    <row r="621" spans="2:5">
      <c r="B621" s="16"/>
      <c r="C621" s="16"/>
      <c r="D621" s="16"/>
      <c r="E621" s="16"/>
    </row>
    <row r="622" spans="2:5">
      <c r="B622" s="16"/>
      <c r="C622" s="16"/>
      <c r="D622" s="16"/>
      <c r="E622" s="16"/>
    </row>
    <row r="623" spans="2:5">
      <c r="B623" s="16"/>
      <c r="C623" s="16"/>
      <c r="D623" s="16"/>
      <c r="E623" s="16"/>
    </row>
    <row r="624" spans="2:5">
      <c r="B624" s="16"/>
      <c r="C624" s="16"/>
      <c r="D624" s="16"/>
      <c r="E624" s="16"/>
    </row>
    <row r="625" spans="2:5">
      <c r="B625" s="16"/>
      <c r="C625" s="16"/>
      <c r="D625" s="16"/>
      <c r="E625" s="16"/>
    </row>
    <row r="626" spans="2:5">
      <c r="B626" s="16"/>
      <c r="C626" s="16"/>
      <c r="D626" s="16"/>
      <c r="E626" s="16"/>
    </row>
    <row r="627" spans="2:5">
      <c r="B627" s="16"/>
      <c r="C627" s="16"/>
      <c r="D627" s="16"/>
      <c r="E627" s="16"/>
    </row>
    <row r="628" spans="2:5">
      <c r="B628" s="16"/>
      <c r="C628" s="16"/>
      <c r="D628" s="16"/>
      <c r="E628" s="16"/>
    </row>
    <row r="629" spans="2:5">
      <c r="B629" s="16"/>
      <c r="C629" s="16"/>
      <c r="D629" s="16"/>
      <c r="E629" s="16"/>
    </row>
    <row r="630" spans="2:5">
      <c r="B630" s="16"/>
      <c r="C630" s="16"/>
      <c r="D630" s="16"/>
      <c r="E630" s="16"/>
    </row>
    <row r="631" spans="2:5">
      <c r="B631" s="16"/>
      <c r="C631" s="16"/>
      <c r="D631" s="16"/>
      <c r="E631" s="16"/>
    </row>
    <row r="632" spans="2:5">
      <c r="B632" s="16"/>
      <c r="C632" s="16"/>
      <c r="D632" s="16"/>
      <c r="E632" s="16"/>
    </row>
    <row r="633" spans="2:5">
      <c r="B633" s="16"/>
      <c r="C633" s="16"/>
      <c r="D633" s="16"/>
      <c r="E633" s="16"/>
    </row>
    <row r="634" spans="2:5">
      <c r="B634" s="16"/>
      <c r="C634" s="16"/>
      <c r="D634" s="16"/>
      <c r="E634" s="16"/>
    </row>
    <row r="635" spans="2:5">
      <c r="B635" s="16"/>
      <c r="C635" s="16"/>
      <c r="D635" s="16"/>
      <c r="E635" s="16"/>
    </row>
    <row r="636" spans="2:5">
      <c r="B636" s="16"/>
      <c r="C636" s="16"/>
      <c r="D636" s="16"/>
      <c r="E636" s="16"/>
    </row>
    <row r="637" spans="2:5">
      <c r="B637" s="16"/>
      <c r="C637" s="16"/>
      <c r="D637" s="16"/>
      <c r="E637" s="16"/>
    </row>
    <row r="638" spans="2:5">
      <c r="B638" s="16"/>
      <c r="C638" s="16"/>
      <c r="D638" s="16"/>
      <c r="E638" s="16"/>
    </row>
    <row r="639" spans="2:5">
      <c r="B639" s="16"/>
      <c r="C639" s="16"/>
      <c r="D639" s="16"/>
      <c r="E639" s="16"/>
    </row>
    <row r="640" spans="2:5">
      <c r="B640" s="16"/>
      <c r="C640" s="16"/>
      <c r="D640" s="16"/>
      <c r="E640" s="16"/>
    </row>
    <row r="641" spans="2:5">
      <c r="B641" s="16"/>
      <c r="C641" s="16"/>
      <c r="D641" s="16"/>
      <c r="E641" s="16"/>
    </row>
    <row r="642" spans="2:5">
      <c r="B642" s="16"/>
      <c r="C642" s="16"/>
      <c r="D642" s="16"/>
      <c r="E642" s="16"/>
    </row>
    <row r="643" spans="2:5">
      <c r="B643" s="16"/>
      <c r="C643" s="16"/>
      <c r="D643" s="16"/>
      <c r="E643" s="16"/>
    </row>
    <row r="644" spans="2:5">
      <c r="B644" s="16"/>
      <c r="C644" s="16"/>
      <c r="D644" s="16"/>
      <c r="E644" s="16"/>
    </row>
    <row r="645" spans="2:5">
      <c r="B645" s="16"/>
      <c r="C645" s="16"/>
      <c r="D645" s="16"/>
      <c r="E645" s="16"/>
    </row>
    <row r="646" spans="2:5">
      <c r="B646" s="16"/>
      <c r="C646" s="16"/>
      <c r="D646" s="16"/>
      <c r="E646" s="16"/>
    </row>
    <row r="647" spans="2:5">
      <c r="B647" s="16"/>
      <c r="C647" s="16"/>
      <c r="D647" s="16"/>
      <c r="E647" s="16"/>
    </row>
    <row r="648" spans="2:5">
      <c r="B648" s="16"/>
      <c r="C648" s="16"/>
      <c r="D648" s="16"/>
      <c r="E648" s="16"/>
    </row>
    <row r="649" spans="2:5">
      <c r="B649" s="16"/>
      <c r="C649" s="16"/>
      <c r="D649" s="16"/>
      <c r="E649" s="16"/>
    </row>
    <row r="650" spans="2:5">
      <c r="B650" s="16"/>
      <c r="C650" s="16"/>
      <c r="D650" s="16"/>
      <c r="E650" s="16"/>
    </row>
    <row r="651" spans="2:5">
      <c r="B651" s="16"/>
      <c r="C651" s="16"/>
      <c r="D651" s="16"/>
      <c r="E651" s="16"/>
    </row>
    <row r="652" spans="2:5">
      <c r="B652" s="16"/>
      <c r="C652" s="16"/>
      <c r="D652" s="16"/>
      <c r="E652" s="16"/>
    </row>
    <row r="653" spans="2:5">
      <c r="B653" s="16"/>
      <c r="C653" s="16"/>
      <c r="D653" s="16"/>
      <c r="E653" s="16"/>
    </row>
    <row r="654" spans="2:5">
      <c r="B654" s="16"/>
      <c r="C654" s="16"/>
      <c r="D654" s="16"/>
      <c r="E654" s="16"/>
    </row>
    <row r="655" spans="2:5">
      <c r="B655" s="16"/>
      <c r="C655" s="16"/>
      <c r="D655" s="16"/>
      <c r="E655" s="16"/>
    </row>
    <row r="656" spans="2:5">
      <c r="B656" s="16"/>
      <c r="C656" s="16"/>
      <c r="D656" s="16"/>
      <c r="E656" s="16"/>
    </row>
    <row r="657" spans="2:5">
      <c r="B657" s="16"/>
      <c r="C657" s="16"/>
      <c r="D657" s="16"/>
      <c r="E657" s="16"/>
    </row>
    <row r="658" spans="2:5">
      <c r="B658" s="16"/>
      <c r="C658" s="16"/>
      <c r="D658" s="16"/>
      <c r="E658" s="16"/>
    </row>
    <row r="659" spans="2:5">
      <c r="B659" s="16"/>
      <c r="C659" s="16"/>
      <c r="D659" s="16"/>
      <c r="E659" s="16"/>
    </row>
    <row r="660" spans="2:5">
      <c r="B660" s="16"/>
      <c r="C660" s="16"/>
      <c r="D660" s="16"/>
      <c r="E660" s="16"/>
    </row>
    <row r="661" spans="2:5">
      <c r="B661" s="16"/>
      <c r="C661" s="16"/>
      <c r="D661" s="16"/>
      <c r="E661" s="16"/>
    </row>
    <row r="662" spans="2:5">
      <c r="B662" s="16"/>
      <c r="C662" s="16"/>
      <c r="D662" s="16"/>
      <c r="E662" s="16"/>
    </row>
    <row r="663" spans="2:5">
      <c r="B663" s="16"/>
      <c r="C663" s="16"/>
      <c r="D663" s="16"/>
      <c r="E663" s="16"/>
    </row>
    <row r="664" spans="2:5">
      <c r="B664" s="16"/>
      <c r="C664" s="16"/>
      <c r="D664" s="16"/>
      <c r="E664" s="16"/>
    </row>
    <row r="665" spans="2:5">
      <c r="B665" s="16"/>
      <c r="C665" s="16"/>
      <c r="D665" s="16"/>
      <c r="E665" s="16"/>
    </row>
    <row r="666" spans="2:5">
      <c r="B666" s="16"/>
      <c r="C666" s="16"/>
      <c r="D666" s="16"/>
      <c r="E666" s="16"/>
    </row>
    <row r="667" spans="2:5">
      <c r="B667" s="16"/>
      <c r="C667" s="16"/>
      <c r="D667" s="16"/>
      <c r="E667" s="16"/>
    </row>
    <row r="668" spans="2:5">
      <c r="B668" s="16"/>
      <c r="C668" s="16"/>
      <c r="D668" s="16"/>
      <c r="E668" s="16"/>
    </row>
    <row r="669" spans="2:5">
      <c r="B669" s="16"/>
      <c r="C669" s="16"/>
      <c r="D669" s="16"/>
      <c r="E669" s="16"/>
    </row>
    <row r="670" spans="2:5">
      <c r="B670" s="16"/>
      <c r="C670" s="16"/>
      <c r="D670" s="16"/>
      <c r="E670" s="16"/>
    </row>
    <row r="671" spans="2:5">
      <c r="B671" s="16"/>
      <c r="C671" s="16"/>
      <c r="D671" s="16"/>
      <c r="E671" s="16"/>
    </row>
    <row r="672" spans="2:5">
      <c r="B672" s="16"/>
      <c r="C672" s="16"/>
      <c r="D672" s="16"/>
      <c r="E672" s="16"/>
    </row>
    <row r="673" spans="2:5">
      <c r="B673" s="16"/>
      <c r="C673" s="16"/>
      <c r="D673" s="16"/>
      <c r="E673" s="16"/>
    </row>
    <row r="674" spans="2:5">
      <c r="B674" s="16"/>
      <c r="C674" s="16"/>
      <c r="D674" s="16"/>
      <c r="E674" s="16"/>
    </row>
    <row r="675" spans="2:5">
      <c r="B675" s="16"/>
      <c r="C675" s="16"/>
      <c r="D675" s="16"/>
      <c r="E675" s="16"/>
    </row>
    <row r="676" spans="2:5">
      <c r="B676" s="16"/>
      <c r="C676" s="16"/>
      <c r="D676" s="16"/>
      <c r="E676" s="16"/>
    </row>
    <row r="677" spans="2:5">
      <c r="B677" s="16"/>
      <c r="C677" s="16"/>
      <c r="D677" s="16"/>
      <c r="E677" s="16"/>
    </row>
    <row r="678" spans="2:5">
      <c r="B678" s="16"/>
      <c r="C678" s="16"/>
      <c r="D678" s="16"/>
      <c r="E678" s="16"/>
    </row>
    <row r="679" spans="2:5">
      <c r="B679" s="16"/>
      <c r="C679" s="16"/>
      <c r="D679" s="16"/>
      <c r="E679" s="16"/>
    </row>
    <row r="680" spans="2:5">
      <c r="B680" s="16"/>
      <c r="C680" s="16"/>
      <c r="D680" s="16"/>
      <c r="E680" s="16"/>
    </row>
    <row r="681" spans="2:5">
      <c r="B681" s="16"/>
      <c r="C681" s="16"/>
      <c r="D681" s="16"/>
      <c r="E681" s="16"/>
    </row>
    <row r="682" spans="2:5">
      <c r="B682" s="16"/>
      <c r="C682" s="16"/>
      <c r="D682" s="16"/>
      <c r="E682" s="16"/>
    </row>
    <row r="683" spans="2:5">
      <c r="B683" s="16"/>
      <c r="C683" s="16"/>
      <c r="D683" s="16"/>
      <c r="E683" s="16"/>
    </row>
    <row r="684" spans="2:5">
      <c r="B684" s="16"/>
      <c r="C684" s="16"/>
      <c r="D684" s="16"/>
      <c r="E684" s="16"/>
    </row>
    <row r="685" spans="2:5">
      <c r="B685" s="16"/>
      <c r="C685" s="16"/>
      <c r="D685" s="16"/>
      <c r="E685" s="16"/>
    </row>
    <row r="686" spans="2:5">
      <c r="B686" s="16"/>
      <c r="C686" s="16"/>
      <c r="D686" s="16"/>
      <c r="E686" s="16"/>
    </row>
    <row r="687" spans="2:5">
      <c r="B687" s="16"/>
      <c r="C687" s="16"/>
      <c r="D687" s="16"/>
      <c r="E687" s="16"/>
    </row>
    <row r="688" spans="2:5">
      <c r="B688" s="16"/>
      <c r="C688" s="16"/>
      <c r="D688" s="16"/>
      <c r="E688" s="16"/>
    </row>
    <row r="689" spans="2:5">
      <c r="B689" s="16"/>
      <c r="C689" s="16"/>
      <c r="D689" s="16"/>
      <c r="E689" s="16"/>
    </row>
    <row r="690" spans="2:5">
      <c r="B690" s="16"/>
      <c r="C690" s="16"/>
      <c r="D690" s="16"/>
      <c r="E690" s="16"/>
    </row>
    <row r="691" spans="2:5">
      <c r="B691" s="16"/>
      <c r="C691" s="16"/>
      <c r="D691" s="16"/>
      <c r="E691" s="16"/>
    </row>
    <row r="692" spans="2:5">
      <c r="B692" s="16"/>
      <c r="C692" s="16"/>
      <c r="D692" s="16"/>
      <c r="E692" s="16"/>
    </row>
    <row r="693" spans="2:5">
      <c r="B693" s="16"/>
      <c r="C693" s="16"/>
      <c r="D693" s="16"/>
      <c r="E693" s="16"/>
    </row>
    <row r="694" spans="2:5">
      <c r="B694" s="16"/>
      <c r="C694" s="16"/>
      <c r="D694" s="16"/>
      <c r="E694" s="16"/>
    </row>
    <row r="695" spans="2:5">
      <c r="B695" s="16"/>
      <c r="C695" s="16"/>
      <c r="D695" s="16"/>
      <c r="E695" s="16"/>
    </row>
    <row r="696" spans="2:5">
      <c r="B696" s="16"/>
      <c r="C696" s="16"/>
      <c r="D696" s="16"/>
      <c r="E696" s="16"/>
    </row>
    <row r="697" spans="2:5">
      <c r="B697" s="16"/>
      <c r="C697" s="16"/>
      <c r="D697" s="16"/>
      <c r="E697" s="16"/>
    </row>
    <row r="698" spans="2:5">
      <c r="B698" s="16"/>
      <c r="C698" s="16"/>
      <c r="D698" s="16"/>
      <c r="E698" s="16"/>
    </row>
    <row r="699" spans="2:5">
      <c r="B699" s="16"/>
      <c r="C699" s="16"/>
      <c r="D699" s="16"/>
      <c r="E699" s="16"/>
    </row>
    <row r="700" spans="2:5">
      <c r="B700" s="16"/>
      <c r="C700" s="16"/>
      <c r="D700" s="16"/>
      <c r="E700" s="16"/>
    </row>
    <row r="701" spans="2:5">
      <c r="B701" s="16"/>
      <c r="C701" s="16"/>
      <c r="D701" s="16"/>
      <c r="E701" s="16"/>
    </row>
    <row r="702" spans="2:5">
      <c r="B702" s="16"/>
      <c r="C702" s="16"/>
      <c r="D702" s="16"/>
      <c r="E702" s="16"/>
    </row>
    <row r="703" spans="2:5">
      <c r="B703" s="16"/>
      <c r="C703" s="16"/>
      <c r="D703" s="16"/>
      <c r="E703" s="16"/>
    </row>
    <row r="704" spans="2:5">
      <c r="B704" s="16"/>
      <c r="C704" s="16"/>
      <c r="D704" s="16"/>
      <c r="E704" s="16"/>
    </row>
    <row r="705" spans="2:5">
      <c r="B705" s="16"/>
      <c r="C705" s="16"/>
      <c r="D705" s="16"/>
      <c r="E705" s="16"/>
    </row>
    <row r="706" spans="2:5">
      <c r="B706" s="16"/>
      <c r="C706" s="16"/>
      <c r="D706" s="16"/>
      <c r="E706" s="16"/>
    </row>
    <row r="707" spans="2:5">
      <c r="B707" s="16"/>
      <c r="C707" s="16"/>
      <c r="D707" s="16"/>
      <c r="E707" s="16"/>
    </row>
    <row r="708" spans="2:5">
      <c r="B708" s="16"/>
      <c r="C708" s="16"/>
      <c r="D708" s="16"/>
      <c r="E708" s="16"/>
    </row>
    <row r="709" spans="2:5">
      <c r="B709" s="16"/>
      <c r="C709" s="16"/>
      <c r="D709" s="16"/>
      <c r="E709" s="16"/>
    </row>
    <row r="710" spans="2:5">
      <c r="B710" s="16"/>
      <c r="C710" s="16"/>
      <c r="D710" s="16"/>
      <c r="E710" s="16"/>
    </row>
    <row r="711" spans="2:5">
      <c r="B711" s="16"/>
      <c r="C711" s="16"/>
      <c r="D711" s="16"/>
      <c r="E711" s="16"/>
    </row>
    <row r="712" spans="2:5">
      <c r="B712" s="16"/>
      <c r="C712" s="16"/>
      <c r="D712" s="16"/>
      <c r="E712" s="16"/>
    </row>
    <row r="713" spans="2:5">
      <c r="B713" s="16"/>
      <c r="C713" s="16"/>
      <c r="D713" s="16"/>
      <c r="E713" s="16"/>
    </row>
    <row r="714" spans="2:5">
      <c r="B714" s="16"/>
      <c r="C714" s="16"/>
      <c r="D714" s="16"/>
      <c r="E714" s="16"/>
    </row>
    <row r="715" spans="2:5">
      <c r="B715" s="16"/>
      <c r="C715" s="16"/>
      <c r="D715" s="16"/>
      <c r="E715" s="16"/>
    </row>
    <row r="716" spans="2:5">
      <c r="B716" s="16"/>
      <c r="C716" s="16"/>
      <c r="D716" s="16"/>
      <c r="E716" s="16"/>
    </row>
    <row r="717" spans="2:5">
      <c r="B717" s="16"/>
      <c r="C717" s="16"/>
      <c r="D717" s="16"/>
      <c r="E717" s="16"/>
    </row>
    <row r="718" spans="2:5">
      <c r="B718" s="16"/>
      <c r="C718" s="16"/>
      <c r="D718" s="16"/>
      <c r="E718" s="16"/>
    </row>
    <row r="719" spans="2:5">
      <c r="B719" s="16"/>
      <c r="C719" s="16"/>
      <c r="D719" s="16"/>
      <c r="E719" s="16"/>
    </row>
    <row r="720" spans="2:5">
      <c r="B720" s="16"/>
      <c r="C720" s="16"/>
      <c r="D720" s="16"/>
      <c r="E720" s="16"/>
    </row>
    <row r="721" spans="2:5">
      <c r="B721" s="16"/>
      <c r="C721" s="16"/>
      <c r="D721" s="16"/>
      <c r="E721" s="16"/>
    </row>
    <row r="722" spans="2:5">
      <c r="B722" s="16"/>
      <c r="C722" s="16"/>
      <c r="D722" s="16"/>
      <c r="E722" s="16"/>
    </row>
    <row r="723" spans="2:5">
      <c r="B723" s="16"/>
      <c r="C723" s="16"/>
      <c r="D723" s="16"/>
      <c r="E723" s="16"/>
    </row>
    <row r="724" spans="2:5">
      <c r="B724" s="16"/>
      <c r="C724" s="16"/>
      <c r="D724" s="16"/>
      <c r="E724" s="16"/>
    </row>
    <row r="725" spans="2:5">
      <c r="B725" s="16"/>
      <c r="C725" s="16"/>
      <c r="D725" s="16"/>
      <c r="E725" s="16"/>
    </row>
    <row r="726" spans="2:5">
      <c r="B726" s="16"/>
      <c r="C726" s="16"/>
      <c r="D726" s="16"/>
      <c r="E726" s="16"/>
    </row>
    <row r="727" spans="2:5">
      <c r="B727" s="16"/>
      <c r="C727" s="16"/>
      <c r="D727" s="16"/>
      <c r="E727" s="16"/>
    </row>
    <row r="728" spans="2:5">
      <c r="B728" s="16"/>
      <c r="C728" s="16"/>
      <c r="D728" s="16"/>
      <c r="E728" s="16"/>
    </row>
    <row r="729" spans="2:5">
      <c r="B729" s="16"/>
      <c r="C729" s="16"/>
      <c r="D729" s="16"/>
      <c r="E729" s="16"/>
    </row>
    <row r="730" spans="2:5">
      <c r="B730" s="16"/>
      <c r="C730" s="16"/>
      <c r="D730" s="16"/>
      <c r="E730" s="16"/>
    </row>
    <row r="731" spans="2:5">
      <c r="B731" s="16"/>
      <c r="C731" s="16"/>
      <c r="D731" s="16"/>
      <c r="E731" s="16"/>
    </row>
    <row r="732" spans="2:5">
      <c r="B732" s="16"/>
      <c r="C732" s="16"/>
      <c r="D732" s="16"/>
      <c r="E732" s="16"/>
    </row>
    <row r="733" spans="2:5">
      <c r="B733" s="16"/>
      <c r="C733" s="16"/>
      <c r="D733" s="16"/>
      <c r="E733" s="16"/>
    </row>
    <row r="734" spans="2:5">
      <c r="B734" s="16"/>
      <c r="C734" s="16"/>
      <c r="D734" s="16"/>
      <c r="E734" s="16"/>
    </row>
    <row r="735" spans="2:5">
      <c r="B735" s="16"/>
      <c r="C735" s="16"/>
      <c r="D735" s="16"/>
      <c r="E735" s="16"/>
    </row>
    <row r="736" spans="2:5">
      <c r="B736" s="16"/>
      <c r="C736" s="16"/>
      <c r="D736" s="16"/>
      <c r="E736" s="16"/>
    </row>
    <row r="737" spans="2:5">
      <c r="B737" s="16"/>
      <c r="C737" s="16"/>
      <c r="D737" s="16"/>
      <c r="E737" s="16"/>
    </row>
    <row r="738" spans="2:5">
      <c r="B738" s="16"/>
      <c r="C738" s="16"/>
      <c r="D738" s="16"/>
      <c r="E738" s="16"/>
    </row>
    <row r="739" spans="2:5">
      <c r="B739" s="16"/>
      <c r="C739" s="16"/>
      <c r="D739" s="16"/>
      <c r="E739" s="16"/>
    </row>
    <row r="740" spans="2:5">
      <c r="B740" s="16"/>
      <c r="C740" s="16"/>
      <c r="D740" s="16"/>
      <c r="E740" s="16"/>
    </row>
    <row r="741" spans="2:5">
      <c r="B741" s="16"/>
      <c r="C741" s="16"/>
      <c r="D741" s="16"/>
      <c r="E741" s="16"/>
    </row>
    <row r="742" spans="2:5">
      <c r="B742" s="16"/>
      <c r="C742" s="16"/>
      <c r="D742" s="16"/>
      <c r="E742" s="16"/>
    </row>
    <row r="743" spans="2:5">
      <c r="B743" s="16"/>
      <c r="C743" s="16"/>
      <c r="D743" s="16"/>
      <c r="E743" s="16"/>
    </row>
    <row r="744" spans="2:5">
      <c r="B744" s="16"/>
      <c r="C744" s="16"/>
      <c r="D744" s="16"/>
      <c r="E744" s="16"/>
    </row>
    <row r="745" spans="2:5">
      <c r="B745" s="16"/>
      <c r="C745" s="16"/>
      <c r="D745" s="16"/>
      <c r="E745" s="16"/>
    </row>
    <row r="746" spans="2:5">
      <c r="B746" s="16"/>
      <c r="C746" s="16"/>
      <c r="D746" s="16"/>
      <c r="E746" s="16"/>
    </row>
    <row r="747" spans="2:5">
      <c r="B747" s="16"/>
      <c r="C747" s="16"/>
      <c r="D747" s="16"/>
      <c r="E747" s="16"/>
    </row>
    <row r="748" spans="2:5">
      <c r="B748" s="16"/>
      <c r="C748" s="16"/>
      <c r="D748" s="16"/>
      <c r="E748" s="16"/>
    </row>
    <row r="749" spans="2:5">
      <c r="B749" s="16"/>
      <c r="C749" s="16"/>
      <c r="D749" s="16"/>
      <c r="E749" s="16"/>
    </row>
    <row r="750" spans="2:5">
      <c r="B750" s="16"/>
      <c r="C750" s="16"/>
      <c r="D750" s="16"/>
      <c r="E750" s="16"/>
    </row>
    <row r="751" spans="2:5">
      <c r="B751" s="16"/>
      <c r="C751" s="16"/>
      <c r="D751" s="16"/>
      <c r="E751" s="16"/>
    </row>
    <row r="752" spans="2:5">
      <c r="B752" s="16"/>
      <c r="C752" s="16"/>
      <c r="D752" s="16"/>
      <c r="E752" s="16"/>
    </row>
    <row r="753" spans="2:5">
      <c r="B753" s="16"/>
      <c r="C753" s="16"/>
      <c r="D753" s="16"/>
      <c r="E753" s="16"/>
    </row>
    <row r="754" spans="2:5">
      <c r="B754" s="16"/>
      <c r="C754" s="16"/>
      <c r="D754" s="16"/>
      <c r="E754" s="16"/>
    </row>
    <row r="755" spans="2:5">
      <c r="B755" s="16"/>
      <c r="C755" s="16"/>
      <c r="D755" s="16"/>
      <c r="E755" s="16"/>
    </row>
    <row r="756" spans="2:5">
      <c r="B756" s="16"/>
      <c r="C756" s="16"/>
      <c r="D756" s="16"/>
      <c r="E756" s="16"/>
    </row>
    <row r="757" spans="2:5">
      <c r="B757" s="16"/>
      <c r="C757" s="16"/>
      <c r="D757" s="16"/>
      <c r="E757" s="16"/>
    </row>
    <row r="758" spans="2:5">
      <c r="B758" s="16"/>
      <c r="C758" s="16"/>
      <c r="D758" s="16"/>
      <c r="E758" s="16"/>
    </row>
    <row r="759" spans="2:5">
      <c r="B759" s="16"/>
      <c r="C759" s="16"/>
      <c r="D759" s="16"/>
      <c r="E759" s="16"/>
    </row>
    <row r="760" spans="2:5">
      <c r="B760" s="16"/>
      <c r="C760" s="16"/>
      <c r="D760" s="16"/>
      <c r="E760" s="16"/>
    </row>
    <row r="761" spans="2:5">
      <c r="B761" s="16"/>
      <c r="C761" s="16"/>
      <c r="D761" s="16"/>
      <c r="E761" s="16"/>
    </row>
    <row r="762" spans="2:5">
      <c r="B762" s="16"/>
      <c r="C762" s="16"/>
      <c r="D762" s="16"/>
      <c r="E762" s="16"/>
    </row>
    <row r="763" spans="2:5">
      <c r="B763" s="16"/>
      <c r="C763" s="16"/>
      <c r="D763" s="16"/>
      <c r="E763" s="16"/>
    </row>
    <row r="764" spans="2:5">
      <c r="B764" s="16"/>
      <c r="C764" s="16"/>
      <c r="D764" s="16"/>
      <c r="E764" s="16"/>
    </row>
    <row r="765" spans="2:5">
      <c r="B765" s="16"/>
      <c r="C765" s="16"/>
      <c r="D765" s="16"/>
      <c r="E765" s="16"/>
    </row>
    <row r="766" spans="2:5">
      <c r="B766" s="16"/>
      <c r="C766" s="16"/>
      <c r="D766" s="16"/>
      <c r="E766" s="16"/>
    </row>
    <row r="767" spans="2:5">
      <c r="B767" s="16"/>
      <c r="C767" s="16"/>
      <c r="D767" s="16"/>
      <c r="E767" s="16"/>
    </row>
    <row r="768" spans="2:5">
      <c r="B768" s="16"/>
      <c r="C768" s="16"/>
      <c r="D768" s="16"/>
      <c r="E768" s="16"/>
    </row>
    <row r="769" spans="2:5">
      <c r="B769" s="16"/>
      <c r="C769" s="16"/>
      <c r="D769" s="16"/>
      <c r="E769" s="16"/>
    </row>
    <row r="770" spans="2:5">
      <c r="B770" s="16"/>
      <c r="C770" s="16"/>
      <c r="D770" s="16"/>
      <c r="E770" s="16"/>
    </row>
    <row r="771" spans="2:5">
      <c r="B771" s="16"/>
      <c r="C771" s="16"/>
      <c r="D771" s="16"/>
      <c r="E771" s="16"/>
    </row>
    <row r="772" spans="2:5">
      <c r="B772" s="16"/>
      <c r="C772" s="16"/>
      <c r="D772" s="16"/>
      <c r="E772" s="16"/>
    </row>
    <row r="773" spans="2:5">
      <c r="B773" s="16"/>
      <c r="C773" s="16"/>
      <c r="D773" s="16"/>
      <c r="E773" s="16"/>
    </row>
    <row r="774" spans="2:5">
      <c r="B774" s="16"/>
      <c r="C774" s="16"/>
      <c r="D774" s="16"/>
      <c r="E774" s="16"/>
    </row>
    <row r="775" spans="2:5">
      <c r="B775" s="16"/>
      <c r="C775" s="16"/>
      <c r="D775" s="16"/>
      <c r="E775" s="16"/>
    </row>
    <row r="776" spans="2:5">
      <c r="B776" s="16"/>
      <c r="C776" s="16"/>
      <c r="D776" s="16"/>
      <c r="E776" s="16"/>
    </row>
    <row r="777" spans="2:5">
      <c r="B777" s="16"/>
      <c r="C777" s="16"/>
      <c r="D777" s="16"/>
      <c r="E777" s="16"/>
    </row>
    <row r="778" spans="2:5">
      <c r="B778" s="16"/>
      <c r="C778" s="16"/>
      <c r="D778" s="16"/>
      <c r="E778" s="16"/>
    </row>
    <row r="779" spans="2:5">
      <c r="B779" s="16"/>
      <c r="C779" s="16"/>
      <c r="D779" s="16"/>
      <c r="E779" s="16"/>
    </row>
    <row r="780" spans="2:5">
      <c r="B780" s="16"/>
      <c r="C780" s="16"/>
      <c r="D780" s="16"/>
      <c r="E780" s="16"/>
    </row>
    <row r="781" spans="2:5">
      <c r="B781" s="16"/>
      <c r="C781" s="16"/>
      <c r="D781" s="16"/>
      <c r="E781" s="16"/>
    </row>
    <row r="782" spans="2:5">
      <c r="B782" s="16"/>
      <c r="C782" s="16"/>
      <c r="D782" s="16"/>
      <c r="E782" s="16"/>
    </row>
    <row r="783" spans="2:5">
      <c r="B783" s="16"/>
      <c r="C783" s="16"/>
      <c r="D783" s="16"/>
      <c r="E783" s="16"/>
    </row>
    <row r="784" spans="2:5">
      <c r="B784" s="16"/>
      <c r="C784" s="16"/>
      <c r="D784" s="16"/>
      <c r="E784" s="16"/>
    </row>
    <row r="785" spans="2:5">
      <c r="B785" s="16"/>
      <c r="C785" s="16"/>
      <c r="D785" s="16"/>
      <c r="E785" s="16"/>
    </row>
    <row r="786" spans="2:5">
      <c r="B786" s="16"/>
      <c r="C786" s="16"/>
      <c r="D786" s="16"/>
      <c r="E786" s="16"/>
    </row>
    <row r="787" spans="2:5">
      <c r="B787" s="16"/>
      <c r="C787" s="16"/>
      <c r="D787" s="16"/>
      <c r="E787" s="16"/>
    </row>
    <row r="788" spans="2:5">
      <c r="B788" s="16"/>
      <c r="C788" s="16"/>
      <c r="D788" s="16"/>
      <c r="E788" s="16"/>
    </row>
    <row r="789" spans="2:5">
      <c r="B789" s="16"/>
      <c r="C789" s="16"/>
      <c r="D789" s="16"/>
      <c r="E789" s="16"/>
    </row>
    <row r="790" spans="2:5">
      <c r="B790" s="16"/>
      <c r="C790" s="16"/>
      <c r="D790" s="16"/>
      <c r="E790" s="16"/>
    </row>
    <row r="791" spans="2:5">
      <c r="B791" s="16"/>
      <c r="C791" s="16"/>
      <c r="D791" s="16"/>
      <c r="E791" s="16"/>
    </row>
    <row r="792" spans="2:5">
      <c r="B792" s="16"/>
      <c r="C792" s="16"/>
      <c r="D792" s="16"/>
      <c r="E792" s="16"/>
    </row>
    <row r="793" spans="2:5">
      <c r="B793" s="16"/>
      <c r="C793" s="16"/>
      <c r="D793" s="16"/>
      <c r="E793" s="16"/>
    </row>
    <row r="794" spans="2:5">
      <c r="B794" s="16"/>
      <c r="C794" s="16"/>
      <c r="D794" s="16"/>
      <c r="E794" s="16"/>
    </row>
    <row r="795" spans="2:5">
      <c r="B795" s="16"/>
      <c r="C795" s="16"/>
      <c r="D795" s="16"/>
      <c r="E795" s="16"/>
    </row>
    <row r="796" spans="2:5">
      <c r="B796" s="16"/>
      <c r="C796" s="16"/>
      <c r="D796" s="16"/>
      <c r="E796" s="16"/>
    </row>
    <row r="797" spans="2:5">
      <c r="B797" s="16"/>
      <c r="C797" s="16"/>
      <c r="D797" s="16"/>
      <c r="E797" s="16"/>
    </row>
    <row r="798" spans="2:5">
      <c r="B798" s="16"/>
      <c r="C798" s="16"/>
      <c r="D798" s="16"/>
      <c r="E798" s="16"/>
    </row>
    <row r="799" spans="2:5">
      <c r="B799" s="16"/>
      <c r="C799" s="16"/>
      <c r="D799" s="16"/>
      <c r="E799" s="16"/>
    </row>
    <row r="800" spans="2:5">
      <c r="B800" s="16"/>
      <c r="C800" s="16"/>
      <c r="D800" s="16"/>
      <c r="E800" s="16"/>
    </row>
    <row r="801" spans="2:5">
      <c r="B801" s="16"/>
      <c r="C801" s="16"/>
      <c r="D801" s="16"/>
      <c r="E801" s="16"/>
    </row>
    <row r="802" spans="2:5">
      <c r="B802" s="16"/>
      <c r="C802" s="16"/>
      <c r="D802" s="16"/>
      <c r="E802" s="16"/>
    </row>
    <row r="803" spans="2:5">
      <c r="B803" s="16"/>
      <c r="C803" s="16"/>
      <c r="D803" s="16"/>
      <c r="E803" s="16"/>
    </row>
    <row r="804" spans="2:5">
      <c r="B804" s="16"/>
      <c r="C804" s="16"/>
      <c r="D804" s="16"/>
      <c r="E804" s="16"/>
    </row>
    <row r="805" spans="2:5">
      <c r="B805" s="16"/>
      <c r="C805" s="16"/>
      <c r="D805" s="16"/>
      <c r="E805" s="16"/>
    </row>
    <row r="806" spans="2:5">
      <c r="B806" s="16"/>
      <c r="C806" s="16"/>
      <c r="D806" s="16"/>
      <c r="E806" s="16"/>
    </row>
    <row r="807" spans="2:5">
      <c r="B807" s="16"/>
      <c r="C807" s="16"/>
      <c r="D807" s="16"/>
      <c r="E807" s="16"/>
    </row>
    <row r="808" spans="2:5">
      <c r="B808" s="16"/>
      <c r="C808" s="16"/>
      <c r="D808" s="16"/>
      <c r="E808" s="16"/>
    </row>
    <row r="809" spans="2:5">
      <c r="B809" s="16"/>
      <c r="C809" s="16"/>
      <c r="D809" s="16"/>
      <c r="E809" s="16"/>
    </row>
    <row r="810" spans="2:5">
      <c r="B810" s="16"/>
      <c r="C810" s="16"/>
      <c r="D810" s="16"/>
      <c r="E810" s="16"/>
    </row>
    <row r="811" spans="2:5">
      <c r="B811" s="16"/>
      <c r="C811" s="16"/>
      <c r="D811" s="16"/>
      <c r="E811" s="16"/>
    </row>
    <row r="812" spans="2:5">
      <c r="B812" s="16"/>
      <c r="C812" s="16"/>
      <c r="D812" s="16"/>
      <c r="E812" s="16"/>
    </row>
    <row r="813" spans="2:5">
      <c r="B813" s="16"/>
      <c r="C813" s="16"/>
      <c r="D813" s="16"/>
      <c r="E813" s="16"/>
    </row>
    <row r="814" spans="2:5">
      <c r="B814" s="16"/>
      <c r="C814" s="16"/>
      <c r="D814" s="16"/>
      <c r="E814" s="16"/>
    </row>
    <row r="815" spans="2:5">
      <c r="B815" s="16"/>
      <c r="C815" s="16"/>
      <c r="D815" s="16"/>
      <c r="E815" s="16"/>
    </row>
    <row r="816" spans="2:5">
      <c r="B816" s="16"/>
      <c r="C816" s="16"/>
      <c r="D816" s="16"/>
      <c r="E816" s="16"/>
    </row>
    <row r="817" spans="2:5">
      <c r="B817" s="16"/>
      <c r="C817" s="16"/>
      <c r="D817" s="16"/>
      <c r="E817" s="16"/>
    </row>
    <row r="818" spans="2:5">
      <c r="B818" s="16"/>
      <c r="C818" s="16"/>
      <c r="D818" s="16"/>
      <c r="E818" s="16"/>
    </row>
    <row r="819" spans="2:5">
      <c r="B819" s="16"/>
      <c r="C819" s="16"/>
      <c r="D819" s="16"/>
      <c r="E819" s="16"/>
    </row>
    <row r="820" spans="2:5">
      <c r="B820" s="16"/>
      <c r="C820" s="16"/>
      <c r="D820" s="16"/>
      <c r="E820" s="16"/>
    </row>
    <row r="821" spans="2:5">
      <c r="B821" s="16"/>
      <c r="C821" s="16"/>
      <c r="D821" s="16"/>
      <c r="E821" s="16"/>
    </row>
    <row r="822" spans="2:5">
      <c r="B822" s="16"/>
      <c r="C822" s="16"/>
      <c r="D822" s="16"/>
      <c r="E822" s="16"/>
    </row>
    <row r="823" spans="2:5">
      <c r="B823" s="16"/>
      <c r="C823" s="16"/>
      <c r="D823" s="16"/>
      <c r="E823" s="16"/>
    </row>
    <row r="824" spans="2:5">
      <c r="B824" s="16"/>
      <c r="C824" s="16"/>
      <c r="D824" s="16"/>
      <c r="E824" s="16"/>
    </row>
    <row r="825" spans="2:5">
      <c r="B825" s="16"/>
      <c r="C825" s="16"/>
      <c r="D825" s="16"/>
      <c r="E825" s="16"/>
    </row>
    <row r="826" spans="2:5">
      <c r="B826" s="16"/>
      <c r="C826" s="16"/>
      <c r="D826" s="16"/>
      <c r="E826" s="16"/>
    </row>
    <row r="827" spans="2:5">
      <c r="B827" s="16"/>
      <c r="C827" s="16"/>
      <c r="D827" s="16"/>
      <c r="E827" s="16"/>
    </row>
    <row r="828" spans="2:5">
      <c r="B828" s="16"/>
      <c r="C828" s="16"/>
      <c r="D828" s="16"/>
      <c r="E828" s="16"/>
    </row>
    <row r="829" spans="2:5">
      <c r="B829" s="16"/>
      <c r="C829" s="16"/>
      <c r="D829" s="16"/>
      <c r="E829" s="16"/>
    </row>
    <row r="830" spans="2:5">
      <c r="B830" s="16"/>
      <c r="C830" s="16"/>
      <c r="D830" s="16"/>
      <c r="E830" s="16"/>
    </row>
    <row r="831" spans="2:5">
      <c r="B831" s="16"/>
      <c r="C831" s="16"/>
      <c r="D831" s="16"/>
      <c r="E831" s="16"/>
    </row>
    <row r="832" spans="2:5">
      <c r="B832" s="16"/>
      <c r="C832" s="16"/>
      <c r="D832" s="16"/>
      <c r="E832" s="16"/>
    </row>
    <row r="833" spans="2:5">
      <c r="B833" s="16"/>
      <c r="C833" s="16"/>
      <c r="D833" s="16"/>
      <c r="E833" s="16"/>
    </row>
    <row r="834" spans="2:5">
      <c r="B834" s="16"/>
      <c r="C834" s="16"/>
      <c r="D834" s="16"/>
      <c r="E834" s="16"/>
    </row>
    <row r="835" spans="2:5">
      <c r="B835" s="16"/>
      <c r="C835" s="16"/>
      <c r="D835" s="16"/>
      <c r="E835" s="16"/>
    </row>
    <row r="836" spans="2:5">
      <c r="B836" s="16"/>
      <c r="C836" s="16"/>
      <c r="D836" s="16"/>
      <c r="E836" s="16"/>
    </row>
    <row r="837" spans="2:5">
      <c r="B837" s="16"/>
      <c r="C837" s="16"/>
      <c r="D837" s="16"/>
      <c r="E837" s="16"/>
    </row>
    <row r="838" spans="2:5">
      <c r="B838" s="16"/>
      <c r="C838" s="16"/>
      <c r="D838" s="16"/>
      <c r="E838" s="16"/>
    </row>
    <row r="839" spans="2:5">
      <c r="B839" s="16"/>
      <c r="C839" s="16"/>
      <c r="D839" s="16"/>
      <c r="E839" s="16"/>
    </row>
    <row r="840" spans="2:5">
      <c r="B840" s="16"/>
      <c r="C840" s="16"/>
      <c r="D840" s="16"/>
      <c r="E840" s="16"/>
    </row>
    <row r="841" spans="2:5">
      <c r="B841" s="16"/>
      <c r="C841" s="16"/>
      <c r="D841" s="16"/>
      <c r="E841" s="16"/>
    </row>
    <row r="842" spans="2:5">
      <c r="B842" s="16"/>
      <c r="C842" s="16"/>
      <c r="D842" s="16"/>
      <c r="E842" s="16"/>
    </row>
    <row r="843" spans="2:5">
      <c r="B843" s="16"/>
      <c r="C843" s="16"/>
      <c r="D843" s="16"/>
      <c r="E843" s="16"/>
    </row>
    <row r="844" spans="2:5">
      <c r="B844" s="16"/>
      <c r="C844" s="16"/>
      <c r="D844" s="16"/>
      <c r="E844" s="16"/>
    </row>
    <row r="845" spans="2:5">
      <c r="B845" s="16"/>
      <c r="C845" s="16"/>
      <c r="D845" s="16"/>
      <c r="E845" s="16"/>
    </row>
    <row r="846" spans="2:5">
      <c r="B846" s="16"/>
      <c r="C846" s="16"/>
      <c r="D846" s="16"/>
      <c r="E846" s="16"/>
    </row>
    <row r="847" spans="2:5">
      <c r="B847" s="16"/>
      <c r="C847" s="16"/>
      <c r="D847" s="16"/>
      <c r="E847" s="16"/>
    </row>
    <row r="848" spans="2:5">
      <c r="B848" s="16"/>
      <c r="C848" s="16"/>
      <c r="D848" s="16"/>
      <c r="E848" s="16"/>
    </row>
    <row r="849" spans="2:5">
      <c r="B849" s="16"/>
      <c r="C849" s="16"/>
      <c r="D849" s="16"/>
      <c r="E849" s="16"/>
    </row>
    <row r="850" spans="2:5">
      <c r="B850" s="16"/>
      <c r="C850" s="16"/>
      <c r="D850" s="16"/>
      <c r="E850" s="16"/>
    </row>
    <row r="851" spans="2:5">
      <c r="B851" s="16"/>
      <c r="C851" s="16"/>
      <c r="D851" s="16"/>
      <c r="E851" s="16"/>
    </row>
    <row r="852" spans="2:5">
      <c r="B852" s="16"/>
      <c r="C852" s="16"/>
      <c r="D852" s="16"/>
      <c r="E852" s="16"/>
    </row>
    <row r="853" spans="2:5">
      <c r="B853" s="16"/>
      <c r="C853" s="16"/>
      <c r="D853" s="16"/>
      <c r="E853" s="16"/>
    </row>
    <row r="854" spans="2:5">
      <c r="B854" s="16"/>
      <c r="C854" s="16"/>
      <c r="D854" s="16"/>
      <c r="E854" s="16"/>
    </row>
    <row r="855" spans="2:5">
      <c r="B855" s="16"/>
      <c r="C855" s="16"/>
      <c r="D855" s="16"/>
      <c r="E855" s="16"/>
    </row>
    <row r="856" spans="2:5">
      <c r="B856" s="16"/>
      <c r="C856" s="16"/>
      <c r="D856" s="16"/>
      <c r="E856" s="16"/>
    </row>
    <row r="857" spans="2:5">
      <c r="B857" s="16"/>
      <c r="C857" s="16"/>
      <c r="D857" s="16"/>
      <c r="E857" s="16"/>
    </row>
    <row r="858" spans="2:5">
      <c r="B858" s="16"/>
      <c r="C858" s="16"/>
      <c r="D858" s="16"/>
      <c r="E858" s="16"/>
    </row>
    <row r="859" spans="2:5">
      <c r="B859" s="16"/>
      <c r="C859" s="16"/>
      <c r="D859" s="16"/>
      <c r="E859" s="16"/>
    </row>
    <row r="860" spans="2:5">
      <c r="B860" s="16"/>
      <c r="C860" s="16"/>
      <c r="D860" s="16"/>
      <c r="E860" s="16"/>
    </row>
    <row r="861" spans="2:5">
      <c r="B861" s="16"/>
      <c r="C861" s="16"/>
      <c r="D861" s="16"/>
      <c r="E861" s="16"/>
    </row>
    <row r="862" spans="2:5">
      <c r="B862" s="16"/>
      <c r="C862" s="16"/>
      <c r="D862" s="16"/>
      <c r="E862" s="16"/>
    </row>
    <row r="863" spans="2:5">
      <c r="B863" s="16"/>
      <c r="C863" s="16"/>
      <c r="D863" s="16"/>
      <c r="E863" s="16"/>
    </row>
    <row r="864" spans="2:5">
      <c r="B864" s="16"/>
      <c r="C864" s="16"/>
      <c r="D864" s="16"/>
      <c r="E864" s="16"/>
    </row>
    <row r="865" spans="2:5">
      <c r="B865" s="16"/>
      <c r="C865" s="16"/>
      <c r="D865" s="16"/>
      <c r="E865" s="16"/>
    </row>
    <row r="866" spans="2:5">
      <c r="B866" s="16"/>
      <c r="C866" s="16"/>
      <c r="D866" s="16"/>
      <c r="E866" s="16"/>
    </row>
    <row r="867" spans="2:5">
      <c r="B867" s="16"/>
      <c r="C867" s="16"/>
      <c r="D867" s="16"/>
      <c r="E867" s="16"/>
    </row>
    <row r="868" spans="2:5">
      <c r="B868" s="16"/>
      <c r="C868" s="16"/>
      <c r="D868" s="16"/>
      <c r="E868" s="16"/>
    </row>
    <row r="869" spans="2:5">
      <c r="B869" s="16"/>
      <c r="C869" s="16"/>
      <c r="D869" s="16"/>
      <c r="E869" s="16"/>
    </row>
    <row r="870" spans="2:5">
      <c r="B870" s="16"/>
      <c r="C870" s="16"/>
      <c r="D870" s="16"/>
      <c r="E870" s="16"/>
    </row>
    <row r="871" spans="2:5">
      <c r="B871" s="16"/>
      <c r="C871" s="16"/>
      <c r="D871" s="16"/>
      <c r="E871" s="16"/>
    </row>
    <row r="872" spans="2:5">
      <c r="B872" s="16"/>
      <c r="C872" s="16"/>
      <c r="D872" s="16"/>
      <c r="E872" s="16"/>
    </row>
    <row r="873" spans="2:5">
      <c r="B873" s="16"/>
      <c r="C873" s="16"/>
      <c r="D873" s="16"/>
      <c r="E873" s="16"/>
    </row>
    <row r="874" spans="2:5">
      <c r="B874" s="16"/>
      <c r="C874" s="16"/>
      <c r="D874" s="16"/>
      <c r="E874" s="16"/>
    </row>
    <row r="875" spans="2:5">
      <c r="B875" s="16"/>
      <c r="C875" s="16"/>
      <c r="D875" s="16"/>
      <c r="E875" s="16"/>
    </row>
    <row r="876" spans="2:5">
      <c r="B876" s="16"/>
      <c r="C876" s="16"/>
      <c r="D876" s="16"/>
      <c r="E876" s="16"/>
    </row>
    <row r="877" spans="2:5">
      <c r="B877" s="16"/>
      <c r="C877" s="16"/>
      <c r="D877" s="16"/>
      <c r="E877" s="16"/>
    </row>
    <row r="878" spans="2:5">
      <c r="B878" s="16"/>
      <c r="C878" s="16"/>
      <c r="D878" s="16"/>
      <c r="E878" s="16"/>
    </row>
    <row r="879" spans="2:5">
      <c r="B879" s="16"/>
      <c r="C879" s="16"/>
      <c r="D879" s="16"/>
      <c r="E879" s="16"/>
    </row>
    <row r="880" spans="2:5">
      <c r="B880" s="16"/>
      <c r="C880" s="16"/>
      <c r="D880" s="16"/>
      <c r="E880" s="16"/>
    </row>
    <row r="881" spans="2:5">
      <c r="B881" s="16"/>
      <c r="C881" s="16"/>
      <c r="D881" s="16"/>
      <c r="E881" s="16"/>
    </row>
    <row r="882" spans="2:5">
      <c r="B882" s="16"/>
      <c r="C882" s="16"/>
      <c r="D882" s="16"/>
      <c r="E882" s="16"/>
    </row>
    <row r="883" spans="2:5">
      <c r="B883" s="16"/>
      <c r="C883" s="16"/>
      <c r="D883" s="16"/>
      <c r="E883" s="16"/>
    </row>
    <row r="884" spans="2:5">
      <c r="B884" s="16"/>
      <c r="C884" s="16"/>
      <c r="D884" s="16"/>
      <c r="E884" s="16"/>
    </row>
    <row r="885" spans="2:5">
      <c r="B885" s="16"/>
      <c r="C885" s="16"/>
      <c r="D885" s="16"/>
      <c r="E885" s="16"/>
    </row>
    <row r="886" spans="2:5">
      <c r="B886" s="16"/>
      <c r="C886" s="16"/>
      <c r="D886" s="16"/>
      <c r="E886" s="16"/>
    </row>
    <row r="887" spans="2:5">
      <c r="B887" s="16"/>
      <c r="C887" s="16"/>
      <c r="D887" s="16"/>
      <c r="E887" s="16"/>
    </row>
    <row r="888" spans="2:5">
      <c r="B888" s="16"/>
      <c r="C888" s="16"/>
      <c r="D888" s="16"/>
      <c r="E888" s="16"/>
    </row>
    <row r="889" spans="2:5">
      <c r="B889" s="16"/>
      <c r="C889" s="16"/>
      <c r="D889" s="16"/>
      <c r="E889" s="16"/>
    </row>
    <row r="890" spans="2:5">
      <c r="B890" s="16"/>
      <c r="C890" s="16"/>
      <c r="D890" s="16"/>
      <c r="E890" s="16"/>
    </row>
    <row r="891" spans="2:5">
      <c r="B891" s="16"/>
      <c r="C891" s="16"/>
      <c r="D891" s="16"/>
      <c r="E891" s="16"/>
    </row>
    <row r="892" spans="2:5">
      <c r="B892" s="16"/>
      <c r="C892" s="16"/>
      <c r="D892" s="16"/>
      <c r="E892" s="16"/>
    </row>
    <row r="893" spans="2:5">
      <c r="B893" s="16"/>
      <c r="C893" s="16"/>
      <c r="D893" s="16"/>
      <c r="E893" s="16"/>
    </row>
    <row r="894" spans="2:5">
      <c r="B894" s="16"/>
      <c r="C894" s="16"/>
      <c r="D894" s="16"/>
      <c r="E894" s="16"/>
    </row>
    <row r="895" spans="2:5">
      <c r="B895" s="16"/>
      <c r="C895" s="16"/>
      <c r="D895" s="16"/>
      <c r="E895" s="16"/>
    </row>
    <row r="896" spans="2:5">
      <c r="B896" s="16"/>
      <c r="C896" s="16"/>
      <c r="D896" s="16"/>
      <c r="E896" s="16"/>
    </row>
    <row r="897" spans="2:5">
      <c r="B897" s="16"/>
      <c r="C897" s="16"/>
      <c r="D897" s="16"/>
      <c r="E897" s="16"/>
    </row>
    <row r="898" spans="2:5">
      <c r="B898" s="16"/>
      <c r="C898" s="16"/>
      <c r="D898" s="16"/>
      <c r="E898" s="16"/>
    </row>
    <row r="899" spans="2:5">
      <c r="B899" s="16"/>
      <c r="C899" s="16"/>
      <c r="D899" s="16"/>
      <c r="E899" s="16"/>
    </row>
    <row r="900" spans="2:5">
      <c r="B900" s="16"/>
      <c r="C900" s="16"/>
      <c r="D900" s="16"/>
      <c r="E900" s="16"/>
    </row>
    <row r="901" spans="2:5">
      <c r="B901" s="16"/>
      <c r="C901" s="16"/>
      <c r="D901" s="16"/>
      <c r="E901" s="16"/>
    </row>
    <row r="902" spans="2:5">
      <c r="B902" s="16"/>
      <c r="C902" s="16"/>
      <c r="D902" s="16"/>
      <c r="E902" s="16"/>
    </row>
    <row r="903" spans="2:5">
      <c r="B903" s="16"/>
      <c r="C903" s="16"/>
      <c r="D903" s="16"/>
      <c r="E903" s="16"/>
    </row>
    <row r="904" spans="2:5">
      <c r="B904" s="16"/>
      <c r="C904" s="16"/>
      <c r="D904" s="16"/>
      <c r="E904" s="16"/>
    </row>
    <row r="905" spans="2:5">
      <c r="B905" s="16"/>
      <c r="C905" s="16"/>
      <c r="D905" s="16"/>
      <c r="E905" s="16"/>
    </row>
    <row r="906" spans="2:5">
      <c r="B906" s="16"/>
      <c r="C906" s="16"/>
      <c r="D906" s="16"/>
      <c r="E906" s="16"/>
    </row>
    <row r="907" spans="2:5">
      <c r="B907" s="16"/>
      <c r="C907" s="16"/>
      <c r="D907" s="16"/>
      <c r="E907" s="16"/>
    </row>
    <row r="908" spans="2:5">
      <c r="B908" s="16"/>
      <c r="C908" s="16"/>
      <c r="D908" s="16"/>
      <c r="E908" s="16"/>
    </row>
    <row r="909" spans="2:5">
      <c r="B909" s="16"/>
      <c r="C909" s="16"/>
      <c r="D909" s="16"/>
      <c r="E909" s="16"/>
    </row>
    <row r="910" spans="2:5">
      <c r="B910" s="16"/>
      <c r="C910" s="16"/>
      <c r="D910" s="16"/>
      <c r="E910" s="16"/>
    </row>
    <row r="911" spans="2:5">
      <c r="B911" s="16"/>
      <c r="C911" s="16"/>
      <c r="D911" s="16"/>
      <c r="E911" s="16"/>
    </row>
    <row r="912" spans="2:5">
      <c r="B912" s="16"/>
      <c r="C912" s="16"/>
      <c r="D912" s="16"/>
      <c r="E912" s="16"/>
    </row>
    <row r="913" spans="2:5">
      <c r="B913" s="16"/>
      <c r="C913" s="16"/>
      <c r="D913" s="16"/>
      <c r="E913" s="16"/>
    </row>
    <row r="914" spans="2:5">
      <c r="B914" s="16"/>
      <c r="C914" s="16"/>
      <c r="D914" s="16"/>
      <c r="E914" s="16"/>
    </row>
    <row r="915" spans="2:5">
      <c r="B915" s="16"/>
      <c r="C915" s="16"/>
      <c r="D915" s="16"/>
      <c r="E915" s="16"/>
    </row>
    <row r="916" spans="2:5">
      <c r="B916" s="16"/>
      <c r="C916" s="16"/>
      <c r="D916" s="16"/>
      <c r="E916" s="16"/>
    </row>
    <row r="917" spans="2:5">
      <c r="B917" s="16"/>
      <c r="C917" s="16"/>
      <c r="D917" s="16"/>
      <c r="E917" s="16"/>
    </row>
    <row r="918" spans="2:5">
      <c r="B918" s="16"/>
      <c r="C918" s="16"/>
      <c r="D918" s="16"/>
      <c r="E918" s="16"/>
    </row>
    <row r="919" spans="2:5">
      <c r="B919" s="16"/>
      <c r="C919" s="16"/>
      <c r="D919" s="16"/>
      <c r="E919" s="16"/>
    </row>
    <row r="920" spans="2:5">
      <c r="B920" s="16"/>
      <c r="C920" s="16"/>
      <c r="D920" s="16"/>
      <c r="E920" s="16"/>
    </row>
    <row r="921" spans="2:5">
      <c r="B921" s="16"/>
      <c r="C921" s="16"/>
      <c r="D921" s="16"/>
      <c r="E921" s="16"/>
    </row>
    <row r="922" spans="2:5">
      <c r="B922" s="16"/>
      <c r="C922" s="16"/>
      <c r="D922" s="16"/>
      <c r="E922" s="16"/>
    </row>
    <row r="923" spans="2:5">
      <c r="B923" s="16"/>
      <c r="C923" s="16"/>
      <c r="D923" s="16"/>
      <c r="E923" s="16"/>
    </row>
    <row r="924" spans="2:5">
      <c r="B924" s="16"/>
      <c r="C924" s="16"/>
      <c r="D924" s="16"/>
      <c r="E924" s="16"/>
    </row>
    <row r="925" spans="2:5">
      <c r="B925" s="16"/>
      <c r="C925" s="16"/>
      <c r="D925" s="16"/>
      <c r="E925" s="16"/>
    </row>
    <row r="926" spans="2:5">
      <c r="B926" s="16"/>
      <c r="C926" s="16"/>
      <c r="D926" s="16"/>
      <c r="E926" s="16"/>
    </row>
    <row r="927" spans="2:5">
      <c r="B927" s="16"/>
      <c r="C927" s="16"/>
      <c r="D927" s="16"/>
      <c r="E927" s="16"/>
    </row>
    <row r="928" spans="2:5">
      <c r="B928" s="16"/>
      <c r="C928" s="16"/>
      <c r="D928" s="16"/>
      <c r="E928" s="16"/>
    </row>
    <row r="929" spans="2:5">
      <c r="B929" s="16"/>
      <c r="C929" s="16"/>
      <c r="D929" s="16"/>
      <c r="E929" s="16"/>
    </row>
    <row r="930" spans="2:5">
      <c r="B930" s="16"/>
      <c r="C930" s="16"/>
      <c r="D930" s="16"/>
      <c r="E930" s="16"/>
    </row>
    <row r="931" spans="2:5">
      <c r="B931" s="16"/>
      <c r="C931" s="16"/>
      <c r="D931" s="16"/>
      <c r="E931" s="16"/>
    </row>
    <row r="932" spans="2:5">
      <c r="B932" s="16"/>
      <c r="C932" s="16"/>
      <c r="D932" s="16"/>
      <c r="E932" s="16"/>
    </row>
    <row r="933" spans="2:5">
      <c r="B933" s="16"/>
      <c r="C933" s="16"/>
      <c r="D933" s="16"/>
      <c r="E933" s="16"/>
    </row>
    <row r="934" spans="2:5">
      <c r="B934" s="16"/>
      <c r="C934" s="16"/>
      <c r="D934" s="16"/>
      <c r="E934" s="16"/>
    </row>
    <row r="935" spans="2:5">
      <c r="B935" s="16"/>
      <c r="C935" s="16"/>
      <c r="D935" s="16"/>
      <c r="E935" s="16"/>
    </row>
    <row r="936" spans="2:5">
      <c r="B936" s="16"/>
      <c r="C936" s="16"/>
      <c r="D936" s="16"/>
      <c r="E936" s="16"/>
    </row>
    <row r="937" spans="2:5">
      <c r="B937" s="16"/>
      <c r="C937" s="16"/>
      <c r="D937" s="16"/>
      <c r="E937" s="16"/>
    </row>
    <row r="938" spans="2:5">
      <c r="B938" s="16"/>
      <c r="C938" s="16"/>
      <c r="D938" s="16"/>
      <c r="E938" s="16"/>
    </row>
    <row r="939" spans="2:5">
      <c r="B939" s="16"/>
      <c r="C939" s="16"/>
      <c r="D939" s="16"/>
      <c r="E939" s="16"/>
    </row>
    <row r="940" spans="2:5">
      <c r="B940" s="16"/>
      <c r="C940" s="16"/>
      <c r="D940" s="16"/>
      <c r="E940" s="16"/>
    </row>
    <row r="941" spans="2:5">
      <c r="B941" s="16"/>
      <c r="C941" s="16"/>
      <c r="D941" s="16"/>
      <c r="E941" s="16"/>
    </row>
    <row r="942" spans="2:5">
      <c r="B942" s="16"/>
      <c r="C942" s="16"/>
      <c r="D942" s="16"/>
      <c r="E942" s="16"/>
    </row>
    <row r="943" spans="2:5">
      <c r="B943" s="16"/>
      <c r="C943" s="16"/>
      <c r="D943" s="16"/>
      <c r="E943" s="16"/>
    </row>
    <row r="944" spans="2:5">
      <c r="B944" s="16"/>
      <c r="C944" s="16"/>
      <c r="D944" s="16"/>
      <c r="E944" s="16"/>
    </row>
    <row r="945" spans="2:5">
      <c r="B945" s="16"/>
      <c r="C945" s="16"/>
      <c r="D945" s="16"/>
      <c r="E945" s="16"/>
    </row>
    <row r="946" spans="2:5">
      <c r="B946" s="16"/>
      <c r="C946" s="16"/>
      <c r="D946" s="16"/>
      <c r="E946" s="16"/>
    </row>
    <row r="947" spans="2:5">
      <c r="B947" s="16"/>
      <c r="C947" s="16"/>
      <c r="D947" s="16"/>
      <c r="E947" s="16"/>
    </row>
    <row r="948" spans="2:5">
      <c r="B948" s="16"/>
      <c r="C948" s="16"/>
      <c r="D948" s="16"/>
      <c r="E948" s="16"/>
    </row>
    <row r="949" spans="2:5">
      <c r="B949" s="16"/>
      <c r="C949" s="16"/>
      <c r="D949" s="16"/>
      <c r="E949" s="16"/>
    </row>
    <row r="950" spans="2:5">
      <c r="B950" s="16"/>
      <c r="C950" s="16"/>
      <c r="D950" s="16"/>
      <c r="E950" s="16"/>
    </row>
    <row r="951" spans="2:5">
      <c r="B951" s="16"/>
      <c r="C951" s="16"/>
      <c r="D951" s="16"/>
      <c r="E951" s="16"/>
    </row>
    <row r="952" spans="2:5">
      <c r="B952" s="16"/>
      <c r="C952" s="16"/>
      <c r="D952" s="16"/>
      <c r="E952" s="16"/>
    </row>
    <row r="953" spans="2:5">
      <c r="B953" s="16"/>
      <c r="C953" s="16"/>
      <c r="D953" s="16"/>
      <c r="E953" s="16"/>
    </row>
    <row r="954" spans="2:5">
      <c r="B954" s="16"/>
      <c r="C954" s="16"/>
      <c r="D954" s="16"/>
      <c r="E954" s="16"/>
    </row>
    <row r="955" spans="2:5">
      <c r="B955" s="16"/>
      <c r="C955" s="16"/>
      <c r="D955" s="16"/>
      <c r="E955" s="16"/>
    </row>
    <row r="956" spans="2:5">
      <c r="B956" s="16"/>
      <c r="C956" s="16"/>
      <c r="D956" s="16"/>
      <c r="E956" s="16"/>
    </row>
    <row r="957" spans="2:5">
      <c r="B957" s="16"/>
      <c r="C957" s="16"/>
      <c r="D957" s="16"/>
      <c r="E957" s="16"/>
    </row>
    <row r="958" spans="2:5">
      <c r="B958" s="16"/>
      <c r="C958" s="16"/>
      <c r="D958" s="16"/>
      <c r="E958" s="16"/>
    </row>
    <row r="959" spans="2:5">
      <c r="B959" s="16"/>
      <c r="C959" s="16"/>
      <c r="D959" s="16"/>
      <c r="E959" s="16"/>
    </row>
    <row r="960" spans="2:5">
      <c r="B960" s="16"/>
      <c r="C960" s="16"/>
      <c r="D960" s="16"/>
      <c r="E960" s="16"/>
    </row>
    <row r="961" spans="2:5">
      <c r="B961" s="16"/>
      <c r="C961" s="16"/>
      <c r="D961" s="16"/>
      <c r="E961" s="16"/>
    </row>
    <row r="962" spans="2:5">
      <c r="B962" s="16"/>
      <c r="C962" s="16"/>
      <c r="D962" s="16"/>
      <c r="E962" s="16"/>
    </row>
    <row r="963" spans="2:5">
      <c r="B963" s="16"/>
      <c r="C963" s="16"/>
      <c r="D963" s="16"/>
      <c r="E963" s="16"/>
    </row>
    <row r="964" spans="2:5">
      <c r="B964" s="16"/>
      <c r="C964" s="16"/>
      <c r="D964" s="16"/>
      <c r="E964" s="16"/>
    </row>
    <row r="965" spans="2:5">
      <c r="B965" s="16"/>
      <c r="C965" s="16"/>
      <c r="D965" s="16"/>
      <c r="E965" s="16"/>
    </row>
    <row r="966" spans="2:5">
      <c r="B966" s="16"/>
      <c r="C966" s="16"/>
      <c r="D966" s="16"/>
      <c r="E966" s="16"/>
    </row>
    <row r="967" spans="2:5">
      <c r="B967" s="16"/>
      <c r="C967" s="16"/>
      <c r="D967" s="16"/>
      <c r="E967" s="16"/>
    </row>
    <row r="968" spans="2:5">
      <c r="B968" s="16"/>
      <c r="C968" s="16"/>
      <c r="D968" s="16"/>
      <c r="E968" s="16"/>
    </row>
    <row r="969" spans="2:5">
      <c r="B969" s="16"/>
      <c r="C969" s="16"/>
      <c r="D969" s="16"/>
      <c r="E969" s="16"/>
    </row>
    <row r="970" spans="2:5">
      <c r="B970" s="16"/>
      <c r="C970" s="16"/>
      <c r="D970" s="16"/>
      <c r="E970" s="16"/>
    </row>
    <row r="971" spans="2:5">
      <c r="B971" s="16"/>
      <c r="C971" s="16"/>
      <c r="D971" s="16"/>
      <c r="E971" s="16"/>
    </row>
    <row r="972" spans="2:5">
      <c r="B972" s="16"/>
      <c r="C972" s="16"/>
      <c r="D972" s="16"/>
      <c r="E972" s="16"/>
    </row>
    <row r="973" spans="2:5">
      <c r="B973" s="16"/>
      <c r="C973" s="16"/>
      <c r="D973" s="16"/>
      <c r="E973" s="16"/>
    </row>
    <row r="974" spans="2:5">
      <c r="B974" s="16"/>
      <c r="C974" s="16"/>
      <c r="D974" s="16"/>
      <c r="E974" s="16"/>
    </row>
    <row r="975" spans="2:5">
      <c r="B975" s="16"/>
      <c r="C975" s="16"/>
      <c r="D975" s="16"/>
      <c r="E975" s="16"/>
    </row>
    <row r="976" spans="2:5">
      <c r="B976" s="16"/>
      <c r="C976" s="16"/>
      <c r="D976" s="16"/>
      <c r="E976" s="16"/>
    </row>
    <row r="977" spans="2:5">
      <c r="B977" s="16"/>
      <c r="C977" s="16"/>
      <c r="D977" s="16"/>
      <c r="E977" s="16"/>
    </row>
    <row r="978" spans="2:5">
      <c r="B978" s="16"/>
      <c r="C978" s="16"/>
      <c r="D978" s="16"/>
      <c r="E978" s="16"/>
    </row>
    <row r="979" spans="2:5">
      <c r="B979" s="16"/>
      <c r="C979" s="16"/>
      <c r="D979" s="16"/>
      <c r="E979" s="16"/>
    </row>
    <row r="980" spans="2:5">
      <c r="B980" s="16"/>
      <c r="C980" s="16"/>
      <c r="D980" s="16"/>
      <c r="E980" s="16"/>
    </row>
    <row r="981" spans="2:5">
      <c r="B981" s="16"/>
      <c r="C981" s="16"/>
      <c r="D981" s="16"/>
      <c r="E981" s="16"/>
    </row>
    <row r="982" spans="2:5">
      <c r="B982" s="16"/>
      <c r="C982" s="16"/>
      <c r="D982" s="16"/>
      <c r="E982" s="16"/>
    </row>
    <row r="983" spans="2:5">
      <c r="B983" s="16"/>
      <c r="C983" s="16"/>
      <c r="D983" s="16"/>
      <c r="E983" s="16"/>
    </row>
    <row r="984" spans="2:5">
      <c r="B984" s="16"/>
      <c r="C984" s="16"/>
      <c r="D984" s="16"/>
      <c r="E984" s="16"/>
    </row>
    <row r="985" spans="2:5">
      <c r="B985" s="16"/>
      <c r="C985" s="16"/>
      <c r="D985" s="16"/>
      <c r="E985" s="16"/>
    </row>
    <row r="986" spans="2:5">
      <c r="B986" s="16"/>
      <c r="C986" s="16"/>
      <c r="D986" s="16"/>
      <c r="E986" s="16"/>
    </row>
    <row r="987" spans="2:5">
      <c r="B987" s="16"/>
      <c r="C987" s="16"/>
      <c r="D987" s="16"/>
      <c r="E987" s="16"/>
    </row>
    <row r="988" spans="2:5">
      <c r="B988" s="16"/>
      <c r="C988" s="16"/>
      <c r="D988" s="16"/>
      <c r="E988" s="16"/>
    </row>
    <row r="989" spans="2:5">
      <c r="B989" s="16"/>
      <c r="C989" s="16"/>
      <c r="D989" s="16"/>
      <c r="E989" s="16"/>
    </row>
    <row r="990" spans="2:5">
      <c r="B990" s="16"/>
      <c r="C990" s="16"/>
      <c r="D990" s="16"/>
      <c r="E990" s="16"/>
    </row>
    <row r="991" spans="2:5">
      <c r="B991" s="16"/>
      <c r="C991" s="16"/>
      <c r="D991" s="16"/>
      <c r="E991" s="16"/>
    </row>
    <row r="992" spans="2:5">
      <c r="B992" s="16"/>
      <c r="C992" s="16"/>
      <c r="D992" s="16"/>
      <c r="E992" s="16"/>
    </row>
    <row r="993" spans="2:5">
      <c r="B993" s="16"/>
      <c r="C993" s="16"/>
      <c r="D993" s="16"/>
      <c r="E993" s="16"/>
    </row>
    <row r="994" spans="2:5">
      <c r="B994" s="16"/>
      <c r="C994" s="16"/>
      <c r="D994" s="16"/>
      <c r="E994" s="16"/>
    </row>
    <row r="995" spans="2:5">
      <c r="B995" s="16"/>
      <c r="C995" s="16"/>
      <c r="D995" s="16"/>
      <c r="E995" s="16"/>
    </row>
    <row r="996" spans="2:5">
      <c r="B996" s="16"/>
      <c r="C996" s="16"/>
      <c r="D996" s="16"/>
      <c r="E996" s="16"/>
    </row>
    <row r="997" spans="2:5">
      <c r="B997" s="16"/>
      <c r="C997" s="16"/>
      <c r="D997" s="16"/>
      <c r="E997" s="16"/>
    </row>
    <row r="998" spans="2:5">
      <c r="B998" s="16"/>
      <c r="C998" s="16"/>
      <c r="D998" s="16"/>
      <c r="E998" s="16"/>
    </row>
    <row r="999" spans="2:5">
      <c r="B999" s="16"/>
      <c r="C999" s="16"/>
      <c r="D999" s="16"/>
      <c r="E999" s="16"/>
    </row>
    <row r="1000" spans="2:5">
      <c r="B1000" s="16"/>
      <c r="C1000" s="16"/>
      <c r="D1000" s="16"/>
      <c r="E1000" s="1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1"/>
  <sheetViews>
    <sheetView workbookViewId="0"/>
  </sheetViews>
  <sheetFormatPr defaultColWidth="12.5703125" defaultRowHeight="15.75" customHeight="1"/>
  <cols>
    <col min="1" max="1" width="95.5703125" customWidth="1"/>
    <col min="2" max="2" width="24.85546875" customWidth="1"/>
    <col min="3" max="5" width="26" customWidth="1"/>
  </cols>
  <sheetData>
    <row r="1" spans="1:26">
      <c r="A1" s="13" t="s">
        <v>0</v>
      </c>
      <c r="B1" s="13" t="s">
        <v>1</v>
      </c>
      <c r="C1" s="13" t="s">
        <v>2</v>
      </c>
      <c r="D1" s="13" t="s">
        <v>3</v>
      </c>
      <c r="E1" s="13" t="s">
        <v>4</v>
      </c>
      <c r="F1" s="13"/>
      <c r="G1" s="13"/>
      <c r="H1" s="13"/>
      <c r="I1" s="13"/>
      <c r="J1" s="13"/>
      <c r="K1" s="13"/>
      <c r="L1" s="13"/>
      <c r="M1" s="13"/>
      <c r="N1" s="13"/>
      <c r="O1" s="13"/>
      <c r="P1" s="13"/>
      <c r="Q1" s="13"/>
      <c r="R1" s="13"/>
      <c r="S1" s="13"/>
      <c r="T1" s="13"/>
      <c r="U1" s="13"/>
      <c r="V1" s="13"/>
      <c r="W1" s="13"/>
      <c r="X1" s="13"/>
      <c r="Y1" s="13"/>
      <c r="Z1" s="13"/>
    </row>
    <row r="2" spans="1:26">
      <c r="A2" s="15" t="s">
        <v>818</v>
      </c>
      <c r="B2" s="20" t="s">
        <v>819</v>
      </c>
      <c r="C2" s="20" t="s">
        <v>820</v>
      </c>
      <c r="D2" s="20" t="s">
        <v>180</v>
      </c>
      <c r="E2" s="20" t="s">
        <v>178</v>
      </c>
    </row>
    <row r="3" spans="1:26">
      <c r="A3" s="15" t="s">
        <v>821</v>
      </c>
      <c r="B3" s="15" t="s">
        <v>822</v>
      </c>
      <c r="C3" s="15" t="s">
        <v>823</v>
      </c>
      <c r="D3" s="15" t="s">
        <v>824</v>
      </c>
      <c r="E3" s="15" t="s">
        <v>825</v>
      </c>
    </row>
    <row r="4" spans="1:26">
      <c r="A4" s="15" t="s">
        <v>826</v>
      </c>
      <c r="B4" s="15" t="s">
        <v>827</v>
      </c>
      <c r="C4" s="15" t="s">
        <v>828</v>
      </c>
      <c r="D4" s="15" t="s">
        <v>829</v>
      </c>
      <c r="E4" s="15" t="s">
        <v>830</v>
      </c>
    </row>
    <row r="5" spans="1:26">
      <c r="A5" s="15" t="s">
        <v>831</v>
      </c>
      <c r="B5" s="20" t="s">
        <v>648</v>
      </c>
      <c r="C5" s="20" t="s">
        <v>832</v>
      </c>
      <c r="D5" s="20" t="s">
        <v>833</v>
      </c>
      <c r="E5" s="20" t="s">
        <v>834</v>
      </c>
    </row>
    <row r="6" spans="1:26">
      <c r="A6" s="15" t="s">
        <v>835</v>
      </c>
      <c r="B6" s="15" t="s">
        <v>836</v>
      </c>
      <c r="C6" s="15" t="s">
        <v>837</v>
      </c>
      <c r="D6" s="15" t="s">
        <v>838</v>
      </c>
      <c r="E6" s="15" t="s">
        <v>839</v>
      </c>
    </row>
    <row r="7" spans="1:26">
      <c r="A7" s="15" t="s">
        <v>840</v>
      </c>
      <c r="B7" s="20" t="s">
        <v>648</v>
      </c>
      <c r="C7" s="20" t="s">
        <v>834</v>
      </c>
      <c r="D7" s="20" t="s">
        <v>841</v>
      </c>
      <c r="E7" s="20" t="s">
        <v>842</v>
      </c>
    </row>
    <row r="8" spans="1:26">
      <c r="A8" s="15" t="s">
        <v>843</v>
      </c>
      <c r="B8" s="15" t="s">
        <v>844</v>
      </c>
      <c r="C8" s="15" t="s">
        <v>845</v>
      </c>
      <c r="D8" s="15" t="s">
        <v>846</v>
      </c>
      <c r="E8" s="15" t="s">
        <v>847</v>
      </c>
    </row>
    <row r="9" spans="1:26">
      <c r="A9" s="15" t="s">
        <v>848</v>
      </c>
      <c r="B9" s="15" t="s">
        <v>849</v>
      </c>
      <c r="C9" s="15" t="s">
        <v>850</v>
      </c>
      <c r="D9" s="15" t="s">
        <v>851</v>
      </c>
      <c r="E9" s="15" t="s">
        <v>852</v>
      </c>
    </row>
    <row r="10" spans="1:26">
      <c r="A10" s="15" t="s">
        <v>853</v>
      </c>
      <c r="B10" s="15" t="s">
        <v>854</v>
      </c>
      <c r="C10" s="15" t="s">
        <v>855</v>
      </c>
      <c r="D10" s="15" t="s">
        <v>856</v>
      </c>
      <c r="E10" s="15" t="s">
        <v>857</v>
      </c>
    </row>
    <row r="11" spans="1:26">
      <c r="A11" s="15" t="s">
        <v>858</v>
      </c>
      <c r="B11" s="15" t="s">
        <v>859</v>
      </c>
      <c r="C11" s="15" t="s">
        <v>860</v>
      </c>
      <c r="D11" s="15" t="s">
        <v>861</v>
      </c>
      <c r="E11" s="15" t="s">
        <v>862</v>
      </c>
    </row>
    <row r="12" spans="1:26">
      <c r="A12" s="15" t="s">
        <v>863</v>
      </c>
      <c r="B12" s="20" t="s">
        <v>864</v>
      </c>
      <c r="C12" s="20" t="s">
        <v>183</v>
      </c>
      <c r="D12" s="20" t="s">
        <v>383</v>
      </c>
      <c r="E12" s="20" t="s">
        <v>384</v>
      </c>
    </row>
    <row r="13" spans="1:26">
      <c r="A13" s="15" t="s">
        <v>865</v>
      </c>
      <c r="B13" s="15" t="s">
        <v>866</v>
      </c>
      <c r="C13" s="15" t="s">
        <v>867</v>
      </c>
      <c r="D13" s="15" t="s">
        <v>868</v>
      </c>
      <c r="E13" s="15" t="s">
        <v>869</v>
      </c>
    </row>
    <row r="14" spans="1:26">
      <c r="A14" s="15" t="s">
        <v>870</v>
      </c>
      <c r="B14" s="15" t="s">
        <v>871</v>
      </c>
      <c r="C14" s="15" t="s">
        <v>872</v>
      </c>
      <c r="D14" s="15" t="s">
        <v>873</v>
      </c>
      <c r="E14" s="15" t="s">
        <v>874</v>
      </c>
    </row>
    <row r="15" spans="1:26">
      <c r="A15" s="15" t="s">
        <v>875</v>
      </c>
      <c r="B15" s="15" t="s">
        <v>876</v>
      </c>
      <c r="C15" s="15" t="s">
        <v>877</v>
      </c>
      <c r="D15" s="15" t="s">
        <v>878</v>
      </c>
      <c r="E15" s="15" t="s">
        <v>879</v>
      </c>
    </row>
    <row r="16" spans="1:26">
      <c r="A16" s="15" t="s">
        <v>880</v>
      </c>
      <c r="B16" s="15" t="s">
        <v>881</v>
      </c>
      <c r="C16" s="15" t="s">
        <v>882</v>
      </c>
      <c r="D16" s="15" t="s">
        <v>883</v>
      </c>
      <c r="E16" s="15" t="s">
        <v>884</v>
      </c>
    </row>
    <row r="17" spans="1:5">
      <c r="A17" s="15" t="s">
        <v>885</v>
      </c>
      <c r="B17" s="15" t="s">
        <v>886</v>
      </c>
      <c r="C17" s="15" t="s">
        <v>887</v>
      </c>
      <c r="D17" s="15" t="s">
        <v>888</v>
      </c>
      <c r="E17" s="15" t="s">
        <v>889</v>
      </c>
    </row>
    <row r="18" spans="1:5">
      <c r="A18" s="15" t="s">
        <v>890</v>
      </c>
      <c r="B18" s="15" t="s">
        <v>891</v>
      </c>
      <c r="C18" s="15" t="s">
        <v>892</v>
      </c>
      <c r="D18" s="15" t="s">
        <v>893</v>
      </c>
      <c r="E18" s="15" t="s">
        <v>894</v>
      </c>
    </row>
    <row r="19" spans="1:5">
      <c r="A19" s="15" t="s">
        <v>895</v>
      </c>
      <c r="B19" s="15" t="s">
        <v>896</v>
      </c>
      <c r="C19" s="15" t="s">
        <v>897</v>
      </c>
      <c r="D19" s="15" t="s">
        <v>898</v>
      </c>
      <c r="E19" s="15" t="s">
        <v>899</v>
      </c>
    </row>
    <row r="20" spans="1:5">
      <c r="A20" s="15" t="s">
        <v>900</v>
      </c>
      <c r="B20" s="20" t="s">
        <v>901</v>
      </c>
      <c r="C20" s="20" t="s">
        <v>902</v>
      </c>
      <c r="D20" s="20" t="s">
        <v>903</v>
      </c>
      <c r="E20" s="20" t="s">
        <v>648</v>
      </c>
    </row>
    <row r="21" spans="1:5">
      <c r="A21" s="15" t="s">
        <v>904</v>
      </c>
      <c r="B21" s="15" t="s">
        <v>905</v>
      </c>
      <c r="C21" s="15" t="s">
        <v>906</v>
      </c>
      <c r="D21" s="15" t="s">
        <v>907</v>
      </c>
      <c r="E21" s="15" t="s">
        <v>908</v>
      </c>
    </row>
    <row r="22" spans="1:5">
      <c r="A22" s="15" t="s">
        <v>909</v>
      </c>
      <c r="B22" s="15" t="s">
        <v>910</v>
      </c>
      <c r="C22" s="15" t="s">
        <v>911</v>
      </c>
      <c r="D22" s="15" t="s">
        <v>912</v>
      </c>
      <c r="E22" s="15" t="s">
        <v>913</v>
      </c>
    </row>
    <row r="23" spans="1:5">
      <c r="A23" s="15" t="s">
        <v>914</v>
      </c>
      <c r="B23" s="15" t="s">
        <v>915</v>
      </c>
      <c r="C23" s="15" t="s">
        <v>916</v>
      </c>
      <c r="D23" s="15" t="s">
        <v>917</v>
      </c>
      <c r="E23" s="15" t="s">
        <v>918</v>
      </c>
    </row>
    <row r="24" spans="1:5">
      <c r="A24" s="15" t="s">
        <v>919</v>
      </c>
      <c r="B24" s="15" t="s">
        <v>920</v>
      </c>
      <c r="C24" s="15" t="s">
        <v>921</v>
      </c>
      <c r="D24" s="15" t="s">
        <v>922</v>
      </c>
      <c r="E24" s="15" t="s">
        <v>923</v>
      </c>
    </row>
    <row r="25" spans="1:5">
      <c r="A25" s="15" t="s">
        <v>924</v>
      </c>
      <c r="B25" s="20" t="s">
        <v>152</v>
      </c>
      <c r="C25" s="20" t="s">
        <v>150</v>
      </c>
      <c r="D25" s="20" t="s">
        <v>175</v>
      </c>
      <c r="E25" s="20" t="s">
        <v>149</v>
      </c>
    </row>
    <row r="26" spans="1:5">
      <c r="A26" s="15" t="s">
        <v>925</v>
      </c>
      <c r="B26" s="15" t="s">
        <v>926</v>
      </c>
      <c r="C26" s="15" t="s">
        <v>927</v>
      </c>
      <c r="D26" s="15" t="s">
        <v>928</v>
      </c>
      <c r="E26" s="15" t="s">
        <v>929</v>
      </c>
    </row>
    <row r="27" spans="1:5">
      <c r="A27" s="15" t="s">
        <v>930</v>
      </c>
      <c r="B27" s="20" t="s">
        <v>213</v>
      </c>
      <c r="C27" s="20" t="s">
        <v>296</v>
      </c>
      <c r="D27" s="20" t="s">
        <v>184</v>
      </c>
      <c r="E27" s="20" t="s">
        <v>931</v>
      </c>
    </row>
    <row r="28" spans="1:5">
      <c r="A28" s="15" t="s">
        <v>932</v>
      </c>
      <c r="B28" s="15" t="s">
        <v>933</v>
      </c>
      <c r="C28" s="15" t="s">
        <v>934</v>
      </c>
      <c r="D28" s="15" t="s">
        <v>935</v>
      </c>
      <c r="E28" s="15" t="s">
        <v>936</v>
      </c>
    </row>
    <row r="29" spans="1:5">
      <c r="A29" s="15" t="s">
        <v>937</v>
      </c>
      <c r="B29" s="15" t="s">
        <v>899</v>
      </c>
      <c r="C29" s="15" t="s">
        <v>938</v>
      </c>
      <c r="D29" s="15" t="s">
        <v>939</v>
      </c>
      <c r="E29" s="15" t="s">
        <v>898</v>
      </c>
    </row>
    <row r="30" spans="1:5">
      <c r="A30" s="15" t="s">
        <v>940</v>
      </c>
      <c r="B30" s="20" t="s">
        <v>648</v>
      </c>
      <c r="C30" s="20" t="s">
        <v>902</v>
      </c>
      <c r="D30" s="20" t="s">
        <v>941</v>
      </c>
      <c r="E30" s="20" t="s">
        <v>834</v>
      </c>
    </row>
    <row r="31" spans="1:5">
      <c r="A31" s="15" t="s">
        <v>942</v>
      </c>
      <c r="B31" s="15" t="s">
        <v>943</v>
      </c>
      <c r="C31" s="15" t="s">
        <v>944</v>
      </c>
      <c r="D31" s="15" t="s">
        <v>945</v>
      </c>
      <c r="E31" s="15" t="s">
        <v>946</v>
      </c>
    </row>
    <row r="32" spans="1:5">
      <c r="A32" s="15" t="s">
        <v>947</v>
      </c>
      <c r="B32" s="15" t="s">
        <v>948</v>
      </c>
      <c r="C32" s="15" t="s">
        <v>949</v>
      </c>
      <c r="D32" s="15" t="s">
        <v>950</v>
      </c>
      <c r="E32" s="15" t="s">
        <v>951</v>
      </c>
    </row>
    <row r="33" spans="1:5">
      <c r="A33" s="15" t="s">
        <v>952</v>
      </c>
      <c r="B33" s="15" t="s">
        <v>953</v>
      </c>
      <c r="C33" s="15" t="s">
        <v>954</v>
      </c>
      <c r="D33" s="15" t="s">
        <v>955</v>
      </c>
      <c r="E33" s="15" t="s">
        <v>956</v>
      </c>
    </row>
    <row r="34" spans="1:5">
      <c r="A34" s="15" t="s">
        <v>957</v>
      </c>
      <c r="B34" s="15" t="s">
        <v>958</v>
      </c>
      <c r="C34" s="15" t="s">
        <v>959</v>
      </c>
      <c r="D34" s="15" t="s">
        <v>960</v>
      </c>
      <c r="E34" s="15" t="s">
        <v>961</v>
      </c>
    </row>
    <row r="35" spans="1:5">
      <c r="A35" s="15" t="s">
        <v>962</v>
      </c>
      <c r="B35" s="15" t="s">
        <v>963</v>
      </c>
      <c r="C35" s="15" t="s">
        <v>964</v>
      </c>
      <c r="D35" s="15" t="s">
        <v>965</v>
      </c>
      <c r="E35" s="15" t="s">
        <v>966</v>
      </c>
    </row>
    <row r="36" spans="1:5">
      <c r="A36" s="15" t="s">
        <v>967</v>
      </c>
      <c r="B36" s="15" t="s">
        <v>968</v>
      </c>
      <c r="C36" s="15" t="s">
        <v>969</v>
      </c>
      <c r="D36" s="15" t="s">
        <v>970</v>
      </c>
      <c r="E36" s="15" t="s">
        <v>971</v>
      </c>
    </row>
    <row r="37" spans="1:5">
      <c r="A37" s="15" t="s">
        <v>972</v>
      </c>
      <c r="B37" s="20" t="s">
        <v>223</v>
      </c>
      <c r="C37" s="20" t="s">
        <v>170</v>
      </c>
      <c r="D37" s="20" t="s">
        <v>817</v>
      </c>
      <c r="E37" s="20" t="s">
        <v>224</v>
      </c>
    </row>
    <row r="38" spans="1:5">
      <c r="A38" s="15" t="s">
        <v>973</v>
      </c>
      <c r="B38" s="15" t="s">
        <v>974</v>
      </c>
      <c r="C38" s="15" t="s">
        <v>975</v>
      </c>
      <c r="D38" s="15" t="s">
        <v>976</v>
      </c>
      <c r="E38" s="15" t="s">
        <v>977</v>
      </c>
    </row>
    <row r="39" spans="1:5">
      <c r="A39" s="15" t="s">
        <v>978</v>
      </c>
      <c r="B39" s="20" t="s">
        <v>175</v>
      </c>
      <c r="C39" s="20" t="s">
        <v>174</v>
      </c>
      <c r="D39" s="20" t="s">
        <v>152</v>
      </c>
      <c r="E39" s="20" t="s">
        <v>150</v>
      </c>
    </row>
    <row r="40" spans="1:5">
      <c r="A40" s="15" t="s">
        <v>979</v>
      </c>
      <c r="B40" s="15" t="s">
        <v>980</v>
      </c>
      <c r="C40" s="15" t="s">
        <v>915</v>
      </c>
      <c r="D40" s="15" t="s">
        <v>916</v>
      </c>
      <c r="E40" s="15" t="s">
        <v>981</v>
      </c>
    </row>
    <row r="41" spans="1:5">
      <c r="A41" s="15" t="s">
        <v>982</v>
      </c>
      <c r="B41" s="15" t="s">
        <v>872</v>
      </c>
      <c r="C41" s="15" t="s">
        <v>873</v>
      </c>
      <c r="D41" s="15" t="s">
        <v>871</v>
      </c>
      <c r="E41" s="15" t="s">
        <v>983</v>
      </c>
    </row>
    <row r="42" spans="1:5">
      <c r="A42" s="15" t="s">
        <v>984</v>
      </c>
      <c r="B42" s="15" t="s">
        <v>985</v>
      </c>
      <c r="C42" s="15" t="s">
        <v>986</v>
      </c>
      <c r="D42" s="15" t="s">
        <v>987</v>
      </c>
      <c r="E42" s="15" t="s">
        <v>988</v>
      </c>
    </row>
    <row r="43" spans="1:5">
      <c r="A43" s="15" t="s">
        <v>989</v>
      </c>
      <c r="B43" s="15" t="s">
        <v>990</v>
      </c>
      <c r="C43" s="15" t="s">
        <v>991</v>
      </c>
      <c r="D43" s="15" t="s">
        <v>992</v>
      </c>
      <c r="E43" s="15" t="s">
        <v>993</v>
      </c>
    </row>
    <row r="44" spans="1:5">
      <c r="A44" s="15" t="s">
        <v>994</v>
      </c>
      <c r="B44" s="15" t="s">
        <v>995</v>
      </c>
      <c r="C44" s="15" t="s">
        <v>996</v>
      </c>
      <c r="D44" s="15" t="s">
        <v>997</v>
      </c>
      <c r="E44" s="15" t="s">
        <v>998</v>
      </c>
    </row>
    <row r="45" spans="1:5">
      <c r="A45" s="15" t="s">
        <v>999</v>
      </c>
      <c r="B45" s="15" t="s">
        <v>1000</v>
      </c>
      <c r="C45" s="15" t="s">
        <v>1001</v>
      </c>
      <c r="D45" s="15" t="s">
        <v>1002</v>
      </c>
      <c r="E45" s="15" t="s">
        <v>1003</v>
      </c>
    </row>
    <row r="46" spans="1:5">
      <c r="A46" s="15" t="s">
        <v>1004</v>
      </c>
      <c r="B46" s="15" t="s">
        <v>1005</v>
      </c>
      <c r="C46" s="15" t="s">
        <v>1006</v>
      </c>
      <c r="D46" s="15" t="s">
        <v>1007</v>
      </c>
      <c r="E46" s="15" t="s">
        <v>1008</v>
      </c>
    </row>
    <row r="47" spans="1:5">
      <c r="A47" s="15" t="s">
        <v>1009</v>
      </c>
      <c r="B47" s="15" t="s">
        <v>859</v>
      </c>
      <c r="C47" s="15" t="s">
        <v>1010</v>
      </c>
      <c r="D47" s="15" t="s">
        <v>1011</v>
      </c>
      <c r="E47" s="15" t="s">
        <v>1012</v>
      </c>
    </row>
    <row r="48" spans="1:5">
      <c r="A48" s="15" t="s">
        <v>1013</v>
      </c>
      <c r="B48" s="15" t="s">
        <v>1014</v>
      </c>
      <c r="C48" s="15" t="s">
        <v>1015</v>
      </c>
      <c r="D48" s="15" t="s">
        <v>1016</v>
      </c>
      <c r="E48" s="15" t="s">
        <v>1017</v>
      </c>
    </row>
    <row r="49" spans="1:5">
      <c r="A49" s="15" t="s">
        <v>1018</v>
      </c>
      <c r="B49" s="15" t="s">
        <v>1019</v>
      </c>
      <c r="C49" s="15" t="s">
        <v>1020</v>
      </c>
      <c r="D49" s="15" t="s">
        <v>1021</v>
      </c>
      <c r="E49" s="15" t="s">
        <v>1022</v>
      </c>
    </row>
    <row r="50" spans="1:5">
      <c r="A50" s="15" t="s">
        <v>1023</v>
      </c>
      <c r="B50" s="20" t="s">
        <v>1024</v>
      </c>
      <c r="C50" s="20" t="s">
        <v>1025</v>
      </c>
      <c r="D50" s="20" t="s">
        <v>1026</v>
      </c>
      <c r="E50" s="20" t="s">
        <v>1027</v>
      </c>
    </row>
    <row r="51" spans="1:5">
      <c r="A51" s="15" t="s">
        <v>1028</v>
      </c>
      <c r="B51" s="15" t="s">
        <v>1029</v>
      </c>
      <c r="C51" s="15" t="s">
        <v>1030</v>
      </c>
      <c r="D51" s="15" t="s">
        <v>1031</v>
      </c>
      <c r="E51" s="15" t="s">
        <v>1032</v>
      </c>
    </row>
    <row r="52" spans="1:5">
      <c r="A52" s="15" t="s">
        <v>1033</v>
      </c>
      <c r="B52" s="15" t="s">
        <v>1034</v>
      </c>
      <c r="C52" s="15" t="s">
        <v>1035</v>
      </c>
      <c r="D52" s="15" t="s">
        <v>1036</v>
      </c>
      <c r="E52" s="15" t="s">
        <v>1037</v>
      </c>
    </row>
    <row r="53" spans="1:5">
      <c r="A53" s="15" t="s">
        <v>1038</v>
      </c>
      <c r="B53" s="20" t="s">
        <v>648</v>
      </c>
      <c r="C53" s="20" t="s">
        <v>834</v>
      </c>
      <c r="D53" s="20" t="s">
        <v>841</v>
      </c>
      <c r="E53" s="20" t="s">
        <v>941</v>
      </c>
    </row>
    <row r="54" spans="1:5">
      <c r="A54" s="15" t="s">
        <v>1039</v>
      </c>
      <c r="B54" s="15" t="s">
        <v>850</v>
      </c>
      <c r="C54" s="15" t="s">
        <v>852</v>
      </c>
      <c r="D54" s="15" t="s">
        <v>849</v>
      </c>
      <c r="E54" s="15" t="s">
        <v>851</v>
      </c>
    </row>
    <row r="55" spans="1:5">
      <c r="A55" s="15" t="s">
        <v>1040</v>
      </c>
      <c r="B55" s="15" t="s">
        <v>1041</v>
      </c>
      <c r="C55" s="15" t="s">
        <v>1042</v>
      </c>
      <c r="D55" s="15" t="s">
        <v>1043</v>
      </c>
      <c r="E55" s="15" t="s">
        <v>1044</v>
      </c>
    </row>
    <row r="56" spans="1:5">
      <c r="A56" s="15" t="s">
        <v>1045</v>
      </c>
      <c r="B56" s="15" t="s">
        <v>1046</v>
      </c>
      <c r="C56" s="15" t="s">
        <v>1047</v>
      </c>
      <c r="D56" s="15" t="s">
        <v>1048</v>
      </c>
      <c r="E56" s="15" t="s">
        <v>1049</v>
      </c>
    </row>
    <row r="57" spans="1:5">
      <c r="A57" s="15" t="s">
        <v>1050</v>
      </c>
      <c r="B57" s="15" t="s">
        <v>1051</v>
      </c>
      <c r="C57" s="15" t="s">
        <v>1052</v>
      </c>
      <c r="D57" s="15" t="s">
        <v>1053</v>
      </c>
      <c r="E57" s="15" t="s">
        <v>1054</v>
      </c>
    </row>
    <row r="58" spans="1:5">
      <c r="A58" s="15" t="s">
        <v>1055</v>
      </c>
      <c r="B58" s="20" t="s">
        <v>575</v>
      </c>
      <c r="C58" s="20" t="s">
        <v>903</v>
      </c>
      <c r="D58" s="20" t="s">
        <v>574</v>
      </c>
      <c r="E58" s="20" t="s">
        <v>817</v>
      </c>
    </row>
    <row r="59" spans="1:5">
      <c r="A59" s="15" t="s">
        <v>1056</v>
      </c>
      <c r="B59" s="15" t="s">
        <v>873</v>
      </c>
      <c r="C59" s="15" t="s">
        <v>872</v>
      </c>
      <c r="D59" s="15" t="s">
        <v>983</v>
      </c>
      <c r="E59" s="15" t="s">
        <v>1057</v>
      </c>
    </row>
    <row r="60" spans="1:5">
      <c r="A60" s="15" t="s">
        <v>1058</v>
      </c>
      <c r="B60" s="15" t="s">
        <v>1059</v>
      </c>
      <c r="C60" s="15" t="s">
        <v>1060</v>
      </c>
      <c r="D60" s="15" t="s">
        <v>1061</v>
      </c>
      <c r="E60" s="15" t="s">
        <v>1062</v>
      </c>
    </row>
    <row r="61" spans="1:5">
      <c r="A61" s="15" t="s">
        <v>1063</v>
      </c>
      <c r="B61" s="15" t="s">
        <v>1064</v>
      </c>
      <c r="C61" s="15" t="s">
        <v>956</v>
      </c>
      <c r="D61" s="15" t="s">
        <v>1065</v>
      </c>
      <c r="E61" s="15" t="s">
        <v>1066</v>
      </c>
    </row>
    <row r="62" spans="1:5">
      <c r="A62" s="15" t="s">
        <v>1067</v>
      </c>
      <c r="B62" s="15" t="s">
        <v>1068</v>
      </c>
      <c r="C62" s="15" t="s">
        <v>1069</v>
      </c>
      <c r="D62" s="15" t="s">
        <v>1070</v>
      </c>
      <c r="E62" s="15" t="s">
        <v>1071</v>
      </c>
    </row>
    <row r="63" spans="1:5">
      <c r="A63" s="15" t="s">
        <v>1072</v>
      </c>
      <c r="B63" s="20" t="s">
        <v>648</v>
      </c>
      <c r="C63" s="20" t="s">
        <v>646</v>
      </c>
      <c r="D63" s="20" t="s">
        <v>833</v>
      </c>
      <c r="E63" s="20" t="s">
        <v>1073</v>
      </c>
    </row>
    <row r="64" spans="1:5">
      <c r="A64" s="15" t="s">
        <v>1074</v>
      </c>
      <c r="B64" s="15" t="s">
        <v>856</v>
      </c>
      <c r="C64" s="15" t="s">
        <v>1075</v>
      </c>
      <c r="D64" s="15" t="s">
        <v>1076</v>
      </c>
      <c r="E64" s="15" t="s">
        <v>1077</v>
      </c>
    </row>
    <row r="65" spans="1:5">
      <c r="A65" s="15" t="s">
        <v>1078</v>
      </c>
      <c r="B65" s="15" t="s">
        <v>1079</v>
      </c>
      <c r="C65" s="15" t="s">
        <v>1080</v>
      </c>
      <c r="D65" s="15" t="s">
        <v>1081</v>
      </c>
      <c r="E65" s="15" t="s">
        <v>1082</v>
      </c>
    </row>
    <row r="66" spans="1:5">
      <c r="A66" s="15" t="s">
        <v>1083</v>
      </c>
      <c r="B66" s="15" t="s">
        <v>1084</v>
      </c>
      <c r="C66" s="15" t="s">
        <v>1085</v>
      </c>
      <c r="D66" s="15" t="s">
        <v>1086</v>
      </c>
      <c r="E66" s="15" t="s">
        <v>1087</v>
      </c>
    </row>
    <row r="67" spans="1:5">
      <c r="A67" s="15" t="s">
        <v>1088</v>
      </c>
      <c r="B67" s="15" t="s">
        <v>1052</v>
      </c>
      <c r="C67" s="15" t="s">
        <v>1089</v>
      </c>
      <c r="D67" s="15" t="s">
        <v>1090</v>
      </c>
      <c r="E67" s="15" t="s">
        <v>1091</v>
      </c>
    </row>
    <row r="68" spans="1:5">
      <c r="A68" s="15" t="s">
        <v>1092</v>
      </c>
      <c r="B68" s="15" t="s">
        <v>860</v>
      </c>
      <c r="C68" s="15" t="s">
        <v>861</v>
      </c>
      <c r="D68" s="15" t="s">
        <v>859</v>
      </c>
      <c r="E68" s="15" t="s">
        <v>1093</v>
      </c>
    </row>
    <row r="69" spans="1:5">
      <c r="A69" s="15" t="s">
        <v>1094</v>
      </c>
      <c r="B69" s="15" t="s">
        <v>1095</v>
      </c>
      <c r="C69" s="20" t="s">
        <v>213</v>
      </c>
      <c r="D69" s="20" t="s">
        <v>296</v>
      </c>
      <c r="E69" s="20" t="s">
        <v>183</v>
      </c>
    </row>
    <row r="70" spans="1:5">
      <c r="A70" s="15" t="s">
        <v>1096</v>
      </c>
      <c r="B70" s="15" t="s">
        <v>1097</v>
      </c>
      <c r="C70" s="15" t="s">
        <v>1098</v>
      </c>
      <c r="D70" s="15" t="s">
        <v>1099</v>
      </c>
      <c r="E70" s="15" t="s">
        <v>1100</v>
      </c>
    </row>
    <row r="71" spans="1:5">
      <c r="A71" s="15" t="s">
        <v>1101</v>
      </c>
      <c r="B71" s="15" t="s">
        <v>1102</v>
      </c>
      <c r="C71" s="15" t="s">
        <v>1103</v>
      </c>
      <c r="D71" s="15" t="s">
        <v>1104</v>
      </c>
      <c r="E71" s="15" t="s">
        <v>1105</v>
      </c>
    </row>
    <row r="72" spans="1:5">
      <c r="A72" s="15" t="s">
        <v>1106</v>
      </c>
      <c r="B72" s="15" t="s">
        <v>849</v>
      </c>
      <c r="C72" s="15" t="s">
        <v>850</v>
      </c>
      <c r="D72" s="15" t="s">
        <v>851</v>
      </c>
      <c r="E72" s="15" t="s">
        <v>878</v>
      </c>
    </row>
    <row r="73" spans="1:5">
      <c r="A73" s="15" t="s">
        <v>1107</v>
      </c>
      <c r="B73" s="15" t="s">
        <v>1108</v>
      </c>
      <c r="C73" s="15" t="s">
        <v>1109</v>
      </c>
      <c r="D73" s="15" t="s">
        <v>1110</v>
      </c>
      <c r="E73" s="15" t="s">
        <v>1111</v>
      </c>
    </row>
    <row r="74" spans="1:5">
      <c r="A74" s="15" t="s">
        <v>1112</v>
      </c>
      <c r="B74" s="15" t="s">
        <v>1113</v>
      </c>
      <c r="C74" s="15" t="s">
        <v>1114</v>
      </c>
      <c r="D74" s="15" t="s">
        <v>1115</v>
      </c>
      <c r="E74" s="15" t="s">
        <v>1116</v>
      </c>
    </row>
    <row r="75" spans="1:5">
      <c r="A75" s="15" t="s">
        <v>1117</v>
      </c>
      <c r="B75" s="15" t="s">
        <v>889</v>
      </c>
      <c r="C75" s="15" t="s">
        <v>1118</v>
      </c>
      <c r="D75" s="15" t="s">
        <v>1119</v>
      </c>
      <c r="E75" s="15" t="s">
        <v>1120</v>
      </c>
    </row>
    <row r="76" spans="1:5">
      <c r="A76" s="15" t="s">
        <v>1121</v>
      </c>
      <c r="B76" s="15" t="s">
        <v>1122</v>
      </c>
      <c r="C76" s="15" t="s">
        <v>1123</v>
      </c>
      <c r="D76" s="15" t="s">
        <v>1124</v>
      </c>
      <c r="E76" s="15" t="s">
        <v>1125</v>
      </c>
    </row>
    <row r="77" spans="1:5">
      <c r="A77" s="15" t="s">
        <v>1126</v>
      </c>
      <c r="B77" s="15" t="s">
        <v>1127</v>
      </c>
      <c r="C77" s="15" t="s">
        <v>1128</v>
      </c>
      <c r="D77" s="15" t="s">
        <v>1129</v>
      </c>
      <c r="E77" s="15" t="s">
        <v>1130</v>
      </c>
    </row>
    <row r="78" spans="1:5">
      <c r="A78" s="15" t="s">
        <v>1131</v>
      </c>
      <c r="B78" s="20" t="s">
        <v>1132</v>
      </c>
      <c r="C78" s="20" t="s">
        <v>841</v>
      </c>
      <c r="D78" s="20" t="s">
        <v>842</v>
      </c>
      <c r="E78" s="20" t="s">
        <v>1133</v>
      </c>
    </row>
    <row r="79" spans="1:5">
      <c r="A79" s="15" t="s">
        <v>1134</v>
      </c>
      <c r="B79" s="15" t="s">
        <v>1135</v>
      </c>
      <c r="C79" s="15" t="s">
        <v>1136</v>
      </c>
      <c r="D79" s="15" t="s">
        <v>852</v>
      </c>
      <c r="E79" s="15" t="s">
        <v>1137</v>
      </c>
    </row>
    <row r="80" spans="1:5">
      <c r="A80" s="15" t="s">
        <v>1138</v>
      </c>
      <c r="B80" s="15" t="s">
        <v>1139</v>
      </c>
      <c r="C80" s="15" t="s">
        <v>1140</v>
      </c>
      <c r="D80" s="15" t="s">
        <v>1141</v>
      </c>
      <c r="E80" s="15" t="s">
        <v>1142</v>
      </c>
    </row>
    <row r="81" spans="1:5">
      <c r="A81" s="15" t="s">
        <v>1143</v>
      </c>
      <c r="B81" s="15" t="s">
        <v>1144</v>
      </c>
      <c r="C81" s="15" t="s">
        <v>1145</v>
      </c>
      <c r="D81" s="15" t="s">
        <v>1146</v>
      </c>
      <c r="E81" s="15" t="s">
        <v>1147</v>
      </c>
    </row>
    <row r="82" spans="1:5">
      <c r="A82" s="15" t="s">
        <v>1148</v>
      </c>
      <c r="B82" s="20" t="s">
        <v>648</v>
      </c>
      <c r="C82" s="20" t="s">
        <v>902</v>
      </c>
      <c r="D82" s="20" t="s">
        <v>901</v>
      </c>
      <c r="E82" s="20" t="s">
        <v>941</v>
      </c>
    </row>
    <row r="83" spans="1:5">
      <c r="A83" s="15" t="s">
        <v>1149</v>
      </c>
      <c r="B83" s="15" t="s">
        <v>1150</v>
      </c>
      <c r="C83" s="15" t="s">
        <v>1151</v>
      </c>
      <c r="D83" s="15" t="s">
        <v>1152</v>
      </c>
      <c r="E83" s="15" t="s">
        <v>1153</v>
      </c>
    </row>
    <row r="84" spans="1:5">
      <c r="A84" s="15" t="s">
        <v>1154</v>
      </c>
      <c r="B84" s="15" t="s">
        <v>897</v>
      </c>
      <c r="C84" s="15" t="s">
        <v>1155</v>
      </c>
      <c r="D84" s="15" t="s">
        <v>1156</v>
      </c>
      <c r="E84" s="15" t="s">
        <v>1157</v>
      </c>
    </row>
    <row r="85" spans="1:5">
      <c r="A85" s="15" t="s">
        <v>1158</v>
      </c>
      <c r="B85" s="15" t="s">
        <v>987</v>
      </c>
      <c r="C85" s="15" t="s">
        <v>1159</v>
      </c>
      <c r="D85" s="15" t="s">
        <v>985</v>
      </c>
      <c r="E85" s="15" t="s">
        <v>1160</v>
      </c>
    </row>
    <row r="86" spans="1:5">
      <c r="A86" s="15" t="s">
        <v>1161</v>
      </c>
      <c r="B86" s="15" t="s">
        <v>1162</v>
      </c>
      <c r="C86" s="15" t="s">
        <v>1163</v>
      </c>
      <c r="D86" s="15" t="s">
        <v>1164</v>
      </c>
      <c r="E86" s="15" t="s">
        <v>1165</v>
      </c>
    </row>
    <row r="87" spans="1:5">
      <c r="A87" s="15" t="s">
        <v>1166</v>
      </c>
      <c r="B87" s="15" t="s">
        <v>1167</v>
      </c>
      <c r="C87" s="15" t="s">
        <v>1168</v>
      </c>
      <c r="D87" s="15" t="s">
        <v>1169</v>
      </c>
      <c r="E87" s="15" t="s">
        <v>1170</v>
      </c>
    </row>
    <row r="88" spans="1:5">
      <c r="A88" s="15" t="s">
        <v>1171</v>
      </c>
      <c r="B88" s="15" t="s">
        <v>1172</v>
      </c>
      <c r="C88" s="20" t="s">
        <v>296</v>
      </c>
      <c r="D88" s="20" t="s">
        <v>931</v>
      </c>
      <c r="E88" s="20" t="s">
        <v>183</v>
      </c>
    </row>
    <row r="89" spans="1:5">
      <c r="A89" s="15" t="s">
        <v>1173</v>
      </c>
      <c r="B89" s="15" t="s">
        <v>856</v>
      </c>
      <c r="C89" s="15" t="s">
        <v>1174</v>
      </c>
      <c r="D89" s="15" t="s">
        <v>1175</v>
      </c>
      <c r="E89" s="15" t="s">
        <v>1176</v>
      </c>
    </row>
    <row r="90" spans="1:5">
      <c r="A90" s="15" t="s">
        <v>1177</v>
      </c>
      <c r="B90" s="15" t="s">
        <v>1178</v>
      </c>
      <c r="C90" s="15" t="s">
        <v>876</v>
      </c>
      <c r="D90" s="15" t="s">
        <v>851</v>
      </c>
      <c r="E90" s="15" t="s">
        <v>878</v>
      </c>
    </row>
    <row r="91" spans="1:5">
      <c r="A91" s="15" t="s">
        <v>1179</v>
      </c>
      <c r="B91" s="15" t="s">
        <v>1180</v>
      </c>
      <c r="C91" s="15" t="s">
        <v>1181</v>
      </c>
      <c r="D91" s="15" t="s">
        <v>1182</v>
      </c>
      <c r="E91" s="15" t="s">
        <v>1183</v>
      </c>
    </row>
    <row r="92" spans="1:5">
      <c r="A92" s="15" t="s">
        <v>1184</v>
      </c>
      <c r="B92" s="15" t="s">
        <v>1185</v>
      </c>
      <c r="C92" s="15" t="s">
        <v>1186</v>
      </c>
      <c r="D92" s="15" t="s">
        <v>1187</v>
      </c>
      <c r="E92" s="15" t="s">
        <v>1188</v>
      </c>
    </row>
    <row r="93" spans="1:5">
      <c r="A93" s="15" t="s">
        <v>1189</v>
      </c>
      <c r="B93" s="15" t="s">
        <v>1190</v>
      </c>
      <c r="C93" s="15" t="s">
        <v>1191</v>
      </c>
      <c r="D93" s="15" t="s">
        <v>1192</v>
      </c>
      <c r="E93" s="15" t="s">
        <v>1193</v>
      </c>
    </row>
    <row r="94" spans="1:5">
      <c r="A94" s="15" t="s">
        <v>1194</v>
      </c>
      <c r="B94" s="15" t="s">
        <v>1065</v>
      </c>
      <c r="C94" s="15" t="s">
        <v>956</v>
      </c>
      <c r="D94" s="15" t="s">
        <v>1064</v>
      </c>
      <c r="E94" s="15" t="s">
        <v>1195</v>
      </c>
    </row>
    <row r="95" spans="1:5">
      <c r="A95" s="15" t="s">
        <v>1196</v>
      </c>
      <c r="B95" s="15" t="s">
        <v>1197</v>
      </c>
      <c r="C95" s="15" t="s">
        <v>1198</v>
      </c>
      <c r="D95" s="15" t="s">
        <v>1199</v>
      </c>
      <c r="E95" s="15" t="s">
        <v>1200</v>
      </c>
    </row>
    <row r="96" spans="1:5">
      <c r="A96" s="15" t="s">
        <v>1201</v>
      </c>
      <c r="B96" s="20" t="s">
        <v>173</v>
      </c>
      <c r="C96" s="20" t="s">
        <v>172</v>
      </c>
      <c r="D96" s="20" t="s">
        <v>175</v>
      </c>
      <c r="E96" s="15" t="s">
        <v>1202</v>
      </c>
    </row>
    <row r="97" spans="1:5">
      <c r="A97" s="15" t="s">
        <v>1203</v>
      </c>
      <c r="B97" s="15" t="s">
        <v>1065</v>
      </c>
      <c r="C97" s="15" t="s">
        <v>1064</v>
      </c>
      <c r="D97" s="15" t="s">
        <v>1195</v>
      </c>
      <c r="E97" s="15" t="s">
        <v>1204</v>
      </c>
    </row>
    <row r="98" spans="1:5">
      <c r="A98" s="15" t="s">
        <v>1205</v>
      </c>
      <c r="B98" s="15" t="s">
        <v>1206</v>
      </c>
      <c r="C98" s="15" t="s">
        <v>1207</v>
      </c>
      <c r="D98" s="15" t="s">
        <v>1208</v>
      </c>
      <c r="E98" s="15" t="s">
        <v>1209</v>
      </c>
    </row>
    <row r="99" spans="1:5">
      <c r="A99" s="15" t="s">
        <v>1210</v>
      </c>
      <c r="B99" s="15" t="s">
        <v>1211</v>
      </c>
      <c r="C99" s="15" t="s">
        <v>1212</v>
      </c>
      <c r="D99" s="15" t="s">
        <v>1213</v>
      </c>
      <c r="E99" s="15" t="s">
        <v>1214</v>
      </c>
    </row>
    <row r="100" spans="1:5">
      <c r="A100" s="15" t="s">
        <v>1215</v>
      </c>
      <c r="B100" s="15" t="s">
        <v>1216</v>
      </c>
      <c r="C100" s="15" t="s">
        <v>1217</v>
      </c>
      <c r="D100" s="15" t="s">
        <v>1218</v>
      </c>
      <c r="E100" s="15" t="s">
        <v>1219</v>
      </c>
    </row>
    <row r="101" spans="1:5">
      <c r="A101" s="15" t="s">
        <v>1220</v>
      </c>
      <c r="B101" s="15" t="s">
        <v>913</v>
      </c>
      <c r="C101" s="15" t="s">
        <v>1221</v>
      </c>
      <c r="D101" s="15" t="s">
        <v>1222</v>
      </c>
      <c r="E101" s="15" t="s">
        <v>1223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1"/>
  <sheetViews>
    <sheetView workbookViewId="0"/>
  </sheetViews>
  <sheetFormatPr defaultColWidth="12.5703125" defaultRowHeight="15.75" customHeight="1"/>
  <cols>
    <col min="1" max="1" width="95.5703125" customWidth="1"/>
    <col min="2" max="2" width="24.85546875" customWidth="1"/>
    <col min="3" max="5" width="26" customWidth="1"/>
  </cols>
  <sheetData>
    <row r="1" spans="1:26">
      <c r="A1" s="13" t="s">
        <v>0</v>
      </c>
      <c r="B1" s="13" t="s">
        <v>1</v>
      </c>
      <c r="C1" s="13" t="s">
        <v>2</v>
      </c>
      <c r="D1" s="13" t="s">
        <v>3</v>
      </c>
      <c r="E1" s="13" t="s">
        <v>4</v>
      </c>
      <c r="F1" s="13"/>
      <c r="G1" s="13"/>
      <c r="H1" s="13"/>
      <c r="I1" s="13"/>
      <c r="J1" s="13"/>
      <c r="K1" s="13"/>
      <c r="L1" s="13"/>
      <c r="M1" s="13"/>
      <c r="N1" s="13"/>
      <c r="O1" s="13"/>
      <c r="P1" s="13"/>
      <c r="Q1" s="13"/>
      <c r="R1" s="13"/>
      <c r="S1" s="13"/>
      <c r="T1" s="13"/>
      <c r="U1" s="13"/>
      <c r="V1" s="13"/>
      <c r="W1" s="13"/>
      <c r="X1" s="13"/>
      <c r="Y1" s="13"/>
      <c r="Z1" s="13"/>
    </row>
    <row r="2" spans="1:26">
      <c r="A2" s="15" t="str">
        <f ca="1">IFERROR(__xludf.DUMMYFUNCTION("GOOGLETRANSLATE(Fortnite!A2,""ru"",""en"")"),"What year was the Battle Royale version of Fortnite released?")</f>
        <v>What year was the Battle Royale version of Fortnite released?</v>
      </c>
      <c r="B2" s="15" t="str">
        <f ca="1">IFERROR(__xludf.DUMMYFUNCTION("GOOGLETRANSLATE(Fortnite!B2,""ru"",""en"")"),"2017")</f>
        <v>2017</v>
      </c>
      <c r="C2" s="15" t="str">
        <f ca="1">IFERROR(__xludf.DUMMYFUNCTION("GOOGLETRANSLATE(Fortnite!C2,""ru"",""en"")"),"2016")</f>
        <v>2016</v>
      </c>
      <c r="D2" s="15" t="str">
        <f ca="1">IFERROR(__xludf.DUMMYFUNCTION("GOOGLETRANSLATE(Fortnite!D2,""ru"",""en"")"),"2018")</f>
        <v>2018</v>
      </c>
      <c r="E2" s="15" t="str">
        <f ca="1">IFERROR(__xludf.DUMMYFUNCTION("GOOGLETRANSLATE(Fortnite!E2,""ru"",""en"")"),"2019")</f>
        <v>2019</v>
      </c>
    </row>
    <row r="3" spans="1:26">
      <c r="A3" s="15" t="str">
        <f ca="1">IFERROR(__xludf.DUMMYFUNCTION("GOOGLETRANSLATE(Fortnite!A3,""ru"",""en"")"),"Which company developed Fortnite?")</f>
        <v>Which company developed Fortnite?</v>
      </c>
      <c r="B3" s="15" t="str">
        <f ca="1">IFERROR(__xludf.DUMMYFUNCTION("GOOGLETRANSLATE(Fortnite!B3,""ru"",""en"")"),"Epic Games")</f>
        <v>Epic Games</v>
      </c>
      <c r="C3" s="15" t="str">
        <f ca="1">IFERROR(__xludf.DUMMYFUNCTION("GOOGLETRANSLATE(Fortnite!C3,""ru"",""en"")"),"Activision")</f>
        <v>Activision</v>
      </c>
      <c r="D3" s="15" t="str">
        <f ca="1">IFERROR(__xludf.DUMMYFUNCTION("GOOGLETRANSLATE(Fortnite!D3,""ru"",""en"")"),"EA Games")</f>
        <v>EA Games</v>
      </c>
      <c r="E3" s="15" t="str">
        <f ca="1">IFERROR(__xludf.DUMMYFUNCTION("GOOGLETRANSLATE(Fortnite!E3,""ru"",""en"")"),"Ubisoft")</f>
        <v>Ubisoft</v>
      </c>
    </row>
    <row r="4" spans="1:26">
      <c r="A4" s="15" t="str">
        <f ca="1">IFERROR(__xludf.DUMMYFUNCTION("GOOGLETRANSLATE(Fortnite!A4,""ru"",""en"")"),"What is the name of the bus that players jump off of at the start of the match?")</f>
        <v>What is the name of the bus that players jump off of at the start of the match?</v>
      </c>
      <c r="B4" s="15" t="str">
        <f ca="1">IFERROR(__xludf.DUMMYFUNCTION("GOOGLETRANSLATE(Fortnite!B4,""ru"",""en"")"),"Battle Bus")</f>
        <v>Battle Bus</v>
      </c>
      <c r="C4" s="15" t="str">
        <f ca="1">IFERROR(__xludf.DUMMYFUNCTION("GOOGLETRANSLATE(Fortnite!C4,""ru"",""en"")"),"War Bus")</f>
        <v>War Bus</v>
      </c>
      <c r="D4" s="15" t="str">
        <f ca="1">IFERROR(__xludf.DUMMYFUNCTION("GOOGLETRANSLATE(Fortnite!D4,""ru"",""en"")"),"Sky Bus")</f>
        <v>Sky Bus</v>
      </c>
      <c r="E4" s="15" t="str">
        <f ca="1">IFERROR(__xludf.DUMMYFUNCTION("GOOGLETRANSLATE(Fortnite!E4,""ru"",""en"")"),"Storm Bus")</f>
        <v>Storm Bus</v>
      </c>
    </row>
    <row r="5" spans="1:26">
      <c r="A5" s="15" t="str">
        <f ca="1">IFERROR(__xludf.DUMMYFUNCTION("GOOGLETRANSLATE(Fortnite!A5,""ru"",""en"")"),"What is the maximum number of players allowed in a single Battle Royale match?")</f>
        <v>What is the maximum number of players allowed in a single Battle Royale match?</v>
      </c>
      <c r="B5" s="15" t="str">
        <f ca="1">IFERROR(__xludf.DUMMYFUNCTION("GOOGLETRANSLATE(Fortnite!B5,""ru"",""en"")"),"100")</f>
        <v>100</v>
      </c>
      <c r="C5" s="15" t="str">
        <f ca="1">IFERROR(__xludf.DUMMYFUNCTION("GOOGLETRANSLATE(Fortnite!C5,""ru"",""en"")"),"99")</f>
        <v>99</v>
      </c>
      <c r="D5" s="15" t="str">
        <f ca="1">IFERROR(__xludf.DUMMYFUNCTION("GOOGLETRANSLATE(Fortnite!D5,""ru"",""en"")"),"120")</f>
        <v>120</v>
      </c>
      <c r="E5" s="15" t="str">
        <f ca="1">IFERROR(__xludf.DUMMYFUNCTION("GOOGLETRANSLATE(Fortnite!E5,""ru"",""en"")"),"150")</f>
        <v>150</v>
      </c>
    </row>
    <row r="6" spans="1:26">
      <c r="A6" s="15" t="str">
        <f ca="1">IFERROR(__xludf.DUMMYFUNCTION("GOOGLETRANSLATE(Fortnite!A6,""ru"",""en"")"),"What is the name of the phenomenon that compresses the playing area?")</f>
        <v>What is the name of the phenomenon that compresses the playing area?</v>
      </c>
      <c r="B6" s="15" t="str">
        <f ca="1">IFERROR(__xludf.DUMMYFUNCTION("GOOGLETRANSLATE(Fortnite!B6,""ru"",""en"")"),"Storm")</f>
        <v>Storm</v>
      </c>
      <c r="C6" s="15" t="s">
        <v>1224</v>
      </c>
      <c r="D6" s="15" t="str">
        <f ca="1">IFERROR(__xludf.DUMMYFUNCTION("GOOGLETRANSLATE(Fortnite!D6,""ru"",""en"")"),"Fog")</f>
        <v>Fog</v>
      </c>
      <c r="E6" s="15" t="str">
        <f ca="1">IFERROR(__xludf.DUMMYFUNCTION("GOOGLETRANSLATE(Fortnite!E6,""ru"",""en"")"),"Cyclone")</f>
        <v>Cyclone</v>
      </c>
    </row>
    <row r="7" spans="1:26">
      <c r="A7" s="15" t="str">
        <f ca="1">IFERROR(__xludf.DUMMYFUNCTION("GOOGLETRANSLATE(Fortnite!A7,""ru"",""en"")"),"What is the maximum shield level a player can have?")</f>
        <v>What is the maximum shield level a player can have?</v>
      </c>
      <c r="B7" s="15" t="str">
        <f ca="1">IFERROR(__xludf.DUMMYFUNCTION("GOOGLETRANSLATE(Fortnite!B7,""ru"",""en"")"),"100")</f>
        <v>100</v>
      </c>
      <c r="C7" s="15" t="str">
        <f ca="1">IFERROR(__xludf.DUMMYFUNCTION("GOOGLETRANSLATE(Fortnite!C7,""ru"",""en"")"),"150")</f>
        <v>150</v>
      </c>
      <c r="D7" s="15" t="str">
        <f ca="1">IFERROR(__xludf.DUMMYFUNCTION("GOOGLETRANSLATE(Fortnite!D7,""ru"",""en"")"),"200")</f>
        <v>200</v>
      </c>
      <c r="E7" s="15" t="str">
        <f ca="1">IFERROR(__xludf.DUMMYFUNCTION("GOOGLETRANSLATE(Fortnite!E7,""ru"",""en"")"),"250")</f>
        <v>250</v>
      </c>
    </row>
    <row r="8" spans="1:26">
      <c r="A8" s="15" t="str">
        <f ca="1">IFERROR(__xludf.DUMMYFUNCTION("GOOGLETRANSLATE(Fortnite!A8,""ru"",""en"")"),"Which weapon has the highest damage per headshot among sniper rifles?")</f>
        <v>Which weapon has the highest damage per headshot among sniper rifles?</v>
      </c>
      <c r="B8" s="15" t="str">
        <f ca="1">IFERROR(__xludf.DUMMYFUNCTION("GOOGLETRANSLATE(Fortnite!B8,""ru"",""en"")"),"Heavy Sniper Rifle")</f>
        <v>Heavy Sniper Rifle</v>
      </c>
      <c r="C8" s="15" t="str">
        <f ca="1">IFERROR(__xludf.DUMMYFUNCTION("GOOGLETRANSLATE(Fortnite!C8,""ru"",""en"")"),"Bolt-Action Sniper Rifle")</f>
        <v>Bolt-Action Sniper Rifle</v>
      </c>
      <c r="D8" s="15" t="str">
        <f ca="1">IFERROR(__xludf.DUMMYFUNCTION("GOOGLETRANSLATE(Fortnite!D8,""ru"",""en"")"),"Semi-Auto Sniper Rifle")</f>
        <v>Semi-Auto Sniper Rifle</v>
      </c>
      <c r="E8" s="15" t="str">
        <f ca="1">IFERROR(__xludf.DUMMYFUNCTION("GOOGLETRANSLATE(Fortnite!E8,""ru"",""en"")"),"Hunting Rifle")</f>
        <v>Hunting Rifle</v>
      </c>
    </row>
    <row r="9" spans="1:26">
      <c r="A9" s="15" t="str">
        <f ca="1">IFERROR(__xludf.DUMMYFUNCTION("GOOGLETRANSLATE(Fortnite!A9,""ru"",""en"")"),"In which season did vehicles first appear?")</f>
        <v>In which season did vehicles first appear?</v>
      </c>
      <c r="B9" s="15" t="str">
        <f ca="1">IFERROR(__xludf.DUMMYFUNCTION("GOOGLETRANSLATE(Fortnite!B9,""ru"",""en"")"),"Season 5")</f>
        <v>Season 5</v>
      </c>
      <c r="C9" s="15" t="str">
        <f ca="1">IFERROR(__xludf.DUMMYFUNCTION("GOOGLETRANSLATE(Fortnite!C9,""ru"",""en"")"),"Season 4")</f>
        <v>Season 4</v>
      </c>
      <c r="D9" s="15" t="str">
        <f ca="1">IFERROR(__xludf.DUMMYFUNCTION("GOOGLETRANSLATE(Fortnite!D9,""ru"",""en"")"),"Season 6")</f>
        <v>Season 6</v>
      </c>
      <c r="E9" s="15" t="str">
        <f ca="1">IFERROR(__xludf.DUMMYFUNCTION("GOOGLETRANSLATE(Fortnite!E9,""ru"",""en"")"),"Season 3")</f>
        <v>Season 3</v>
      </c>
    </row>
    <row r="10" spans="1:26">
      <c r="A10" s="15" t="str">
        <f ca="1">IFERROR(__xludf.DUMMYFUNCTION("GOOGLETRANSLATE(Fortnite!A10,""ru"",""en"")"),"What is the name of the location added in Season 9 that was a futuristic city?")</f>
        <v>What is the name of the location added in Season 9 that was a futuristic city?</v>
      </c>
      <c r="B10" s="15" t="str">
        <f ca="1">IFERROR(__xludf.DUMMYFUNCTION("GOOGLETRANSLATE(Fortnite!B10,""ru"",""en"")"),"Neo Tilted")</f>
        <v>Neo Tilted</v>
      </c>
      <c r="C10" s="15" t="str">
        <f ca="1">IFERROR(__xludf.DUMMYFUNCTION("GOOGLETRANSLATE(Fortnite!C10,""ru"",""en"")"),"Mega Mall")</f>
        <v>Mega Mall</v>
      </c>
      <c r="D10" s="15" t="str">
        <f ca="1">IFERROR(__xludf.DUMMYFUNCTION("GOOGLETRANSLATE(Fortnite!D10,""ru"",""en"")"),"Pressure Plant")</f>
        <v>Pressure Plant</v>
      </c>
      <c r="E10" s="15" t="str">
        <f ca="1">IFERROR(__xludf.DUMMYFUNCTION("GOOGLETRANSLATE(Fortnite!E10,""ru"",""en"")"),"Sunny Steps")</f>
        <v>Sunny Steps</v>
      </c>
    </row>
    <row r="11" spans="1:26">
      <c r="A11" s="15" t="str">
        <f ca="1">IFERROR(__xludf.DUMMYFUNCTION("GOOGLETRANSLATE(Fortnite!A11,""ru"",""en"")"),"What building material has the greatest strength?")</f>
        <v>What building material has the greatest strength?</v>
      </c>
      <c r="B11" s="15" t="str">
        <f ca="1">IFERROR(__xludf.DUMMYFUNCTION("GOOGLETRANSLATE(Fortnite!B11,""ru"",""en"")"),"Metal")</f>
        <v>Metal</v>
      </c>
      <c r="C11" s="15" t="str">
        <f ca="1">IFERROR(__xludf.DUMMYFUNCTION("GOOGLETRANSLATE(Fortnite!C11,""ru"",""en"")"),"Tree")</f>
        <v>Tree</v>
      </c>
      <c r="D11" s="15" t="str">
        <f ca="1">IFERROR(__xludf.DUMMYFUNCTION("GOOGLETRANSLATE(Fortnite!D11,""ru"",""en"")"),"Stone")</f>
        <v>Stone</v>
      </c>
      <c r="E11" s="15" t="str">
        <f ca="1">IFERROR(__xludf.DUMMYFUNCTION("GOOGLETRANSLATE(Fortnite!E11,""ru"",""en"")"),"Brick")</f>
        <v>Brick</v>
      </c>
    </row>
    <row r="12" spans="1:26">
      <c r="A12" s="15" t="str">
        <f ca="1">IFERROR(__xludf.DUMMYFUNCTION("GOOGLETRANSLATE(Fortnite!A12,""ru"",""en"")"),"How many V-Bucks does the Battle Pass cost in the standard season?")</f>
        <v>How many V-Bucks does the Battle Pass cost in the standard season?</v>
      </c>
      <c r="B12" s="15" t="str">
        <f ca="1">IFERROR(__xludf.DUMMYFUNCTION("GOOGLETRANSLATE(Fortnite!B12,""ru"",""en"")"),"950")</f>
        <v>950</v>
      </c>
      <c r="C12" s="15" t="str">
        <f ca="1">IFERROR(__xludf.DUMMYFUNCTION("GOOGLETRANSLATE(Fortnite!C12,""ru"",""en"")"),"1000")</f>
        <v>1000</v>
      </c>
      <c r="D12" s="15" t="str">
        <f ca="1">IFERROR(__xludf.DUMMYFUNCTION("GOOGLETRANSLATE(Fortnite!D12,""ru"",""en"")"),"800")</f>
        <v>800</v>
      </c>
      <c r="E12" s="15" t="str">
        <f ca="1">IFERROR(__xludf.DUMMYFUNCTION("GOOGLETRANSLATE(Fortnite!E12,""ru"",""en"")"),"1200")</f>
        <v>1200</v>
      </c>
    </row>
    <row r="13" spans="1:26">
      <c r="A13" s="15" t="str">
        <f ca="1">IFERROR(__xludf.DUMMYFUNCTION("GOOGLETRANSLATE(Fortnite!A13,""ru"",""en"")"),"What is the name of the mode where players can create their own maps?")</f>
        <v>What is the name of the mode where players can create their own maps?</v>
      </c>
      <c r="B13" s="15" t="str">
        <f ca="1">IFERROR(__xludf.DUMMYFUNCTION("GOOGLETRANSLATE(Fortnite!B13,""ru"",""en"")"),"Creative")</f>
        <v>Creative</v>
      </c>
      <c r="C13" s="15" t="str">
        <f ca="1">IFERROR(__xludf.DUMMYFUNCTION("GOOGLETRANSLATE(Fortnite!C13,""ru"",""en"")"),"Playground")</f>
        <v>Playground</v>
      </c>
      <c r="D13" s="15" t="str">
        <f ca="1">IFERROR(__xludf.DUMMYFUNCTION("GOOGLETRANSLATE(Fortnite!D13,""ru"",""en"")"),"Sandbox")</f>
        <v>Sandbox</v>
      </c>
      <c r="E13" s="15" t="str">
        <f ca="1">IFERROR(__xludf.DUMMYFUNCTION("GOOGLETRANSLATE(Fortnite!E13,""ru"",""en"")"),"Builder")</f>
        <v>Builder</v>
      </c>
    </row>
    <row r="14" spans="1:26">
      <c r="A14" s="15" t="str">
        <f ca="1">IFERROR(__xludf.DUMMYFUNCTION("GOOGLETRANSLATE(Fortnite!A14,""ru"",""en"")"),"What weapon rarity is indicated by the color gold?")</f>
        <v>What weapon rarity is indicated by the color gold?</v>
      </c>
      <c r="B14" s="15" t="str">
        <f ca="1">IFERROR(__xludf.DUMMYFUNCTION("GOOGLETRANSLATE(Fortnite!B14,""ru"",""en"")"),"Legendary")</f>
        <v>Legendary</v>
      </c>
      <c r="C14" s="15" t="str">
        <f ca="1">IFERROR(__xludf.DUMMYFUNCTION("GOOGLETRANSLATE(Fortnite!C14,""ru"",""en"")"),"Epic")</f>
        <v>Epic</v>
      </c>
      <c r="D14" s="15" t="str">
        <f ca="1">IFERROR(__xludf.DUMMYFUNCTION("GOOGLETRANSLATE(Fortnite!D14,""ru"",""en"")"),"Rare")</f>
        <v>Rare</v>
      </c>
      <c r="E14" s="15" t="str">
        <f ca="1">IFERROR(__xludf.DUMMYFUNCTION("GOOGLETRANSLATE(Fortnite!E14,""ru"",""en"")"),"Mythic")</f>
        <v>Mythic</v>
      </c>
    </row>
    <row r="15" spans="1:26">
      <c r="A15" s="15" t="str">
        <f ca="1">IFERROR(__xludf.DUMMYFUNCTION("GOOGLETRANSLATE(Fortnite!A15,""ru"",""en"")"),"In which season was the Tilted Towers location destroyed?")</f>
        <v>In which season was the Tilted Towers location destroyed?</v>
      </c>
      <c r="B15" s="15" t="str">
        <f ca="1">IFERROR(__xludf.DUMMYFUNCTION("GOOGLETRANSLATE(Fortnite!B15,""ru"",""en"")"),"Season 8")</f>
        <v>Season 8</v>
      </c>
      <c r="C15" s="15" t="str">
        <f ca="1">IFERROR(__xludf.DUMMYFUNCTION("GOOGLETRANSLATE(Fortnite!C15,""ru"",""en"")"),"Season 9")</f>
        <v>Season 9</v>
      </c>
      <c r="D15" s="15" t="str">
        <f ca="1">IFERROR(__xludf.DUMMYFUNCTION("GOOGLETRANSLATE(Fortnite!D15,""ru"",""en"")"),"Season 7")</f>
        <v>Season 7</v>
      </c>
      <c r="E15" s="15" t="str">
        <f ca="1">IFERROR(__xludf.DUMMYFUNCTION("GOOGLETRANSLATE(Fortnite!E15,""ru"",""en"")"),"Season 10")</f>
        <v>Season 10</v>
      </c>
    </row>
    <row r="16" spans="1:26">
      <c r="A16" s="15" t="str">
        <f ca="1">IFERROR(__xludf.DUMMYFUNCTION("GOOGLETRANSLATE(Fortnite!A16,""ru"",""en"")"),"What is the name of the dance that became a meme and was added to the game as an emote?")</f>
        <v>What is the name of the dance that became a meme and was added to the game as an emote?</v>
      </c>
      <c r="B16" s="15" t="str">
        <f ca="1">IFERROR(__xludf.DUMMYFUNCTION("GOOGLETRANSLATE(Fortnite!B16,""ru"",""en"")"),"Floss")</f>
        <v>Floss</v>
      </c>
      <c r="C16" s="15" t="str">
        <f ca="1">IFERROR(__xludf.DUMMYFUNCTION("GOOGLETRANSLATE(Fortnite!C16,""ru"",""en"")"),"Orange Justice")</f>
        <v>Orange Justice</v>
      </c>
      <c r="D16" s="15" t="str">
        <f ca="1">IFERROR(__xludf.DUMMYFUNCTION("GOOGLETRANSLATE(Fortnite!D16,""ru"",""en"")"),"Take the L")</f>
        <v>Take the L</v>
      </c>
      <c r="E16" s="15" t="str">
        <f ca="1">IFERROR(__xludf.DUMMYFUNCTION("GOOGLETRANSLATE(Fortnite!E16,""ru"",""en"")"),"Best Mates")</f>
        <v>Best Mates</v>
      </c>
    </row>
    <row r="17" spans="1:5">
      <c r="A17" s="15" t="str">
        <f ca="1">IFERROR(__xludf.DUMMYFUNCTION("GOOGLETRANSLATE(Fortnite!A17,""ru"",""en"")"),"Which weapons were temporarily removed from the game due to too high damage?")</f>
        <v>Which weapons were temporarily removed from the game due to too high damage?</v>
      </c>
      <c r="B17" s="15" t="str">
        <f ca="1">IFERROR(__xludf.DUMMYFUNCTION("GOOGLETRANSLATE(Fortnite!B17,""ru"",""en"")"),"Infinity Blade")</f>
        <v>Infinity Blade</v>
      </c>
      <c r="C17" s="15" t="str">
        <f ca="1">IFERROR(__xludf.DUMMYFUNCTION("GOOGLETRANSLATE(Fortnite!C17,""ru"",""en"")"),"Drum Gun")</f>
        <v>Drum Gun</v>
      </c>
      <c r="D17" s="15" t="str">
        <f ca="1">IFERROR(__xludf.DUMMYFUNCTION("GOOGLETRANSLATE(Fortnite!D17,""ru"",""en"")"),"Combat Shotgun")</f>
        <v>Combat Shotgun</v>
      </c>
      <c r="E17" s="15" t="str">
        <f ca="1">IFERROR(__xludf.DUMMYFUNCTION("GOOGLETRANSLATE(Fortnite!E17,""ru"",""en"")"),"Boom Bow")</f>
        <v>Boom Bow</v>
      </c>
    </row>
    <row r="18" spans="1:5">
      <c r="A18" s="15" t="str">
        <f ca="1">IFERROR(__xludf.DUMMYFUNCTION("GOOGLETRANSLATE(Fortnite!A18,""ru"",""en"")"),"What is the name of the event that led to the end of Fortnite Chapter 1?")</f>
        <v>What is the name of the event that led to the end of Fortnite Chapter 1?</v>
      </c>
      <c r="B18" s="15" t="str">
        <f ca="1">IFERROR(__xludf.DUMMYFUNCTION("GOOGLETRANSLATE(Fortnite!B18,""ru"",""en"")"),"The End")</f>
        <v>The End</v>
      </c>
      <c r="C18" s="15" t="str">
        <f ca="1">IFERROR(__xludf.DUMMYFUNCTION("GOOGLETRANSLATE(Fortnite!C18,""ru"",""en"")"),"The Blackout")</f>
        <v>The Blackout</v>
      </c>
      <c r="D18" s="15" t="str">
        <f ca="1">IFERROR(__xludf.DUMMYFUNCTION("GOOGLETRANSLATE(Fortnite!D18,""ru"",""en"")"),"The Final Showdown")</f>
        <v>The Final Showdown</v>
      </c>
      <c r="E18" s="15" t="str">
        <f ca="1">IFERROR(__xludf.DUMMYFUNCTION("GOOGLETRANSLATE(Fortnite!E18,""ru"",""en"")"),"The Device")</f>
        <v>The Device</v>
      </c>
    </row>
    <row r="19" spans="1:5">
      <c r="A19" s="15" t="str">
        <f ca="1">IFERROR(__xludf.DUMMYFUNCTION("GOOGLETRANSLATE(Fortnite!A19,""ru"",""en"")"),"Which character is the main antagonist in Fortnite's story?")</f>
        <v>Which character is the main antagonist in Fortnite's story?</v>
      </c>
      <c r="B19" s="15" t="str">
        <f ca="1">IFERROR(__xludf.DUMMYFUNCTION("GOOGLETRANSLATE(Fortnite!B19,""ru"",""en"")"),"Geno")</f>
        <v>Geno</v>
      </c>
      <c r="C19" s="15" t="str">
        <f ca="1">IFERROR(__xludf.DUMMYFUNCTION("GOOGLETRANSLATE(Fortnite!C19,""ru"",""en"")"),"Midas")</f>
        <v>Midas</v>
      </c>
      <c r="D19" s="15" t="str">
        <f ca="1">IFERROR(__xludf.DUMMYFUNCTION("GOOGLETRANSLATE(Fortnite!D19,""ru"",""en"")"),"Doctor Doom")</f>
        <v>Doctor Doom</v>
      </c>
      <c r="E19" s="15" t="str">
        <f ca="1">IFERROR(__xludf.DUMMYFUNCTION("GOOGLETRANSLATE(Fortnite!E19,""ru"",""en"")"),"Galactus")</f>
        <v>Galactus</v>
      </c>
    </row>
    <row r="20" spans="1:5">
      <c r="A20" s="15" t="str">
        <f ca="1">IFERROR(__xludf.DUMMYFUNCTION("GOOGLETRANSLATE(Fortnite!A20,""ru"",""en"")"),"How much damage does a regular pickaxe do to structures?")</f>
        <v>How much damage does a regular pickaxe do to structures?</v>
      </c>
      <c r="B20" s="15" t="str">
        <f ca="1">IFERROR(__xludf.DUMMYFUNCTION("GOOGLETRANSLATE(Fortnite!B20,""ru"",""en"")"),"50")</f>
        <v>50</v>
      </c>
      <c r="C20" s="15" t="str">
        <f ca="1">IFERROR(__xludf.DUMMYFUNCTION("GOOGLETRANSLATE(Fortnite!C20,""ru"",""en"")"),"75")</f>
        <v>75</v>
      </c>
      <c r="D20" s="15" t="str">
        <f ca="1">IFERROR(__xludf.DUMMYFUNCTION("GOOGLETRANSLATE(Fortnite!D20,""ru"",""en"")"),"25")</f>
        <v>25</v>
      </c>
      <c r="E20" s="15" t="str">
        <f ca="1">IFERROR(__xludf.DUMMYFUNCTION("GOOGLETRANSLATE(Fortnite!E20,""ru"",""en"")"),"100")</f>
        <v>100</v>
      </c>
    </row>
    <row r="21" spans="1:5">
      <c r="A21" s="15" t="str">
        <f ca="1">IFERROR(__xludf.DUMMYFUNCTION("GOOGLETRANSLATE(Fortnite!A21,""ru"",""en"")"),"What is the name of the location that was the prison in the first seasons?")</f>
        <v>What is the name of the location that was the prison in the first seasons?</v>
      </c>
      <c r="B21" s="15" t="str">
        <f ca="1">IFERROR(__xludf.DUMMYFUNCTION("GOOGLETRANSLATE(Fortnite!B21,""ru"",""en"")"),"Moisty Mire")</f>
        <v>Moisty Mire</v>
      </c>
      <c r="C21" s="15" t="str">
        <f ca="1">IFERROR(__xludf.DUMMYFUNCTION("GOOGLETRANSLATE(Fortnite!C21,""ru"",""en"")"),"Wailing Woods")</f>
        <v>Wailing Woods</v>
      </c>
      <c r="D21" s="15" t="str">
        <f ca="1">IFERROR(__xludf.DUMMYFUNCTION("GOOGLETRANSLATE(Fortnite!D21,""ru"",""en"")"),"Prison")</f>
        <v>Prison</v>
      </c>
      <c r="E21" s="15" t="str">
        <f ca="1">IFERROR(__xludf.DUMMYFUNCTION("GOOGLETRANSLATE(Fortnite!E21,""ru"",""en"")"),"Junk Junction")</f>
        <v>Junk Junction</v>
      </c>
    </row>
    <row r="22" spans="1:5">
      <c r="A22" s="15" t="str">
        <f ca="1">IFERROR(__xludf.DUMMYFUNCTION("GOOGLETRANSLATE(Fortnite!A22,""ru"",""en"")"),"Which game mode allows you to respawn after death?")</f>
        <v>Which game mode allows you to respawn after death?</v>
      </c>
      <c r="B22" s="15" t="str">
        <f ca="1">IFERROR(__xludf.DUMMYFUNCTION("GOOGLETRANSLATE(Fortnite!B22,""ru"",""en"")"),"Team Rumble")</f>
        <v>Team Rumble</v>
      </c>
      <c r="C22" s="15" t="str">
        <f ca="1">IFERROR(__xludf.DUMMYFUNCTION("GOOGLETRANSLATE(Fortnite!C22,""ru"",""en"")"),"Solos")</f>
        <v>Solos</v>
      </c>
      <c r="D22" s="15" t="str">
        <f ca="1">IFERROR(__xludf.DUMMYFUNCTION("GOOGLETRANSLATE(Fortnite!D22,""ru"",""en"")"),"Duos")</f>
        <v>Duos</v>
      </c>
      <c r="E22" s="15" t="str">
        <f ca="1">IFERROR(__xludf.DUMMYFUNCTION("GOOGLETRANSLATE(Fortnite!E22,""ru"",""en"")"),"Arena")</f>
        <v>Arena</v>
      </c>
    </row>
    <row r="23" spans="1:5">
      <c r="A23" s="15" t="str">
        <f ca="1">IFERROR(__xludf.DUMMYFUNCTION("GOOGLETRANSLATE(Fortnite!A23,""ru"",""en"")"),"What is the name of the currency that can be earned in the Battle Pass?")</f>
        <v>What is the name of the currency that can be earned in the Battle Pass?</v>
      </c>
      <c r="B23" s="15" t="str">
        <f ca="1">IFERROR(__xludf.DUMMYFUNCTION("GOOGLETRANSLATE(Fortnite!B23,""ru"",""en"")"),"V-Bucks")</f>
        <v>V-Bucks</v>
      </c>
      <c r="C23" s="15" t="str">
        <f ca="1">IFERROR(__xludf.DUMMYFUNCTION("GOOGLETRANSLATE(Fortnite!C23,""ru"",""en"")"),"Battle Stars")</f>
        <v>Battle Stars</v>
      </c>
      <c r="D23" s="15" t="str">
        <f ca="1">IFERROR(__xludf.DUMMYFUNCTION("GOOGLETRANSLATE(Fortnite!D23,""ru"",""en"")"),"XP")</f>
        <v>XP</v>
      </c>
      <c r="E23" s="15" t="str">
        <f ca="1">IFERROR(__xludf.DUMMYFUNCTION("GOOGLETRANSLATE(Fortnite!E23,""ru"",""en"")"),"Gold")</f>
        <v>Gold</v>
      </c>
    </row>
    <row r="24" spans="1:5">
      <c r="A24" s="15" t="str">
        <f ca="1">IFERROR(__xludf.DUMMYFUNCTION("GOOGLETRANSLATE(Fortnite!A24,""ru"",""en"")"),"What location replaced Dusty Depot after the meteorite hit?")</f>
        <v>What location replaced Dusty Depot after the meteorite hit?</v>
      </c>
      <c r="B24" s="15" t="str">
        <f ca="1">IFERROR(__xludf.DUMMYFUNCTION("GOOGLETRANSLATE(Fortnite!B24,""ru"",""en"")"),"Dusty Divot")</f>
        <v>Dusty Divot</v>
      </c>
      <c r="C24" s="15" t="str">
        <f ca="1">IFERROR(__xludf.DUMMYFUNCTION("GOOGLETRANSLATE(Fortnite!C24,""ru"",""en"")"),"Dusty Diner")</f>
        <v>Dusty Diner</v>
      </c>
      <c r="D24" s="15" t="str">
        <f ca="1">IFERROR(__xludf.DUMMYFUNCTION("GOOGLETRANSLATE(Fortnite!D24,""ru"",""en"")"),"Dusty Hills")</f>
        <v>Dusty Hills</v>
      </c>
      <c r="E24" s="15" t="str">
        <f ca="1">IFERROR(__xludf.DUMMYFUNCTION("GOOGLETRANSLATE(Fortnite!E24,""ru"",""en"")"),"Dusty Valley")</f>
        <v>Dusty Valley</v>
      </c>
    </row>
    <row r="25" spans="1:5">
      <c r="A25" s="15" t="str">
        <f ca="1">IFERROR(__xludf.DUMMYFUNCTION("GOOGLETRANSLATE(Fortnite!A25,""ru"",""en"")"),"How many weapon and item slots does each player have?")</f>
        <v>How many weapon and item slots does each player have?</v>
      </c>
      <c r="B25" s="15" t="str">
        <f ca="1">IFERROR(__xludf.DUMMYFUNCTION("GOOGLETRANSLATE(Fortnite!B25,""ru"",""en"")"),"5")</f>
        <v>5</v>
      </c>
      <c r="C25" s="15" t="str">
        <f ca="1">IFERROR(__xludf.DUMMYFUNCTION("GOOGLETRANSLATE(Fortnite!C25,""ru"",""en"")"),"6")</f>
        <v>6</v>
      </c>
      <c r="D25" s="15" t="str">
        <f ca="1">IFERROR(__xludf.DUMMYFUNCTION("GOOGLETRANSLATE(Fortnite!D25,""ru"",""en"")"),"4")</f>
        <v>4</v>
      </c>
      <c r="E25" s="15" t="str">
        <f ca="1">IFERROR(__xludf.DUMMYFUNCTION("GOOGLETRANSLATE(Fortnite!E25,""ru"",""en"")"),"7")</f>
        <v>7</v>
      </c>
    </row>
    <row r="26" spans="1:5">
      <c r="A26" s="15" t="str">
        <f ca="1">IFERROR(__xludf.DUMMYFUNCTION("GOOGLETRANSLATE(Fortnite!A26,""ru"",""en"")"),"What is the name of the special type of chest that glows and contains better loot?")</f>
        <v>What is the name of the special type of chest that glows and contains better loot?</v>
      </c>
      <c r="B26" s="15" t="str">
        <f ca="1">IFERROR(__xludf.DUMMYFUNCTION("GOOGLETRANSLATE(Fortnite!B26,""ru"",""en"")"),"Supply Drop")</f>
        <v>Supply Drop</v>
      </c>
      <c r="C26" s="15" t="str">
        <f ca="1">IFERROR(__xludf.DUMMYFUNCTION("GOOGLETRANSLATE(Fortnite!C26,""ru"",""en"")"),"Legendary Chest")</f>
        <v>Legendary Chest</v>
      </c>
      <c r="D26" s="15" t="str">
        <f ca="1">IFERROR(__xludf.DUMMYFUNCTION("GOOGLETRANSLATE(Fortnite!D26,""ru"",""en"")"),"Epic Chest")</f>
        <v>Epic Chest</v>
      </c>
      <c r="E26" s="15" t="str">
        <f ca="1">IFERROR(__xludf.DUMMYFUNCTION("GOOGLETRANSLATE(Fortnite!E26,""ru"",""en"")"),"Rare Chest")</f>
        <v>Rare Chest</v>
      </c>
    </row>
    <row r="27" spans="1:5">
      <c r="A27" s="15" t="str">
        <f ca="1">IFERROR(__xludf.DUMMYFUNCTION("GOOGLETRANSLATE(Fortnite!A27,""ru"",""en"")"),"What is the maximum amount of materials of one type a player can carry?")</f>
        <v>What is the maximum amount of materials of one type a player can carry?</v>
      </c>
      <c r="B27" s="15" t="str">
        <f ca="1">IFERROR(__xludf.DUMMYFUNCTION("GOOGLETRANSLATE(Fortnite!B27,""ru"",""en"")"),"999")</f>
        <v>999</v>
      </c>
      <c r="C27" s="15" t="str">
        <f ca="1">IFERROR(__xludf.DUMMYFUNCTION("GOOGLETRANSLATE(Fortnite!C27,""ru"",""en"")"),"500")</f>
        <v>500</v>
      </c>
      <c r="D27" s="15" t="str">
        <f ca="1">IFERROR(__xludf.DUMMYFUNCTION("GOOGLETRANSLATE(Fortnite!D27,""ru"",""en"")"),"1500")</f>
        <v>1500</v>
      </c>
      <c r="E27" s="15" t="str">
        <f ca="1">IFERROR(__xludf.DUMMYFUNCTION("GOOGLETRANSLATE(Fortnite!E27,""ru"",""en"")"),"750")</f>
        <v>750</v>
      </c>
    </row>
    <row r="28" spans="1:5">
      <c r="A28" s="15" t="str">
        <f ca="1">IFERROR(__xludf.DUMMYFUNCTION("GOOGLETRANSLATE(Fortnite!A28,""ru"",""en"")"),"What is the name of the mode where teams of 50 players fight against each other?")</f>
        <v>What is the name of the mode where teams of 50 players fight against each other?</v>
      </c>
      <c r="B28" s="15" t="str">
        <f ca="1">IFERROR(__xludf.DUMMYFUNCTION("GOOGLETRANSLATE(Fortnite!B28,""ru"",""en"")"),"50v50")</f>
        <v>50v50</v>
      </c>
      <c r="C28" s="15" t="str">
        <f ca="1">IFERROR(__xludf.DUMMYFUNCTION("GOOGLETRANSLATE(Fortnite!C28,""ru"",""en"")"),"Team Battle")</f>
        <v>Team Battle</v>
      </c>
      <c r="D28" s="15" t="str">
        <f ca="1">IFERROR(__xludf.DUMMYFUNCTION("GOOGLETRANSLATE(Fortnite!D28,""ru"",""en"")"),"Large Team")</f>
        <v>Large Team</v>
      </c>
      <c r="E28" s="15" t="str">
        <f ca="1">IFERROR(__xludf.DUMMYFUNCTION("GOOGLETRANSLATE(Fortnite!E28,""ru"",""en"")"),"Mega Fight")</f>
        <v>Mega Fight</v>
      </c>
    </row>
    <row r="29" spans="1:5">
      <c r="A29" s="15" t="str">
        <f ca="1">IFERROR(__xludf.DUMMYFUNCTION("GOOGLETRANSLATE(Fortnite!A29,""ru"",""en"")"),"Which Marvel character was added as a boss in Season 4 Chapter 2?")</f>
        <v>Which Marvel character was added as a boss in Season 4 Chapter 2?</v>
      </c>
      <c r="B29" s="15" t="str">
        <f ca="1">IFERROR(__xludf.DUMMYFUNCTION("GOOGLETRANSLATE(Fortnite!B29,""ru"",""en"")"),"Galactus")</f>
        <v>Galactus</v>
      </c>
      <c r="C29" s="15" t="str">
        <f ca="1">IFERROR(__xludf.DUMMYFUNCTION("GOOGLETRANSLATE(Fortnite!C29,""ru"",""en"")"),"Thanos")</f>
        <v>Thanos</v>
      </c>
      <c r="D29" s="15" t="str">
        <f ca="1">IFERROR(__xludf.DUMMYFUNCTION("GOOGLETRANSLATE(Fortnite!D29,""ru"",""en"")"),"Deadpool")</f>
        <v>Deadpool</v>
      </c>
      <c r="E29" s="15" t="str">
        <f ca="1">IFERROR(__xludf.DUMMYFUNCTION("GOOGLETRANSLATE(Fortnite!E29,""ru"",""en"")"),"Doctor Doom")</f>
        <v>Doctor Doom</v>
      </c>
    </row>
    <row r="30" spans="1:5">
      <c r="A30" s="15" t="str">
        <f ca="1">IFERROR(__xludf.DUMMYFUNCTION("GOOGLETRANSLATE(Fortnite!A30,""ru"",""en"")"),"How much damage does a direct hit from a grenade do?")</f>
        <v>How much damage does a direct hit from a grenade do?</v>
      </c>
      <c r="B30" s="15" t="str">
        <f ca="1">IFERROR(__xludf.DUMMYFUNCTION("GOOGLETRANSLATE(Fortnite!B30,""ru"",""en"")"),"100")</f>
        <v>100</v>
      </c>
      <c r="C30" s="15" t="str">
        <f ca="1">IFERROR(__xludf.DUMMYFUNCTION("GOOGLETRANSLATE(Fortnite!C30,""ru"",""en"")"),"75")</f>
        <v>75</v>
      </c>
      <c r="D30" s="15" t="str">
        <f ca="1">IFERROR(__xludf.DUMMYFUNCTION("GOOGLETRANSLATE(Fortnite!D30,""ru"",""en"")"),"125")</f>
        <v>125</v>
      </c>
      <c r="E30" s="15" t="str">
        <f ca="1">IFERROR(__xludf.DUMMYFUNCTION("GOOGLETRANSLATE(Fortnite!E30,""ru"",""en"")"),"150")</f>
        <v>150</v>
      </c>
    </row>
    <row r="31" spans="1:5">
      <c r="A31" s="15" t="str">
        <f ca="1">IFERROR(__xludf.DUMMYFUNCTION("GOOGLETRANSLATE(Fortnite!A31,""ru"",""en"")"),"What is the name of the location that was added in honor of a popular streamer?")</f>
        <v>What is the name of the location that was added in honor of a popular streamer?</v>
      </c>
      <c r="B31" s="15" t="str">
        <f ca="1">IFERROR(__xludf.DUMMYFUNCTION("GOOGLETRANSLATE(Fortnite!B31,""ru"",""en"")"),"Lazy Lake")</f>
        <v>Lazy Lake</v>
      </c>
      <c r="C31" s="15" t="str">
        <f ca="1">IFERROR(__xludf.DUMMYFUNCTION("GOOGLETRANSLATE(Fortnite!C31,""ru"",""en"")"),"Ninja Village")</f>
        <v>Ninja Village</v>
      </c>
      <c r="D31" s="15" t="str">
        <f ca="1">IFERROR(__xludf.DUMMYFUNCTION("GOOGLETRANSLATE(Fortnite!D31,""ru"",""en"")"),"Streamer Spot")</f>
        <v>Streamer Spot</v>
      </c>
      <c r="E31" s="15" t="str">
        <f ca="1">IFERROR(__xludf.DUMMYFUNCTION("GOOGLETRANSLATE(Fortnite!E31,""ru"",""en"")"),"Fame Point")</f>
        <v>Fame Point</v>
      </c>
    </row>
    <row r="32" spans="1:5">
      <c r="A32" s="15" t="str">
        <f ca="1">IFERROR(__xludf.DUMMYFUNCTION("GOOGLETRANSLATE(Fortnite!A32,""ru"",""en"")"),"Which weapon has the highest rate of fire among assault rifles?")</f>
        <v>Which weapon has the highest rate of fire among assault rifles?</v>
      </c>
      <c r="B32" s="15" t="str">
        <f ca="1">IFERROR(__xludf.DUMMYFUNCTION("GOOGLETRANSLATE(Fortnite!B32,""ru"",""en"")"),"Rapid Fire SMG")</f>
        <v>Rapid Fire SMG</v>
      </c>
      <c r="C32" s="15" t="str">
        <f ca="1">IFERROR(__xludf.DUMMYFUNCTION("GOOGLETRANSLATE(Fortnite!C32,""ru"",""en"")"),"Compact SMG")</f>
        <v>Compact SMG</v>
      </c>
      <c r="D32" s="15" t="str">
        <f ca="1">IFERROR(__xludf.DUMMYFUNCTION("GOOGLETRANSLATE(Fortnite!D32,""ru"",""en"")"),"Submachine Gun")</f>
        <v>Submachine Gun</v>
      </c>
      <c r="E32" s="15" t="str">
        <f ca="1">IFERROR(__xludf.DUMMYFUNCTION("GOOGLETRANSLATE(Fortnite!E32,""ru"",""en"")"),"Burst SMG")</f>
        <v>Burst SMG</v>
      </c>
    </row>
    <row r="33" spans="1:5">
      <c r="A33" s="15" t="str">
        <f ca="1">IFERROR(__xludf.DUMMYFUNCTION("GOOGLETRANSLATE(Fortnite!A33,""ru"",""en"")"),"In which season was Zero Build mode added?")</f>
        <v>In which season was Zero Build mode added?</v>
      </c>
      <c r="B33" s="15" t="str">
        <f ca="1">IFERROR(__xludf.DUMMYFUNCTION("GOOGLETRANSLATE(Fortnite!B33,""ru"",""en"")"),"Season 2 Chapter 3")</f>
        <v>Season 2 Chapter 3</v>
      </c>
      <c r="C33" s="15" t="str">
        <f ca="1">IFERROR(__xludf.DUMMYFUNCTION("GOOGLETRANSLATE(Fortnite!C33,""ru"",""en"")"),"Season 1 Chapter 3")</f>
        <v>Season 1 Chapter 3</v>
      </c>
      <c r="D33" s="15" t="str">
        <f ca="1">IFERROR(__xludf.DUMMYFUNCTION("GOOGLETRANSLATE(Fortnite!D33,""ru"",""en"")"),"Season 3 Chapter 3")</f>
        <v>Season 3 Chapter 3</v>
      </c>
      <c r="E33" s="15" t="str">
        <f ca="1">IFERROR(__xludf.DUMMYFUNCTION("GOOGLETRANSLATE(Fortnite!E33,""ru"",""en"")"),"Season 4 Chapter 2")</f>
        <v>Season 4 Chapter 2</v>
      </c>
    </row>
    <row r="34" spans="1:5">
      <c r="A34" s="15" t="str">
        <f ca="1">IFERROR(__xludf.DUMMYFUNCTION("GOOGLETRANSLATE(Fortnite!A34,""ru"",""en"")"),"What is the maximum walking speed in the game?")</f>
        <v>What is the maximum walking speed in the game?</v>
      </c>
      <c r="B34" s="15" t="str">
        <f ca="1">IFERROR(__xludf.DUMMYFUNCTION("GOOGLETRANSLATE(Fortnite!B34,""ru"",""en"")"),"5.5 m/s")</f>
        <v>5.5 m/s</v>
      </c>
      <c r="C34" s="15" t="str">
        <f ca="1">IFERROR(__xludf.DUMMYFUNCTION("GOOGLETRANSLATE(Fortnite!C34,""ru"",""en"")"),"6.0 m/s")</f>
        <v>6.0 m/s</v>
      </c>
      <c r="D34" s="15" t="str">
        <f ca="1">IFERROR(__xludf.DUMMYFUNCTION("GOOGLETRANSLATE(Fortnite!D34,""ru"",""en"")"),"5.0 m/s")</f>
        <v>5.0 m/s</v>
      </c>
      <c r="E34" s="15" t="str">
        <f ca="1">IFERROR(__xludf.DUMMYFUNCTION("GOOGLETRANSLATE(Fortnite!E34,""ru"",""en"")"),"4.5 m/s")</f>
        <v>4.5 m/s</v>
      </c>
    </row>
    <row r="35" spans="1:5">
      <c r="A35" s="15" t="str">
        <f ca="1">IFERROR(__xludf.DUMMYFUNCTION("GOOGLETRANSLATE(Fortnite!A35,""ru"",""en"")"),"What is the name of the special ability that allows you to quickly move around the map?")</f>
        <v>What is the name of the special ability that allows you to quickly move around the map?</v>
      </c>
      <c r="B35" s="15" t="str">
        <f ca="1">IFERROR(__xludf.DUMMYFUNCTION("GOOGLETRANSLATE(Fortnite!B35,""ru"",""en"")"),"Rift-to-Go")</f>
        <v>Rift-to-Go</v>
      </c>
      <c r="C35" s="15" t="str">
        <f ca="1">IFERROR(__xludf.DUMMYFUNCTION("GOOGLETRANSLATE(Fortnite!C35,""ru"",""en"")"),"Launch Pad")</f>
        <v>Launch Pad</v>
      </c>
      <c r="D35" s="15" t="str">
        <f ca="1">IFERROR(__xludf.DUMMYFUNCTION("GOOGLETRANSLATE(Fortnite!D35,""ru"",""en"")"),"Bounce Pad")</f>
        <v>Bounce Pad</v>
      </c>
      <c r="E35" s="15" t="str">
        <f ca="1">IFERROR(__xludf.DUMMYFUNCTION("GOOGLETRANSLATE(Fortnite!E35,""ru"",""en"")"),"Teleporter")</f>
        <v>Teleporter</v>
      </c>
    </row>
    <row r="36" spans="1:5">
      <c r="A36" s="15" t="str">
        <f ca="1">IFERROR(__xludf.DUMMYFUNCTION("GOOGLETRANSLATE(Fortnite!A36,""ru"",""en"")"),"What item restores both health and shield at the same time?")</f>
        <v>What item restores both health and shield at the same time?</v>
      </c>
      <c r="B36" s="15" t="str">
        <f ca="1">IFERROR(__xludf.DUMMYFUNCTION("GOOGLETRANSLATE(Fortnite!B36,""ru"",""en"")"),"Slurp Juice")</f>
        <v>Slurp Juice</v>
      </c>
      <c r="C36" s="15" t="str">
        <f ca="1">IFERROR(__xludf.DUMMYFUNCTION("GOOGLETRANSLATE(Fortnite!C36,""ru"",""en"")"),"Chug Jug")</f>
        <v>Chug Jug</v>
      </c>
      <c r="D36" s="15" t="str">
        <f ca="1">IFERROR(__xludf.DUMMYFUNCTION("GOOGLETRANSLATE(Fortnite!D36,""ru"",""en"")"),"Shield Potion")</f>
        <v>Shield Potion</v>
      </c>
      <c r="E36" s="15" t="str">
        <f ca="1">IFERROR(__xludf.DUMMYFUNCTION("GOOGLETRANSLATE(Fortnite!E36,""ru"",""en"")"),"Medkit")</f>
        <v>Medkit</v>
      </c>
    </row>
    <row r="37" spans="1:5">
      <c r="A37" s="15" t="str">
        <f ca="1">IFERROR(__xludf.DUMMYFUNCTION("GOOGLETRANSLATE(Fortnite!A37,""ru"",""en"")"),"How many seconds does it take to use the Chug Jug?")</f>
        <v>How many seconds does it take to use the Chug Jug?</v>
      </c>
      <c r="B37" s="15" t="str">
        <f ca="1">IFERROR(__xludf.DUMMYFUNCTION("GOOGLETRANSLATE(Fortnite!B37,""ru"",""en"")"),"15")</f>
        <v>15</v>
      </c>
      <c r="C37" s="15" t="str">
        <f ca="1">IFERROR(__xludf.DUMMYFUNCTION("GOOGLETRANSLATE(Fortnite!C37,""ru"",""en"")"),"10")</f>
        <v>10</v>
      </c>
      <c r="D37" s="15" t="str">
        <f ca="1">IFERROR(__xludf.DUMMYFUNCTION("GOOGLETRANSLATE(Fortnite!D37,""ru"",""en"")"),"20")</f>
        <v>20</v>
      </c>
      <c r="E37" s="15" t="str">
        <f ca="1">IFERROR(__xludf.DUMMYFUNCTION("GOOGLETRANSLATE(Fortnite!E37,""ru"",""en"")"),"12")</f>
        <v>12</v>
      </c>
    </row>
    <row r="38" spans="1:5">
      <c r="A38" s="15" t="str">
        <f ca="1">IFERROR(__xludf.DUMMYFUNCTION("GOOGLETRANSLATE(Fortnite!A38,""ru"",""en"")"),"What is the name of the location that appeared after Tilted Towers was destroyed in Season 9?")</f>
        <v>What is the name of the location that appeared after Tilted Towers was destroyed in Season 9?</v>
      </c>
      <c r="B38" s="15" t="str">
        <f ca="1">IFERROR(__xludf.DUMMYFUNCTION("GOOGLETRANSLATE(Fortnite!B38,""ru"",""en"")"),"Tilted Town")</f>
        <v>Tilted Town</v>
      </c>
      <c r="C38" s="15" t="str">
        <f ca="1">IFERROR(__xludf.DUMMYFUNCTION("GOOGLETRANSLATE(Fortnite!C38,""ru"",""en"")"),"New Tilted")</f>
        <v>New Tilted</v>
      </c>
      <c r="D38" s="15" t="str">
        <f ca="1">IFERROR(__xludf.DUMMYFUNCTION("GOOGLETRANSLATE(Fortnite!D38,""ru"",""en"")"),"Tilted Park")</f>
        <v>Tilted Park</v>
      </c>
      <c r="E38" s="15" t="str">
        <f ca="1">IFERROR(__xludf.DUMMYFUNCTION("GOOGLETRANSLATE(Fortnite!E38,""ru"",""en"")"),"Old Tilted")</f>
        <v>Old Tilted</v>
      </c>
    </row>
    <row r="39" spans="1:5">
      <c r="A39" s="15" t="str">
        <f ca="1">IFERROR(__xludf.DUMMYFUNCTION("GOOGLETRANSLATE(Fortnite!A39,""ru"",""en"")"),"What is the maximum number of players that can be on a team in Squad mode?")</f>
        <v>What is the maximum number of players that can be on a team in Squad mode?</v>
      </c>
      <c r="B39" s="15" t="str">
        <f ca="1">IFERROR(__xludf.DUMMYFUNCTION("GOOGLETRANSLATE(Fortnite!B39,""ru"",""en"")"),"4")</f>
        <v>4</v>
      </c>
      <c r="C39" s="15" t="str">
        <f ca="1">IFERROR(__xludf.DUMMYFUNCTION("GOOGLETRANSLATE(Fortnite!C39,""ru"",""en"")"),"3")</f>
        <v>3</v>
      </c>
      <c r="D39" s="15" t="str">
        <f ca="1">IFERROR(__xludf.DUMMYFUNCTION("GOOGLETRANSLATE(Fortnite!D39,""ru"",""en"")"),"5")</f>
        <v>5</v>
      </c>
      <c r="E39" s="15" t="str">
        <f ca="1">IFERROR(__xludf.DUMMYFUNCTION("GOOGLETRANSLATE(Fortnite!E39,""ru"",""en"")"),"6")</f>
        <v>6</v>
      </c>
    </row>
    <row r="40" spans="1:5">
      <c r="A40" s="15" t="str">
        <f ca="1">IFERROR(__xludf.DUMMYFUNCTION("GOOGLETRANSLATE(Fortnite!A40,""ru"",""en"")"),"What is the name of the currency used to upgrade weapons in Creative?")</f>
        <v>What is the name of the currency used to upgrade weapons in Creative?</v>
      </c>
      <c r="B40" s="15" t="str">
        <f ca="1">IFERROR(__xludf.DUMMYFUNCTION("GOOGLETRANSLATE(Fortnite!B40,""ru"",""en"")"),"Gold Bars")</f>
        <v>Gold Bars</v>
      </c>
      <c r="C40" s="15" t="str">
        <f ca="1">IFERROR(__xludf.DUMMYFUNCTION("GOOGLETRANSLATE(Fortnite!C40,""ru"",""en"")"),"V-Bucks")</f>
        <v>V-Bucks</v>
      </c>
      <c r="D40" s="15" t="str">
        <f ca="1">IFERROR(__xludf.DUMMYFUNCTION("GOOGLETRANSLATE(Fortnite!D40,""ru"",""en"")"),"Battle Stars")</f>
        <v>Battle Stars</v>
      </c>
      <c r="E40" s="15" t="str">
        <f ca="1">IFERROR(__xludf.DUMMYFUNCTION("GOOGLETRANSLATE(Fortnite!E40,""ru"",""en"")"),"Creative Points")</f>
        <v>Creative Points</v>
      </c>
    </row>
    <row r="41" spans="1:5">
      <c r="A41" s="15" t="str">
        <f ca="1">IFERROR(__xludf.DUMMYFUNCTION("GOOGLETRANSLATE(Fortnite!A41,""ru"",""en"")"),"What rarity does the purple weapon color correspond to?")</f>
        <v>What rarity does the purple weapon color correspond to?</v>
      </c>
      <c r="B41" s="15" t="str">
        <f ca="1">IFERROR(__xludf.DUMMYFUNCTION("GOOGLETRANSLATE(Fortnite!B41,""ru"",""en"")"),"Epic")</f>
        <v>Epic</v>
      </c>
      <c r="C41" s="15" t="str">
        <f ca="1">IFERROR(__xludf.DUMMYFUNCTION("GOOGLETRANSLATE(Fortnite!C41,""ru"",""en"")"),"Rare")</f>
        <v>Rare</v>
      </c>
      <c r="D41" s="15" t="str">
        <f ca="1">IFERROR(__xludf.DUMMYFUNCTION("GOOGLETRANSLATE(Fortnite!D41,""ru"",""en"")"),"Legendary")</f>
        <v>Legendary</v>
      </c>
      <c r="E41" s="15" t="str">
        <f ca="1">IFERROR(__xludf.DUMMYFUNCTION("GOOGLETRANSLATE(Fortnite!E41,""ru"",""en"")"),"Uncommon")</f>
        <v>Uncommon</v>
      </c>
    </row>
    <row r="42" spans="1:5">
      <c r="A42" s="15" t="str">
        <f ca="1">IFERROR(__xludf.DUMMYFUNCTION("GOOGLETRANSLATE(Fortnite!A42,""ru"",""en"")"),"In which season was the fishing mechanic added?")</f>
        <v>In which season was the fishing mechanic added?</v>
      </c>
      <c r="B42" s="15" t="str">
        <f ca="1">IFERROR(__xludf.DUMMYFUNCTION("GOOGLETRANSLATE(Fortnite!B42,""ru"",""en"")"),"Season 1 Chapter 2")</f>
        <v>Season 1 Chapter 2</v>
      </c>
      <c r="C42" s="15" t="str">
        <f ca="1">IFERROR(__xludf.DUMMYFUNCTION("GOOGLETRANSLATE(Fortnite!C42,""ru"",""en"")"),"Season 2 Chapter 2")</f>
        <v>Season 2 Chapter 2</v>
      </c>
      <c r="D42" s="15" t="str">
        <f ca="1">IFERROR(__xludf.DUMMYFUNCTION("GOOGLETRANSLATE(Fortnite!D42,""ru"",""en"")"),"Season 3 Chapter 1")</f>
        <v>Season 3 Chapter 1</v>
      </c>
      <c r="E42" s="15" t="str">
        <f ca="1">IFERROR(__xludf.DUMMYFUNCTION("GOOGLETRANSLATE(Fortnite!E42,""ru"",""en"")"),"Season 11")</f>
        <v>Season 11</v>
      </c>
    </row>
    <row r="43" spans="1:5">
      <c r="A43" s="15" t="str">
        <f ca="1">IFERROR(__xludf.DUMMYFUNCTION("GOOGLETRANSLATE(Fortnite!A43,""ru"",""en"")"),"What is the name of the NPC who sells weapons for gold?")</f>
        <v>What is the name of the NPC who sells weapons for gold?</v>
      </c>
      <c r="B43" s="15" t="str">
        <f ca="1">IFERROR(__xludf.DUMMYFUNCTION("GOOGLETRANSLATE(Fortnite!B43,""ru"",""en"")"),"Dealer")</f>
        <v>Dealer</v>
      </c>
      <c r="C43" s="15" t="str">
        <f ca="1">IFERROR(__xludf.DUMMYFUNCTION("GOOGLETRANSLATE(Fortnite!C43,""ru"",""en"")"),"Salesman")</f>
        <v>Salesman</v>
      </c>
      <c r="D43" s="15" t="str">
        <f ca="1">IFERROR(__xludf.DUMMYFUNCTION("GOOGLETRANSLATE(Fortnite!D43,""ru"",""en"")"),"Dealer")</f>
        <v>Dealer</v>
      </c>
      <c r="E43" s="15" t="str">
        <f ca="1">IFERROR(__xludf.DUMMYFUNCTION("GOOGLETRANSLATE(Fortnite!E43,""ru"",""en"")"),"Supplier")</f>
        <v>Supplier</v>
      </c>
    </row>
    <row r="44" spans="1:5">
      <c r="A44" s="15" t="str">
        <f ca="1">IFERROR(__xludf.DUMMYFUNCTION("GOOGLETRANSLATE(Fortnite!A44,""ru"",""en"")"),"What animal can be tamed and used as transport?")</f>
        <v>What animal can be tamed and used as transport?</v>
      </c>
      <c r="B44" s="15" t="str">
        <f ca="1">IFERROR(__xludf.DUMMYFUNCTION("GOOGLETRANSLATE(Fortnite!B44,""ru"",""en"")"),"Wolf")</f>
        <v>Wolf</v>
      </c>
      <c r="C44" s="15" t="str">
        <f ca="1">IFERROR(__xludf.DUMMYFUNCTION("GOOGLETRANSLATE(Fortnite!C44,""ru"",""en"")"),"Boar")</f>
        <v>Boar</v>
      </c>
      <c r="D44" s="15" t="str">
        <f ca="1">IFERROR(__xludf.DUMMYFUNCTION("GOOGLETRANSLATE(Fortnite!D44,""ru"",""en"")"),"Chicken")</f>
        <v>Chicken</v>
      </c>
      <c r="E44" s="15" t="str">
        <f ca="1">IFERROR(__xludf.DUMMYFUNCTION("GOOGLETRANSLATE(Fortnite!E44,""ru"",""en"")"),"Shark")</f>
        <v>Shark</v>
      </c>
    </row>
    <row r="45" spans="1:5">
      <c r="A45" s="15" t="str">
        <f ca="1">IFERROR(__xludf.DUMMYFUNCTION("GOOGLETRANSLATE(Fortnite!A45,""ru"",""en"")"),"How much damage does a regular shotgun do at close range?")</f>
        <v>How much damage does a regular shotgun do at close range?</v>
      </c>
      <c r="B45" s="15" t="str">
        <f ca="1">IFERROR(__xludf.DUMMYFUNCTION("GOOGLETRANSLATE(Fortnite!B45,""ru"",""en"")"),"from 70 to 180")</f>
        <v>from 70 to 180</v>
      </c>
      <c r="C45" s="15" t="str">
        <f ca="1">IFERROR(__xludf.DUMMYFUNCTION("GOOGLETRANSLATE(Fortnite!C45,""ru"",""en"")"),"from 50 to 150")</f>
        <v>from 50 to 150</v>
      </c>
      <c r="D45" s="15" t="str">
        <f ca="1">IFERROR(__xludf.DUMMYFUNCTION("GOOGLETRANSLATE(Fortnite!D45,""ru"",""en"")"),"from 80 to 200")</f>
        <v>from 80 to 200</v>
      </c>
      <c r="E45" s="15" t="str">
        <f ca="1">IFERROR(__xludf.DUMMYFUNCTION("GOOGLETRANSLATE(Fortnite!E45,""ru"",""en"")"),"from 60 to 160")</f>
        <v>from 60 to 160</v>
      </c>
    </row>
    <row r="46" spans="1:5">
      <c r="A46" s="15" t="str">
        <f ca="1">IFERROR(__xludf.DUMMYFUNCTION("GOOGLETRANSLATE(Fortnite!A46,""ru"",""en"")"),"What is the name of the event that happens at the end of each season?")</f>
        <v>What is the name of the event that happens at the end of each season?</v>
      </c>
      <c r="B46" s="15" t="str">
        <f ca="1">IFERROR(__xludf.DUMMYFUNCTION("GOOGLETRANSLATE(Fortnite!B46,""ru"",""en"")"),"Live Event")</f>
        <v>Live Event</v>
      </c>
      <c r="C46" s="15" t="str">
        <f ca="1">IFERROR(__xludf.DUMMYFUNCTION("GOOGLETRANSLATE(Fortnite!C46,""ru"",""en"")"),"Season Finale")</f>
        <v>Season Finale</v>
      </c>
      <c r="D46" s="15" t="str">
        <f ca="1">IFERROR(__xludf.DUMMYFUNCTION("GOOGLETRANSLATE(Fortnite!D46,""ru"",""en"")"),"Epic Event")</f>
        <v>Epic Event</v>
      </c>
      <c r="E46" s="15" t="str">
        <f ca="1">IFERROR(__xludf.DUMMYFUNCTION("GOOGLETRANSLATE(Fortnite!E46,""ru"",""en"")"),"Final Show")</f>
        <v>Final Show</v>
      </c>
    </row>
    <row r="47" spans="1:5">
      <c r="A47" s="15" t="str">
        <f ca="1">IFERROR(__xludf.DUMMYFUNCTION("GOOGLETRANSLATE(Fortnite!A47,""ru"",""en"")"),"What material is extracted from machines and metal structures?")</f>
        <v>What material is extracted from machines and metal structures?</v>
      </c>
      <c r="B47" s="15" t="str">
        <f ca="1">IFERROR(__xludf.DUMMYFUNCTION("GOOGLETRANSLATE(Fortnite!B47,""ru"",""en"")"),"Metal")</f>
        <v>Metal</v>
      </c>
      <c r="C47" s="15" t="str">
        <f ca="1">IFERROR(__xludf.DUMMYFUNCTION("GOOGLETRANSLATE(Fortnite!C47,""ru"",""en"")"),"Steel")</f>
        <v>Steel</v>
      </c>
      <c r="D47" s="15" t="str">
        <f ca="1">IFERROR(__xludf.DUMMYFUNCTION("GOOGLETRANSLATE(Fortnite!D47,""ru"",""en"")"),"Iron")</f>
        <v>Iron</v>
      </c>
      <c r="E47" s="15" t="str">
        <f ca="1">IFERROR(__xludf.DUMMYFUNCTION("GOOGLETRANSLATE(Fortnite!E47,""ru"",""en"")"),"Aluminum")</f>
        <v>Aluminum</v>
      </c>
    </row>
    <row r="48" spans="1:5">
      <c r="A48" s="15" t="str">
        <f ca="1">IFERROR(__xludf.DUMMYFUNCTION("GOOGLETRANSLATE(Fortnite!A48,""ru"",""en"")"),"What is the name of the mode where players build and defend a base from zombies?")</f>
        <v>What is the name of the mode where players build and defend a base from zombies?</v>
      </c>
      <c r="B48" s="15" t="str">
        <f ca="1">IFERROR(__xludf.DUMMYFUNCTION("GOOGLETRANSLATE(Fortnite!B48,""ru"",""en"")"),"Save the World")</f>
        <v>Save the World</v>
      </c>
      <c r="C48" s="15" t="str">
        <f ca="1">IFERROR(__xludf.DUMMYFUNCTION("GOOGLETRANSLATE(Fortnite!C48,""ru"",""en"")"),"Horde Mode")</f>
        <v>Horde Mode</v>
      </c>
      <c r="D48" s="15" t="str">
        <f ca="1">IFERROR(__xludf.DUMMYFUNCTION("GOOGLETRANSLATE(Fortnite!D48,""ru"",""en"")"),"Defense Mode")</f>
        <v>Defense Mode</v>
      </c>
      <c r="E48" s="15" t="str">
        <f ca="1">IFERROR(__xludf.DUMMYFUNCTION("GOOGLETRANSLATE(Fortnite!E48,""ru"",""en"")"),"Zombie Rush")</f>
        <v>Zombie Rush</v>
      </c>
    </row>
    <row r="49" spans="1:5">
      <c r="A49" s="15" t="str">
        <f ca="1">IFERROR(__xludf.DUMMYFUNCTION("GOOGLETRANSLATE(Fortnite!A49,""ru"",""en"")"),"What weapon fires rockets and does high area damage?")</f>
        <v>What weapon fires rockets and does high area damage?</v>
      </c>
      <c r="B49" s="15" t="str">
        <f ca="1">IFERROR(__xludf.DUMMYFUNCTION("GOOGLETRANSLATE(Fortnite!B49,""ru"",""en"")"),"Rocket Launcher")</f>
        <v>Rocket Launcher</v>
      </c>
      <c r="C49" s="15" t="str">
        <f ca="1">IFERROR(__xludf.DUMMYFUNCTION("GOOGLETRANSLATE(Fortnite!C49,""ru"",""en"")"),"Grenade Launcher")</f>
        <v>Grenade Launcher</v>
      </c>
      <c r="D49" s="15" t="str">
        <f ca="1">IFERROR(__xludf.DUMMYFUNCTION("GOOGLETRANSLATE(Fortnite!D49,""ru"",""en"")"),"RPG")</f>
        <v>RPG</v>
      </c>
      <c r="E49" s="15" t="str">
        <f ca="1">IFERROR(__xludf.DUMMYFUNCTION("GOOGLETRANSLATE(Fortnite!E49,""ru"",""en"")"),"Missile Launcher")</f>
        <v>Missile Launcher</v>
      </c>
    </row>
    <row r="50" spans="1:5">
      <c r="A50" s="15" t="str">
        <f ca="1">IFERROR(__xludf.DUMMYFUNCTION("GOOGLETRANSLATE(Fortnite!A50,""ru"",""en"")"),"How much experience does it take to level up one Battle Pass on average?")</f>
        <v>How much experience does it take to level up one Battle Pass on average?</v>
      </c>
      <c r="B50" s="15" t="str">
        <f ca="1">IFERROR(__xludf.DUMMYFUNCTION("GOOGLETRANSLATE(Fortnite!B50,""ru"",""en"")"),"80,000")</f>
        <v>80,000</v>
      </c>
      <c r="C50" s="15" t="str">
        <f ca="1">IFERROR(__xludf.DUMMYFUNCTION("GOOGLETRANSLATE(Fortnite!C50,""ru"",""en"")"),"75,000")</f>
        <v>75,000</v>
      </c>
      <c r="D50" s="15" t="str">
        <f ca="1">IFERROR(__xludf.DUMMYFUNCTION("GOOGLETRANSLATE(Fortnite!D50,""ru"",""en"")"),"85,000")</f>
        <v>85,000</v>
      </c>
      <c r="E50" s="15" t="str">
        <f ca="1">IFERROR(__xludf.DUMMYFUNCTION("GOOGLETRANSLATE(Fortnite!E50,""ru"",""en"")"),"70,000")</f>
        <v>70,000</v>
      </c>
    </row>
    <row r="51" spans="1:5">
      <c r="A51" s="15" t="str">
        <f ca="1">IFERROR(__xludf.DUMMYFUNCTION("GOOGLETRANSLATE(Fortnite!A51,""ru"",""en"")"),"What is the name of the ability that makes the player invisible for a short time?")</f>
        <v>What is the name of the ability that makes the player invisible for a short time?</v>
      </c>
      <c r="B51" s="15" t="str">
        <f ca="1">IFERROR(__xludf.DUMMYFUNCTION("GOOGLETRANSLATE(Fortnite!B51,""ru"",""en"")"),"Shadow Stone")</f>
        <v>Shadow Stone</v>
      </c>
      <c r="C51" s="15" t="str">
        <f ca="1">IFERROR(__xludf.DUMMYFUNCTION("GOOGLETRANSLATE(Fortnite!C51,""ru"",""en"")"),"Invisibility Cloak")</f>
        <v>Invisibility Cloak</v>
      </c>
      <c r="D51" s="15" t="str">
        <f ca="1">IFERROR(__xludf.DUMMYFUNCTION("GOOGLETRANSLATE(Fortnite!D51,""ru"",""en"")"),"Stealth Mode")</f>
        <v>Stealth Mode</v>
      </c>
      <c r="E51" s="15" t="str">
        <f ca="1">IFERROR(__xludf.DUMMYFUNCTION("GOOGLETRANSLATE(Fortnite!E51,""ru"",""en"")"),"Ghost Form")</f>
        <v>Ghost Form</v>
      </c>
    </row>
    <row r="52" spans="1:5">
      <c r="A52" s="15" t="str">
        <f ca="1">IFERROR(__xludf.DUMMYFUNCTION("GOOGLETRANSLATE(Fortnite!A52,""ru"",""en"")"),"What is the name of the phenomenon that appears on the map and creates portals?")</f>
        <v>What is the name of the phenomenon that appears on the map and creates portals?</v>
      </c>
      <c r="B52" s="15" t="str">
        <f ca="1">IFERROR(__xludf.DUMMYFUNCTION("GOOGLETRANSLATE(Fortnite!B52,""ru"",""en"")"),"Rift")</f>
        <v>Rift</v>
      </c>
      <c r="C52" s="15" t="str">
        <f ca="1">IFERROR(__xludf.DUMMYFUNCTION("GOOGLETRANSLATE(Fortnite!C52,""ru"",""en"")"),"Portal")</f>
        <v>Portal</v>
      </c>
      <c r="D52" s="15" t="str">
        <f ca="1">IFERROR(__xludf.DUMMYFUNCTION("GOOGLETRANSLATE(Fortnite!D52,""ru"",""en"")"),"Wormhole")</f>
        <v>Wormhole</v>
      </c>
      <c r="E52" s="15" t="str">
        <f ca="1">IFERROR(__xludf.DUMMYFUNCTION("GOOGLETRANSLATE(Fortnite!E52,""ru"",""en"")"),"Vortex")</f>
        <v>Vortex</v>
      </c>
    </row>
    <row r="53" spans="1:5">
      <c r="A53" s="15" t="str">
        <f ca="1">IFERROR(__xludf.DUMMYFUNCTION("GOOGLETRANSLATE(Fortnite!A53,""ru"",""en"")"),"What is the maximum amount of health a player has?")</f>
        <v>What is the maximum amount of health a player has?</v>
      </c>
      <c r="B53" s="15" t="str">
        <f ca="1">IFERROR(__xludf.DUMMYFUNCTION("GOOGLETRANSLATE(Fortnite!B53,""ru"",""en"")"),"100")</f>
        <v>100</v>
      </c>
      <c r="C53" s="15" t="str">
        <f ca="1">IFERROR(__xludf.DUMMYFUNCTION("GOOGLETRANSLATE(Fortnite!C53,""ru"",""en"")"),"150")</f>
        <v>150</v>
      </c>
      <c r="D53" s="15" t="str">
        <f ca="1">IFERROR(__xludf.DUMMYFUNCTION("GOOGLETRANSLATE(Fortnite!D53,""ru"",""en"")"),"200")</f>
        <v>200</v>
      </c>
      <c r="E53" s="15" t="str">
        <f ca="1">IFERROR(__xludf.DUMMYFUNCTION("GOOGLETRANSLATE(Fortnite!E53,""ru"",""en"")"),"125")</f>
        <v>125</v>
      </c>
    </row>
    <row r="54" spans="1:5">
      <c r="A54" s="15" t="str">
        <f ca="1">IFERROR(__xludf.DUMMYFUNCTION("GOOGLETRANSLATE(Fortnite!A54,""ru"",""en"")"),"In which season was the first Marvel collaboration event added?")</f>
        <v>In which season was the first Marvel collaboration event added?</v>
      </c>
      <c r="B54" s="15" t="str">
        <f ca="1">IFERROR(__xludf.DUMMYFUNCTION("GOOGLETRANSLATE(Fortnite!B54,""ru"",""en"")"),"Season 4")</f>
        <v>Season 4</v>
      </c>
      <c r="C54" s="15" t="str">
        <f ca="1">IFERROR(__xludf.DUMMYFUNCTION("GOOGLETRANSLATE(Fortnite!C54,""ru"",""en"")"),"Season 3")</f>
        <v>Season 3</v>
      </c>
      <c r="D54" s="15" t="str">
        <f ca="1">IFERROR(__xludf.DUMMYFUNCTION("GOOGLETRANSLATE(Fortnite!D54,""ru"",""en"")"),"Season 5")</f>
        <v>Season 5</v>
      </c>
      <c r="E54" s="15" t="str">
        <f ca="1">IFERROR(__xludf.DUMMYFUNCTION("GOOGLETRANSLATE(Fortnite!E54,""ru"",""en"")"),"Season 6")</f>
        <v>Season 6</v>
      </c>
    </row>
    <row r="55" spans="1:5">
      <c r="A55" s="15" t="str">
        <f ca="1">IFERROR(__xludf.DUMMYFUNCTION("GOOGLETRANSLATE(Fortnite!A55,""ru"",""en"")"),"What is the name of the state when a player is lying on the ground and can be resurrected?")</f>
        <v>What is the name of the state when a player is lying on the ground and can be resurrected?</v>
      </c>
      <c r="B55" s="15" t="str">
        <f ca="1">IFERROR(__xludf.DUMMYFUNCTION("GOOGLETRANSLATE(Fortnite!B55,""ru"",""en"")"),"DBNO")</f>
        <v>DBNO</v>
      </c>
      <c r="C55" s="15" t="str">
        <f ca="1">IFERROR(__xludf.DUMMYFUNCTION("GOOGLETRANSLATE(Fortnite!C55,""ru"",""en"")"),"Knocked")</f>
        <v>Knocked</v>
      </c>
      <c r="D55" s="15" t="str">
        <f ca="1">IFERROR(__xludf.DUMMYFUNCTION("GOOGLETRANSLATE(Fortnite!D55,""ru"",""en"")"),"Downed")</f>
        <v>Downed</v>
      </c>
      <c r="E55" s="15" t="str">
        <f ca="1">IFERROR(__xludf.DUMMYFUNCTION("GOOGLETRANSLATE(Fortnite!E55,""ru"",""en"")"),"Crawling")</f>
        <v>Crawling</v>
      </c>
    </row>
    <row r="56" spans="1:5">
      <c r="A56" s="15" t="str">
        <f ca="1">IFERROR(__xludf.DUMMYFUNCTION("GOOGLETRANSLATE(Fortnite!A56,""ru"",""en"")"),"What weapons can shoot through walls?")</f>
        <v>What weapons can shoot through walls?</v>
      </c>
      <c r="B56" s="15" t="str">
        <f ca="1">IFERROR(__xludf.DUMMYFUNCTION("GOOGLETRANSLATE(Fortnite!B56,""ru"",""en"")"),"Railgun")</f>
        <v>Railgun</v>
      </c>
      <c r="C56" s="15" t="str">
        <f ca="1">IFERROR(__xludf.DUMMYFUNCTION("GOOGLETRANSLATE(Fortnite!C56,""ru"",""en"")"),"X-Ray Gun")</f>
        <v>X-Ray Gun</v>
      </c>
      <c r="D56" s="15" t="str">
        <f ca="1">IFERROR(__xludf.DUMMYFUNCTION("GOOGLETRANSLATE(Fortnite!D56,""ru"",""en"")"),"Thermal Rifle")</f>
        <v>Thermal Rifle</v>
      </c>
      <c r="E56" s="15" t="str">
        <f ca="1">IFERROR(__xludf.DUMMYFUNCTION("GOOGLETRANSLATE(Fortnite!E56,""ru"",""en"")"),"Laser Gun")</f>
        <v>Laser Gun</v>
      </c>
    </row>
    <row r="57" spans="1:5">
      <c r="A57" s="15" t="str">
        <f ca="1">IFERROR(__xludf.DUMMYFUNCTION("GOOGLETRANSLATE(Fortnite!A57,""ru"",""en"")"),"What is the name of the location that replaced Loot Lake at the start of Season 6?")</f>
        <v>What is the name of the location that replaced Loot Lake at the start of Season 6?</v>
      </c>
      <c r="B57" s="15" t="str">
        <f ca="1">IFERROR(__xludf.DUMMYFUNCTION("GOOGLETRANSLATE(Fortnite!B57,""ru"",""en"")"),"Leaky Lake")</f>
        <v>Leaky Lake</v>
      </c>
      <c r="C57" s="15" t="str">
        <f ca="1">IFERROR(__xludf.DUMMYFUNCTION("GOOGLETRANSLATE(Fortnite!C57,""ru"",""en"")"),"Floating Island")</f>
        <v>Floating Island</v>
      </c>
      <c r="D57" s="15" t="str">
        <f ca="1">IFERROR(__xludf.DUMMYFUNCTION("GOOGLETRANSLATE(Fortnite!D57,""ru"",""en"")"),"Kevin Lake")</f>
        <v>Kevin Lake</v>
      </c>
      <c r="E57" s="15" t="str">
        <f ca="1">IFERROR(__xludf.DUMMYFUNCTION("GOOGLETRANSLATE(Fortnite!E57,""ru"",""en"")"),"Purple Lake")</f>
        <v>Purple Lake</v>
      </c>
    </row>
    <row r="58" spans="1:5">
      <c r="A58" s="15" t="str">
        <f ca="1">IFERROR(__xludf.DUMMYFUNCTION("GOOGLETRANSLATE(Fortnite!A58,""ru"",""en"")"),"How many bullets does a typical assault rifle magazine hold?")</f>
        <v>How many bullets does a typical assault rifle magazine hold?</v>
      </c>
      <c r="B58" s="15" t="str">
        <f ca="1">IFERROR(__xludf.DUMMYFUNCTION("GOOGLETRANSLATE(Fortnite!B58,""ru"",""en"")"),"30")</f>
        <v>30</v>
      </c>
      <c r="C58" s="15" t="str">
        <f ca="1">IFERROR(__xludf.DUMMYFUNCTION("GOOGLETRANSLATE(Fortnite!C58,""ru"",""en"")"),"25")</f>
        <v>25</v>
      </c>
      <c r="D58" s="15" t="str">
        <f ca="1">IFERROR(__xludf.DUMMYFUNCTION("GOOGLETRANSLATE(Fortnite!D58,""ru"",""en"")"),"35")</f>
        <v>35</v>
      </c>
      <c r="E58" s="15" t="str">
        <f ca="1">IFERROR(__xludf.DUMMYFUNCTION("GOOGLETRANSLATE(Fortnite!E58,""ru"",""en"")"),"20")</f>
        <v>20</v>
      </c>
    </row>
    <row r="59" spans="1:5">
      <c r="A59" s="15" t="str">
        <f ca="1">IFERROR(__xludf.DUMMYFUNCTION("GOOGLETRANSLATE(Fortnite!A59,""ru"",""en"")"),"What rarity does blue weapon color correspond to?")</f>
        <v>What rarity does blue weapon color correspond to?</v>
      </c>
      <c r="B59" s="15" t="str">
        <f ca="1">IFERROR(__xludf.DUMMYFUNCTION("GOOGLETRANSLATE(Fortnite!B59,""ru"",""en"")"),"Rare")</f>
        <v>Rare</v>
      </c>
      <c r="C59" s="15" t="str">
        <f ca="1">IFERROR(__xludf.DUMMYFUNCTION("GOOGLETRANSLATE(Fortnite!C59,""ru"",""en"")"),"Epic")</f>
        <v>Epic</v>
      </c>
      <c r="D59" s="15" t="str">
        <f ca="1">IFERROR(__xludf.DUMMYFUNCTION("GOOGLETRANSLATE(Fortnite!D59,""ru"",""en"")"),"Uncommon")</f>
        <v>Uncommon</v>
      </c>
      <c r="E59" s="15" t="str">
        <f ca="1">IFERROR(__xludf.DUMMYFUNCTION("GOOGLETRANSLATE(Fortnite!E59,""ru"",""en"")"),"Common")</f>
        <v>Common</v>
      </c>
    </row>
    <row r="60" spans="1:5">
      <c r="A60" s="15" t="str">
        <f ca="1">IFERROR(__xludf.DUMMYFUNCTION("GOOGLETRANSLATE(Fortnite!A60,""ru"",""en"")"),"What is the name of the item that allows the player to fly for a short time?")</f>
        <v>What is the name of the item that allows the player to fly for a short time?</v>
      </c>
      <c r="B60" s="15" t="str">
        <f ca="1">IFERROR(__xludf.DUMMYFUNCTION("GOOGLETRANSLATE(Fortnite!B60,""ru"",""en"")"),"Jetpack")</f>
        <v>Jetpack</v>
      </c>
      <c r="C60" s="15" t="str">
        <f ca="1">IFERROR(__xludf.DUMMYFUNCTION("GOOGLETRANSLATE(Fortnite!C60,""ru"",""en"")"),"Wings")</f>
        <v>Wings</v>
      </c>
      <c r="D60" s="15" t="str">
        <f ca="1">IFERROR(__xludf.DUMMYFUNCTION("GOOGLETRANSLATE(Fortnite!D60,""ru"",""en"")"),"Hoverpack")</f>
        <v>Hoverpack</v>
      </c>
      <c r="E60" s="15" t="str">
        <f ca="1">IFERROR(__xludf.DUMMYFUNCTION("GOOGLETRANSLATE(Fortnite!E60,""ru"",""en"")"),"Flight Pod")</f>
        <v>Flight Pod</v>
      </c>
    </row>
    <row r="61" spans="1:5">
      <c r="A61" s="15" t="str">
        <f ca="1">IFERROR(__xludf.DUMMYFUNCTION("GOOGLETRANSLATE(Fortnite!A61,""ru"",""en"")"),"In which season was the weapon upgrade mechanic introduced?")</f>
        <v>In which season was the weapon upgrade mechanic introduced?</v>
      </c>
      <c r="B61" s="15" t="str">
        <f ca="1">IFERROR(__xludf.DUMMYFUNCTION("GOOGLETRANSLATE(Fortnite!B61,""ru"",""en"")"),"Season 5 Chapter 2")</f>
        <v>Season 5 Chapter 2</v>
      </c>
      <c r="C61" s="15" t="str">
        <f ca="1">IFERROR(__xludf.DUMMYFUNCTION("GOOGLETRANSLATE(Fortnite!C61,""ru"",""en"")"),"Season 4 Chapter 2")</f>
        <v>Season 4 Chapter 2</v>
      </c>
      <c r="D61" s="15" t="str">
        <f ca="1">IFERROR(__xludf.DUMMYFUNCTION("GOOGLETRANSLATE(Fortnite!D61,""ru"",""en"")"),"Season 6 Chapter 2")</f>
        <v>Season 6 Chapter 2</v>
      </c>
      <c r="E61" s="15" t="str">
        <f ca="1">IFERROR(__xludf.DUMMYFUNCTION("GOOGLETRANSLATE(Fortnite!E61,""ru"",""en"")"),"Season 3 Chapter 2")</f>
        <v>Season 3 Chapter 2</v>
      </c>
    </row>
    <row r="62" spans="1:5">
      <c r="A62" s="15" t="str">
        <f ca="1">IFERROR(__xludf.DUMMYFUNCTION("GOOGLETRANSLATE(Fortnite!A62,""ru"",""en"")"),"What is the name of the robot dance that was popular in the first seasons?")</f>
        <v>What is the name of the robot dance that was popular in the first seasons?</v>
      </c>
      <c r="B62" s="15" t="str">
        <f ca="1">IFERROR(__xludf.DUMMYFUNCTION("GOOGLETRANSLATE(Fortnite!B62,""ru"",""en"")"),"The Robot")</f>
        <v>The Robot</v>
      </c>
      <c r="C62" s="15" t="str">
        <f ca="1">IFERROR(__xludf.DUMMYFUNCTION("GOOGLETRANSLATE(Fortnite!C62,""ru"",""en"")"),"Mech Dance")</f>
        <v>Mech Dance</v>
      </c>
      <c r="D62" s="15" t="str">
        <f ca="1">IFERROR(__xludf.DUMMYFUNCTION("GOOGLETRANSLATE(Fortnite!D62,""ru"",""en"")"),"Cyborg Move")</f>
        <v>Cyborg Move</v>
      </c>
      <c r="E62" s="15" t="str">
        <f ca="1">IFERROR(__xludf.DUMMYFUNCTION("GOOGLETRANSLATE(Fortnite!E62,""ru"",""en"")"),"Automate")</f>
        <v>Automate</v>
      </c>
    </row>
    <row r="63" spans="1:5">
      <c r="A63" s="15" t="str">
        <f ca="1">IFERROR(__xludf.DUMMYFUNCTION("GOOGLETRANSLATE(Fortnite!A63,""ru"",""en"")"),"What is the maximum number of levels in the Battle Pass?")</f>
        <v>What is the maximum number of levels in the Battle Pass?</v>
      </c>
      <c r="B63" s="15" t="str">
        <f ca="1">IFERROR(__xludf.DUMMYFUNCTION("GOOGLETRANSLATE(Fortnite!B63,""ru"",""en"")"),"100")</f>
        <v>100</v>
      </c>
      <c r="C63" s="15" t="str">
        <f ca="1">IFERROR(__xludf.DUMMYFUNCTION("GOOGLETRANSLATE(Fortnite!C63,""ru"",""en"")"),"90")</f>
        <v>90</v>
      </c>
      <c r="D63" s="15" t="str">
        <f ca="1">IFERROR(__xludf.DUMMYFUNCTION("GOOGLETRANSLATE(Fortnite!D63,""ru"",""en"")"),"120")</f>
        <v>120</v>
      </c>
      <c r="E63" s="15" t="str">
        <f ca="1">IFERROR(__xludf.DUMMYFUNCTION("GOOGLETRANSLATE(Fortnite!E63,""ru"",""en"")"),"110")</f>
        <v>110</v>
      </c>
    </row>
    <row r="64" spans="1:5">
      <c r="A64" s="15" t="str">
        <f ca="1">IFERROR(__xludf.DUMMYFUNCTION("GOOGLETRANSLATE(Fortnite!A64,""ru"",""en"")"),"What is the name of the location that appeared on the site of Polar Peak?")</f>
        <v>What is the name of the location that appeared on the site of Polar Peak?</v>
      </c>
      <c r="B64" s="15" t="str">
        <f ca="1">IFERROR(__xludf.DUMMYFUNCTION("GOOGLETRANSLATE(Fortnite!B64,""ru"",""en"")"),"Pressure Plant")</f>
        <v>Pressure Plant</v>
      </c>
      <c r="C64" s="15" t="str">
        <f ca="1">IFERROR(__xludf.DUMMYFUNCTION("GOOGLETRANSLATE(Fortnite!C64,""ru"",""en"")"),"Ice Castle")</f>
        <v>Ice Castle</v>
      </c>
      <c r="D64" s="15" t="str">
        <f ca="1">IFERROR(__xludf.DUMMYFUNCTION("GOOGLETRANSLATE(Fortnite!D64,""ru"",""en"")"),"Frozen Fortress")</f>
        <v>Frozen Fortress</v>
      </c>
      <c r="E64" s="15" t="str">
        <f ca="1">IFERROR(__xludf.DUMMYFUNCTION("GOOGLETRANSLATE(Fortnite!E64,""ru"",""en"")"),"Cold Palace")</f>
        <v>Cold Palace</v>
      </c>
    </row>
    <row r="65" spans="1:5">
      <c r="A65" s="15" t="str">
        <f ca="1">IFERROR(__xludf.DUMMYFUNCTION("GOOGLETRANSLATE(Fortnite!A65,""ru"",""en"")"),"What weapon shoots fire projectiles?")</f>
        <v>What weapon shoots fire projectiles?</v>
      </c>
      <c r="B65" s="15" t="str">
        <f ca="1">IFERROR(__xludf.DUMMYFUNCTION("GOOGLETRANSLATE(Fortnite!B65,""ru"",""en"")"),"Flamethrower")</f>
        <v>Flamethrower</v>
      </c>
      <c r="C65" s="15" t="str">
        <f ca="1">IFERROR(__xludf.DUMMYFUNCTION("GOOGLETRANSLATE(Fortnite!C65,""ru"",""en"")"),"Fire Gun")</f>
        <v>Fire Gun</v>
      </c>
      <c r="D65" s="15" t="str">
        <f ca="1">IFERROR(__xludf.DUMMYFUNCTION("GOOGLETRANSLATE(Fortnite!D65,""ru"",""en"")"),"Burn Blaster")</f>
        <v>Burn Blaster</v>
      </c>
      <c r="E65" s="15" t="str">
        <f ca="1">IFERROR(__xludf.DUMMYFUNCTION("GOOGLETRANSLATE(Fortnite!E65,""ru"",""en"")"),"Heat Ray")</f>
        <v>Heat Ray</v>
      </c>
    </row>
    <row r="66" spans="1:5">
      <c r="A66" s="15" t="str">
        <f ca="1">IFERROR(__xludf.DUMMYFUNCTION("GOOGLETRANSLATE(Fortnite!A66,""ru"",""en"")"),"How many times can the Launch Pad be used?")</f>
        <v>How many times can the Launch Pad be used?</v>
      </c>
      <c r="B66" s="15" t="str">
        <f ca="1">IFERROR(__xludf.DUMMYFUNCTION("GOOGLETRANSLATE(Fortnite!B66,""ru"",""en"")"),"Endlessly")</f>
        <v>Endlessly</v>
      </c>
      <c r="C66" s="15" t="str">
        <f ca="1">IFERROR(__xludf.DUMMYFUNCTION("GOOGLETRANSLATE(Fortnite!C66,""ru"",""en"")"),"3 times")</f>
        <v>3 times</v>
      </c>
      <c r="D66" s="15" t="str">
        <f ca="1">IFERROR(__xludf.DUMMYFUNCTION("GOOGLETRANSLATE(Fortnite!D66,""ru"",""en"")"),"5 times")</f>
        <v>5 times</v>
      </c>
      <c r="E66" s="15" t="str">
        <f ca="1">IFERROR(__xludf.DUMMYFUNCTION("GOOGLETRANSLATE(Fortnite!E66,""ru"",""en"")"),"1 time")</f>
        <v>1 time</v>
      </c>
    </row>
    <row r="67" spans="1:5">
      <c r="A67" s="15" t="str">
        <f ca="1">IFERROR(__xludf.DUMMYFUNCTION("GOOGLETRANSLATE(Fortnite!A67,""ru"",""en"")"),"What is the name of the island that was floating above the map in Season 6?")</f>
        <v>What is the name of the island that was floating above the map in Season 6?</v>
      </c>
      <c r="B67" s="15" t="str">
        <f ca="1">IFERROR(__xludf.DUMMYFUNCTION("GOOGLETRANSLATE(Fortnite!B67,""ru"",""en"")"),"Floating Island")</f>
        <v>Floating Island</v>
      </c>
      <c r="C67" s="15" t="str">
        <f ca="1">IFERROR(__xludf.DUMMYFUNCTION("GOOGLETRANSLATE(Fortnite!C67,""ru"",""en"")"),"Flying Rock")</f>
        <v>Flying Rock</v>
      </c>
      <c r="D67" s="15" t="str">
        <f ca="1">IFERROR(__xludf.DUMMYFUNCTION("GOOGLETRANSLATE(Fortnite!D67,""ru"",""en"")"),"Hovering Land")</f>
        <v>Hovering Land</v>
      </c>
      <c r="E67" s="15" t="str">
        <f ca="1">IFERROR(__xludf.DUMMYFUNCTION("GOOGLETRANSLATE(Fortnite!E67,""ru"",""en"")"),"Sky Island")</f>
        <v>Sky Island</v>
      </c>
    </row>
    <row r="68" spans="1:5">
      <c r="A68" s="15" t="str">
        <f ca="1">IFERROR(__xludf.DUMMYFUNCTION("GOOGLETRANSLATE(Fortnite!A68,""ru"",""en"")"),"What material is mined the fastest with a pickaxe?")</f>
        <v>What material is mined the fastest with a pickaxe?</v>
      </c>
      <c r="B68" s="15" t="str">
        <f ca="1">IFERROR(__xludf.DUMMYFUNCTION("GOOGLETRANSLATE(Fortnite!B68,""ru"",""en"")"),"Tree")</f>
        <v>Tree</v>
      </c>
      <c r="C68" s="15" t="str">
        <f ca="1">IFERROR(__xludf.DUMMYFUNCTION("GOOGLETRANSLATE(Fortnite!C68,""ru"",""en"")"),"Stone")</f>
        <v>Stone</v>
      </c>
      <c r="D68" s="15" t="str">
        <f ca="1">IFERROR(__xludf.DUMMYFUNCTION("GOOGLETRANSLATE(Fortnite!D68,""ru"",""en"")"),"Metal")</f>
        <v>Metal</v>
      </c>
      <c r="E68" s="15" t="str">
        <f ca="1">IFERROR(__xludf.DUMMYFUNCTION("GOOGLETRANSLATE(Fortnite!E68,""ru"",""en"")"),"Crystal")</f>
        <v>Crystal</v>
      </c>
    </row>
    <row r="69" spans="1:5">
      <c r="A69" s="15" t="str">
        <f ca="1">IFERROR(__xludf.DUMMYFUNCTION("GOOGLETRANSLATE(Fortnite!A69,""ru"",""en"")"),"What is the maximum amount of ammunition that can be carried for one type of weapon?")</f>
        <v>What is the maximum amount of ammunition that can be carried for one type of weapon?</v>
      </c>
      <c r="B69" s="15" t="str">
        <f ca="1">IFERROR(__xludf.DUMMYFUNCTION("GOOGLETRANSLATE(Fortnite!B69,""ru"",""en"")"),"Different for each type")</f>
        <v>Different for each type</v>
      </c>
      <c r="C69" s="15" t="str">
        <f ca="1">IFERROR(__xludf.DUMMYFUNCTION("GOOGLETRANSLATE(Fortnite!C69,""ru"",""en"")"),"999")</f>
        <v>999</v>
      </c>
      <c r="D69" s="15" t="str">
        <f ca="1">IFERROR(__xludf.DUMMYFUNCTION("GOOGLETRANSLATE(Fortnite!D69,""ru"",""en"")"),"500")</f>
        <v>500</v>
      </c>
      <c r="E69" s="15" t="str">
        <f ca="1">IFERROR(__xludf.DUMMYFUNCTION("GOOGLETRANSLATE(Fortnite!E69,""ru"",""en"")"),"1000")</f>
        <v>1000</v>
      </c>
    </row>
    <row r="70" spans="1:5">
      <c r="A70" s="15" t="str">
        <f ca="1">IFERROR(__xludf.DUMMYFUNCTION("GOOGLETRANSLATE(Fortnite!A70,""ru"",""en"")"),"What is the name of the event that happened in the middle of Season 7?")</f>
        <v>What is the name of the event that happened in the middle of Season 7?</v>
      </c>
      <c r="B70" s="15" t="str">
        <f ca="1">IFERROR(__xludf.DUMMYFUNCTION("GOOGLETRANSLATE(Fortnite!B70,""ru"",""en"")"),"Ice Storm")</f>
        <v>Ice Storm</v>
      </c>
      <c r="C70" s="15" t="str">
        <f ca="1">IFERROR(__xludf.DUMMYFUNCTION("GOOGLETRANSLATE(Fortnite!C70,""ru"",""en"")"),"Snow Event")</f>
        <v>Snow Event</v>
      </c>
      <c r="D70" s="15" t="str">
        <f ca="1">IFERROR(__xludf.DUMMYFUNCTION("GOOGLETRANSLATE(Fortnite!D70,""ru"",""en"")"),"Blizzard Attack")</f>
        <v>Blizzard Attack</v>
      </c>
      <c r="E70" s="15" t="str">
        <f ca="1">IFERROR(__xludf.DUMMYFUNCTION("GOOGLETRANSLATE(Fortnite!E70,""ru"",""en"")"),"Freeze Storm")</f>
        <v>Freeze Storm</v>
      </c>
    </row>
    <row r="71" spans="1:5">
      <c r="A71" s="15" t="str">
        <f ca="1">IFERROR(__xludf.DUMMYFUNCTION("GOOGLETRANSLATE(Fortnite!A71,""ru"",""en"")"),"What weapon can fire a grappling hook with a rope?")</f>
        <v>What weapon can fire a grappling hook with a rope?</v>
      </c>
      <c r="B71" s="15" t="str">
        <f ca="1">IFERROR(__xludf.DUMMYFUNCTION("GOOGLETRANSLATE(Fortnite!B71,""ru"",""en"")"),"Grappler")</f>
        <v>Grappler</v>
      </c>
      <c r="C71" s="15" t="str">
        <f ca="1">IFERROR(__xludf.DUMMYFUNCTION("GOOGLETRANSLATE(Fortnite!C71,""ru"",""en"")"),"Hook Gun")</f>
        <v>Hook Gun</v>
      </c>
      <c r="D71" s="15" t="str">
        <f ca="1">IFERROR(__xludf.DUMMYFUNCTION("GOOGLETRANSLATE(Fortnite!D71,""ru"",""en"")"),"Rope Shooter")</f>
        <v>Rope Shooter</v>
      </c>
      <c r="E71" s="15" t="str">
        <f ca="1">IFERROR(__xludf.DUMMYFUNCTION("GOOGLETRANSLATE(Fortnite!E71,""ru"",""en"")"),"Cable Launcher")</f>
        <v>Cable Launcher</v>
      </c>
    </row>
    <row r="72" spans="1:5">
      <c r="A72" s="15" t="str">
        <f ca="1">IFERROR(__xludf.DUMMYFUNCTION("GOOGLETRANSLATE(Fortnite!A72,""ru"",""en"")"),"In which season did the Paradise Palms location appear?")</f>
        <v>In which season did the Paradise Palms location appear?</v>
      </c>
      <c r="B72" s="15" t="str">
        <f ca="1">IFERROR(__xludf.DUMMYFUNCTION("GOOGLETRANSLATE(Fortnite!B72,""ru"",""en"")"),"Season 5")</f>
        <v>Season 5</v>
      </c>
      <c r="C72" s="15" t="str">
        <f ca="1">IFERROR(__xludf.DUMMYFUNCTION("GOOGLETRANSLATE(Fortnite!C72,""ru"",""en"")"),"Season 4")</f>
        <v>Season 4</v>
      </c>
      <c r="D72" s="15" t="str">
        <f ca="1">IFERROR(__xludf.DUMMYFUNCTION("GOOGLETRANSLATE(Fortnite!D72,""ru"",""en"")"),"Season 6")</f>
        <v>Season 6</v>
      </c>
      <c r="E72" s="15" t="str">
        <f ca="1">IFERROR(__xludf.DUMMYFUNCTION("GOOGLETRANSLATE(Fortnite!E72,""ru"",""en"")"),"Season 7")</f>
        <v>Season 7</v>
      </c>
    </row>
    <row r="73" spans="1:5">
      <c r="A73" s="15" t="str">
        <f ca="1">IFERROR(__xludf.DUMMYFUNCTION("GOOGLETRANSLATE(Fortnite!A73,""ru"",""en"")"),"What item can be used to create a temporary shelter?")</f>
        <v>What item can be used to create a temporary shelter?</v>
      </c>
      <c r="B73" s="15" t="str">
        <f ca="1">IFERROR(__xludf.DUMMYFUNCTION("GOOGLETRANSLATE(Fortnite!B73,""ru"",""en"")"),"Port-a-Fort")</f>
        <v>Port-a-Fort</v>
      </c>
      <c r="C73" s="15" t="str">
        <f ca="1">IFERROR(__xludf.DUMMYFUNCTION("GOOGLETRANSLATE(Fortnite!C73,""ru"",""en"")"),"Quick Fort")</f>
        <v>Quick Fort</v>
      </c>
      <c r="D73" s="15" t="str">
        <f ca="1">IFERROR(__xludf.DUMMYFUNCTION("GOOGLETRANSLATE(Fortnite!D73,""ru"",""en"")"),"Instant Base")</f>
        <v>Instant Base</v>
      </c>
      <c r="E73" s="15" t="str">
        <f ca="1">IFERROR(__xludf.DUMMYFUNCTION("GOOGLETRANSLATE(Fortnite!E73,""ru"",""en"")"),"Fast Shelter")</f>
        <v>Fast Shelter</v>
      </c>
    </row>
    <row r="74" spans="1:5">
      <c r="A74" s="15" t="str">
        <f ca="1">IFERROR(__xludf.DUMMYFUNCTION("GOOGLETRANSLATE(Fortnite!A74,""ru"",""en"")"),"What is the name of the ability that allows you to build faster?")</f>
        <v>What is the name of the ability that allows you to build faster?</v>
      </c>
      <c r="B74" s="15" t="str">
        <f ca="1">IFERROR(__xludf.DUMMYFUNCTION("GOOGLETRANSLATE(Fortnite!B74,""ru"",""en"")"),"Turbo Building")</f>
        <v>Turbo Building</v>
      </c>
      <c r="C74" s="15" t="str">
        <f ca="1">IFERROR(__xludf.DUMMYFUNCTION("GOOGLETRANSLATE(Fortnite!C74,""ru"",""en"")"),"Speed ​​Build")</f>
        <v>Speed ​​Build</v>
      </c>
      <c r="D74" s="15" t="str">
        <f ca="1">IFERROR(__xludf.DUMMYFUNCTION("GOOGLETRANSLATE(Fortnite!D74,""ru"",""en"")"),"Fast Construction")</f>
        <v>Fast Construction</v>
      </c>
      <c r="E74" s="15" t="str">
        <f ca="1">IFERROR(__xludf.DUMMYFUNCTION("GOOGLETRANSLATE(Fortnite!E74,""ru"",""en"")"),"Quick Build")</f>
        <v>Quick Build</v>
      </c>
    </row>
    <row r="75" spans="1:5">
      <c r="A75" s="15" t="str">
        <f ca="1">IFERROR(__xludf.DUMMYFUNCTION("GOOGLETRANSLATE(Fortnite!A75,""ru"",""en"")"),"What weapon shoots explosive arrows?")</f>
        <v>What weapon shoots explosive arrows?</v>
      </c>
      <c r="B75" s="15" t="str">
        <f ca="1">IFERROR(__xludf.DUMMYFUNCTION("GOOGLETRANSLATE(Fortnite!B75,""ru"",""en"")"),"Boom Bow")</f>
        <v>Boom Bow</v>
      </c>
      <c r="C75" s="15" t="str">
        <f ca="1">IFERROR(__xludf.DUMMYFUNCTION("GOOGLETRANSLATE(Fortnite!C75,""ru"",""en"")"),"Explosive Bow")</f>
        <v>Explosive Bow</v>
      </c>
      <c r="D75" s="15" t="str">
        <f ca="1">IFERROR(__xludf.DUMMYFUNCTION("GOOGLETRANSLATE(Fortnite!D75,""ru"",""en"")"),"Blast Arrow")</f>
        <v>Blast Arrow</v>
      </c>
      <c r="E75" s="15" t="str">
        <f ca="1">IFERROR(__xludf.DUMMYFUNCTION("GOOGLETRANSLATE(Fortnite!E75,""ru"",""en"")"),"Dynamite Bow")</f>
        <v>Dynamite Bow</v>
      </c>
    </row>
    <row r="76" spans="1:5">
      <c r="A76" s="15" t="str">
        <f ca="1">IFERROR(__xludf.DUMMYFUNCTION("GOOGLETRANSLATE(Fortnite!A76,""ru"",""en"")"),"What is the name of the place where players can buy weapons with gold?")</f>
        <v>What is the name of the place where players can buy weapons with gold?</v>
      </c>
      <c r="B76" s="15" t="str">
        <f ca="1">IFERROR(__xludf.DUMMYFUNCTION("GOOGLETRANSLATE(Fortnite!B76,""ru"",""en"")"),"Upgrade Bench")</f>
        <v>Upgrade Bench</v>
      </c>
      <c r="C76" s="15" t="str">
        <f ca="1">IFERROR(__xludf.DUMMYFUNCTION("GOOGLETRANSLATE(Fortnite!C76,""ru"",""en"")"),"Weapon Shop")</f>
        <v>Weapon Shop</v>
      </c>
      <c r="D76" s="15" t="str">
        <f ca="1">IFERROR(__xludf.DUMMYFUNCTION("GOOGLETRANSLATE(Fortnite!D76,""ru"",""en"")"),"Gold Store")</f>
        <v>Gold Store</v>
      </c>
      <c r="E76" s="15" t="str">
        <f ca="1">IFERROR(__xludf.DUMMYFUNCTION("GOOGLETRANSLATE(Fortnite!E76,""ru"",""en"")"),"Trading Post")</f>
        <v>Trading Post</v>
      </c>
    </row>
    <row r="77" spans="1:5">
      <c r="A77" s="15" t="str">
        <f ca="1">IFERROR(__xludf.DUMMYFUNCTION("GOOGLETRANSLATE(Fortnite!A77,""ru"",""en"")"),"What is the name of the event where players fought against giant robots?")</f>
        <v>What is the name of the event where players fought against giant robots?</v>
      </c>
      <c r="B77" s="15" t="str">
        <f ca="1">IFERROR(__xludf.DUMMYFUNCTION("GOOGLETRANSLATE(Fortnite!B77,""ru"",""en"")"),"Mech vs. Monster")</f>
        <v>Mech vs. Monster</v>
      </c>
      <c r="C77" s="15" t="str">
        <f ca="1">IFERROR(__xludf.DUMMYFUNCTION("GOOGLETRANSLATE(Fortnite!C77,""ru"",""en"")"),"Robot War")</f>
        <v>Robot War</v>
      </c>
      <c r="D77" s="15" t="str">
        <f ca="1">IFERROR(__xludf.DUMMYFUNCTION("GOOGLETRANSLATE(Fortnite!D77,""ru"",""en"")"),"Giant Battle")</f>
        <v>Giant Battle</v>
      </c>
      <c r="E77" s="15" t="str">
        <f ca="1">IFERROR(__xludf.DUMMYFUNCTION("GOOGLETRANSLATE(Fortnite!E77,""ru"",""en"")"),"Kaiju Fight")</f>
        <v>Kaiju Fight</v>
      </c>
    </row>
    <row r="78" spans="1:5">
      <c r="A78" s="15" t="str">
        <f ca="1">IFERROR(__xludf.DUMMYFUNCTION("GOOGLETRANSLATE(Fortnite!A78,""ru"",""en"")"),"What is the maximum damage a critical hit from a pump shotgun can do?")</f>
        <v>What is the maximum damage a critical hit from a pump shotgun can do?</v>
      </c>
      <c r="B78" s="15" t="str">
        <f ca="1">IFERROR(__xludf.DUMMYFUNCTION("GOOGLETRANSLATE(Fortnite!B78,""ru"",""en"")"),"237")</f>
        <v>237</v>
      </c>
      <c r="C78" s="15" t="str">
        <f ca="1">IFERROR(__xludf.DUMMYFUNCTION("GOOGLETRANSLATE(Fortnite!C78,""ru"",""en"")"),"200")</f>
        <v>200</v>
      </c>
      <c r="D78" s="15" t="str">
        <f ca="1">IFERROR(__xludf.DUMMYFUNCTION("GOOGLETRANSLATE(Fortnite!D78,""ru"",""en"")"),"250")</f>
        <v>250</v>
      </c>
      <c r="E78" s="15" t="str">
        <f ca="1">IFERROR(__xludf.DUMMYFUNCTION("GOOGLETRANSLATE(Fortnite!E78,""ru"",""en"")"),"220")</f>
        <v>220</v>
      </c>
    </row>
    <row r="79" spans="1:5">
      <c r="A79" s="15" t="str">
        <f ca="1">IFERROR(__xludf.DUMMYFUNCTION("GOOGLETRANSLATE(Fortnite!A79,""ru"",""en"")"),"In what season did the character Jonesy appear?")</f>
        <v>In what season did the character Jonesy appear?</v>
      </c>
      <c r="B79" s="15" t="str">
        <f ca="1">IFERROR(__xludf.DUMMYFUNCTION("GOOGLETRANSLATE(Fortnite!B79,""ru"",""en"")"),"From the very beginning")</f>
        <v>From the very beginning</v>
      </c>
      <c r="C79" s="15" t="str">
        <f ca="1">IFERROR(__xludf.DUMMYFUNCTION("GOOGLETRANSLATE(Fortnite!C79,""ru"",""en"")"),"Season 2")</f>
        <v>Season 2</v>
      </c>
      <c r="D79" s="15" t="str">
        <f ca="1">IFERROR(__xludf.DUMMYFUNCTION("GOOGLETRANSLATE(Fortnite!D79,""ru"",""en"")"),"Season 3")</f>
        <v>Season 3</v>
      </c>
      <c r="E79" s="15" t="str">
        <f ca="1">IFERROR(__xludf.DUMMYFUNCTION("GOOGLETRANSLATE(Fortnite!E79,""ru"",""en"")"),"Season 1")</f>
        <v>Season 1</v>
      </c>
    </row>
    <row r="80" spans="1:5">
      <c r="A80" s="15" t="str">
        <f ca="1">IFERROR(__xludf.DUMMYFUNCTION("GOOGLETRANSLATE(Fortnite!A80,""ru"",""en"")"),"What is the name of the ability to see enemies through walls?")</f>
        <v>What is the name of the ability to see enemies through walls?</v>
      </c>
      <c r="B80" s="15" t="str">
        <f ca="1">IFERROR(__xludf.DUMMYFUNCTION("GOOGLETRANSLATE(Fortnite!B80,""ru"",""en"")"),"X-Ray Vision")</f>
        <v>X-Ray Vision</v>
      </c>
      <c r="C80" s="15" t="str">
        <f ca="1">IFERROR(__xludf.DUMMYFUNCTION("GOOGLETRANSLATE(Fortnite!C80,""ru"",""en"")"),"Wall Hack")</f>
        <v>Wall Hack</v>
      </c>
      <c r="D80" s="15" t="str">
        <f ca="1">IFERROR(__xludf.DUMMYFUNCTION("GOOGLETRANSLATE(Fortnite!D80,""ru"",""en"")"),"See Through")</f>
        <v>See Through</v>
      </c>
      <c r="E80" s="15" t="str">
        <f ca="1">IFERROR(__xludf.DUMMYFUNCTION("GOOGLETRANSLATE(Fortnite!E80,""ru"",""en"")"),"Thermal Vision")</f>
        <v>Thermal Vision</v>
      </c>
    </row>
    <row r="81" spans="1:5">
      <c r="A81" s="15" t="str">
        <f ca="1">IFERROR(__xludf.DUMMYFUNCTION("GOOGLETRANSLATE(Fortnite!A81,""ru"",""en"")"),"What location replaced Wailing Woods?")</f>
        <v>What location replaced Wailing Woods?</v>
      </c>
      <c r="B81" s="15" t="str">
        <f ca="1">IFERROR(__xludf.DUMMYFUNCTION("GOOGLETRANSLATE(Fortnite!B81,""ru"",""en"")"),"The Block")</f>
        <v>The Block</v>
      </c>
      <c r="C81" s="15" t="str">
        <f ca="1">IFERROR(__xludf.DUMMYFUNCTION("GOOGLETRANSLATE(Fortnite!C81,""ru"",""en"")"),"New Woods")</f>
        <v>New Woods</v>
      </c>
      <c r="D81" s="15" t="str">
        <f ca="1">IFERROR(__xludf.DUMMYFUNCTION("GOOGLETRANSLATE(Fortnite!D81,""ru"",""en"")"),"Forest Park")</f>
        <v>Forest Park</v>
      </c>
      <c r="E81" s="15" t="str">
        <f ca="1">IFERROR(__xludf.DUMMYFUNCTION("GOOGLETRANSLATE(Fortnite!E81,""ru"",""en"")"),"Tree Town")</f>
        <v>Tree Town</v>
      </c>
    </row>
    <row r="82" spans="1:5">
      <c r="A82" s="15" t="str">
        <f ca="1">IFERROR(__xludf.DUMMYFUNCTION("GOOGLETRANSLATE(Fortnite!A82,""ru"",""en"")"),"How many health points does a large first aid kit restore?")</f>
        <v>How many health points does a large first aid kit restore?</v>
      </c>
      <c r="B82" s="15" t="str">
        <f ca="1">IFERROR(__xludf.DUMMYFUNCTION("GOOGLETRANSLATE(Fortnite!B82,""ru"",""en"")"),"100")</f>
        <v>100</v>
      </c>
      <c r="C82" s="15" t="str">
        <f ca="1">IFERROR(__xludf.DUMMYFUNCTION("GOOGLETRANSLATE(Fortnite!C82,""ru"",""en"")"),"75")</f>
        <v>75</v>
      </c>
      <c r="D82" s="15" t="str">
        <f ca="1">IFERROR(__xludf.DUMMYFUNCTION("GOOGLETRANSLATE(Fortnite!D82,""ru"",""en"")"),"50")</f>
        <v>50</v>
      </c>
      <c r="E82" s="15" t="str">
        <f ca="1">IFERROR(__xludf.DUMMYFUNCTION("GOOGLETRANSLATE(Fortnite!E82,""ru"",""en"")"),"125")</f>
        <v>125</v>
      </c>
    </row>
    <row r="83" spans="1:5">
      <c r="A83" s="15" t="str">
        <f ca="1">IFERROR(__xludf.DUMMYFUNCTION("GOOGLETRANSLATE(Fortnite!A83,""ru"",""en"")"),"What is the name of the zombie mode that comes back periodically?")</f>
        <v>What is the name of the zombie mode that comes back periodically?</v>
      </c>
      <c r="B83" s="15" t="str">
        <f ca="1">IFERROR(__xludf.DUMMYFUNCTION("GOOGLETRANSLATE(Fortnite!B83,""ru"",""en"")"),"Fortnitemares")</f>
        <v>Fortnitemares</v>
      </c>
      <c r="C83" s="15" t="str">
        <f ca="1">IFERROR(__xludf.DUMMYFUNCTION("GOOGLETRANSLATE(Fortnite!C83,""ru"",""en"")"),"Zombie Mode")</f>
        <v>Zombie Mode</v>
      </c>
      <c r="D83" s="15" t="str">
        <f ca="1">IFERROR(__xludf.DUMMYFUNCTION("GOOGLETRANSLATE(Fortnite!D83,""ru"",""en"")"),"Halloween Event")</f>
        <v>Halloween Event</v>
      </c>
      <c r="E83" s="15" t="str">
        <f ca="1">IFERROR(__xludf.DUMMYFUNCTION("GOOGLETRANSLATE(Fortnite!E83,""ru"",""en"")"),"Undead Rush")</f>
        <v>Undead Rush</v>
      </c>
    </row>
    <row r="84" spans="1:5">
      <c r="A84" s="15" t="str">
        <f ca="1">IFERROR(__xludf.DUMMYFUNCTION("GOOGLETRANSLATE(Fortnite!A84,""ru"",""en"")"),"Which character wears a golden suit and has the ability to turn objects into gold?")</f>
        <v>Which character wears a golden suit and has the ability to turn objects into gold?</v>
      </c>
      <c r="B84" s="15" t="str">
        <f ca="1">IFERROR(__xludf.DUMMYFUNCTION("GOOGLETRANSLATE(Fortnite!B84,""ru"",""en"")"),"Midas")</f>
        <v>Midas</v>
      </c>
      <c r="C84" s="15" t="str">
        <f ca="1">IFERROR(__xludf.DUMMYFUNCTION("GOOGLETRANSLATE(Fortnite!C84,""ru"",""en"")"),"Golden")</f>
        <v>Golden</v>
      </c>
      <c r="D84" s="15" t="str">
        <f ca="1">IFERROR(__xludf.DUMMYFUNCTION("GOOGLETRANSLATE(Fortnite!D84,""ru"",""en"")"),"King Gold")</f>
        <v>King Gold</v>
      </c>
      <c r="E84" s="15" t="str">
        <f ca="1">IFERROR(__xludf.DUMMYFUNCTION("GOOGLETRANSLATE(Fortnite!E84,""ru"",""en"")"),"Aureus")</f>
        <v>Aureus</v>
      </c>
    </row>
    <row r="85" spans="1:5">
      <c r="A85" s="15" t="str">
        <f ca="1">IFERROR(__xludf.DUMMYFUNCTION("GOOGLETRANSLATE(Fortnite!A85,""ru"",""en"")"),"In which season was the swimming mechanic added?")</f>
        <v>In which season was the swimming mechanic added?</v>
      </c>
      <c r="B85" s="15" t="str">
        <f ca="1">IFERROR(__xludf.DUMMYFUNCTION("GOOGLETRANSLATE(Fortnite!B85,""ru"",""en"")"),"Season 3 Chapter 1")</f>
        <v>Season 3 Chapter 1</v>
      </c>
      <c r="C85" s="15" t="str">
        <f ca="1">IFERROR(__xludf.DUMMYFUNCTION("GOOGLETRANSLATE(Fortnite!C85,""ru"",""en"")"),"Season 4 Chapter 1")</f>
        <v>Season 4 Chapter 1</v>
      </c>
      <c r="D85" s="15" t="str">
        <f ca="1">IFERROR(__xludf.DUMMYFUNCTION("GOOGLETRANSLATE(Fortnite!D85,""ru"",""en"")"),"Season 1 Chapter 2")</f>
        <v>Season 1 Chapter 2</v>
      </c>
      <c r="E85" s="15" t="str">
        <f ca="1">IFERROR(__xludf.DUMMYFUNCTION("GOOGLETRANSLATE(Fortnite!E85,""ru"",""en"")"),"Season 2 Chapter 1")</f>
        <v>Season 2 Chapter 1</v>
      </c>
    </row>
    <row r="86" spans="1:5">
      <c r="A86" s="15" t="str">
        <f ca="1">IFERROR(__xludf.DUMMYFUNCTION("GOOGLETRANSLATE(Fortnite!A86,""ru"",""en"")"),"What is the name of the dance based on the popular crab meme?")</f>
        <v>What is the name of the dance based on the popular crab meme?</v>
      </c>
      <c r="B86" s="15" t="str">
        <f ca="1">IFERROR(__xludf.DUMMYFUNCTION("GOOGLETRANSLATE(Fortnite!B86,""ru"",""en"")"),"Crab Rave")</f>
        <v>Crab Rave</v>
      </c>
      <c r="C86" s="15" t="str">
        <f ca="1">IFERROR(__xludf.DUMMYFUNCTION("GOOGLETRANSLATE(Fortnite!C86,""ru"",""en"")"),"Crab Walk")</f>
        <v>Crab Walk</v>
      </c>
      <c r="D86" s="15" t="str">
        <f ca="1">IFERROR(__xludf.DUMMYFUNCTION("GOOGLETRANSLATE(Fortnite!D86,""ru"",""en"")"),"Shell Shock")</f>
        <v>Shell Shock</v>
      </c>
      <c r="E86" s="15" t="str">
        <f ca="1">IFERROR(__xludf.DUMMYFUNCTION("GOOGLETRANSLATE(Fortnite!E86,""ru"",""en"")"),"Ocean Dance")</f>
        <v>Ocean Dance</v>
      </c>
    </row>
    <row r="87" spans="1:5">
      <c r="A87" s="15" t="str">
        <f ca="1">IFERROR(__xludf.DUMMYFUNCTION("GOOGLETRANSLATE(Fortnite!A87,""ru"",""en"")"),"What weapon shoots laser beams?")</f>
        <v>What weapon shoots laser beams?</v>
      </c>
      <c r="B87" s="15" t="str">
        <f ca="1">IFERROR(__xludf.DUMMYFUNCTION("GOOGLETRANSLATE(Fortnite!B87,""ru"",""en"")"),"Charge Shotgun")</f>
        <v>Charge Shotgun</v>
      </c>
      <c r="C87" s="15" t="str">
        <f ca="1">IFERROR(__xludf.DUMMYFUNCTION("GOOGLETRANSLATE(Fortnite!C87,""ru"",""en"")"),"Laser Rifle")</f>
        <v>Laser Rifle</v>
      </c>
      <c r="D87" s="15" t="str">
        <f ca="1">IFERROR(__xludf.DUMMYFUNCTION("GOOGLETRANSLATE(Fortnite!D87,""ru"",""en"")"),"Plasma Gun")</f>
        <v>Plasma Gun</v>
      </c>
      <c r="E87" s="15" t="str">
        <f ca="1">IFERROR(__xludf.DUMMYFUNCTION("GOOGLETRANSLATE(Fortnite!E87,""ru"",""en"")"),"Energy Blaster")</f>
        <v>Energy Blaster</v>
      </c>
    </row>
    <row r="88" spans="1:5">
      <c r="A88" s="15" t="str">
        <f ca="1">IFERROR(__xludf.DUMMYFUNCTION("GOOGLETRANSLATE(Fortnite!A88,""ru"",""en"")"),"How much gold does it take to fully upgrade a weapon?")</f>
        <v>How much gold does it take to fully upgrade a weapon?</v>
      </c>
      <c r="B88" s="15" t="str">
        <f ca="1">IFERROR(__xludf.DUMMYFUNCTION("GOOGLETRANSLATE(Fortnite!B88,""ru"",""en"")"),"Depends on the weapon")</f>
        <v>Depends on the weapon</v>
      </c>
      <c r="C88" s="15" t="str">
        <f ca="1">IFERROR(__xludf.DUMMYFUNCTION("GOOGLETRANSLATE(Fortnite!C88,""ru"",""en"")"),"500")</f>
        <v>500</v>
      </c>
      <c r="D88" s="15" t="str">
        <f ca="1">IFERROR(__xludf.DUMMYFUNCTION("GOOGLETRANSLATE(Fortnite!D88,""ru"",""en"")"),"750")</f>
        <v>750</v>
      </c>
      <c r="E88" s="15" t="str">
        <f ca="1">IFERROR(__xludf.DUMMYFUNCTION("GOOGLETRANSLATE(Fortnite!E88,""ru"",""en"")"),"1000")</f>
        <v>1000</v>
      </c>
    </row>
    <row r="89" spans="1:5">
      <c r="A89" s="15" t="str">
        <f ca="1">IFERROR(__xludf.DUMMYFUNCTION("GOOGLETRANSLATE(Fortnite!A89,""ru"",""en"")"),"What is the name of the location where the big robot was located?")</f>
        <v>What is the name of the location where the big robot was located?</v>
      </c>
      <c r="B89" s="15" t="str">
        <f ca="1">IFERROR(__xludf.DUMMYFUNCTION("GOOGLETRANSLATE(Fortnite!B89,""ru"",""en"")"),"Pressure Plant")</f>
        <v>Pressure Plant</v>
      </c>
      <c r="C89" s="15" t="str">
        <f ca="1">IFERROR(__xludf.DUMMYFUNCTION("GOOGLETRANSLATE(Fortnite!C89,""ru"",""en"")"),"Robot Factory")</f>
        <v>Robot Factory</v>
      </c>
      <c r="D89" s="15" t="str">
        <f ca="1">IFERROR(__xludf.DUMMYFUNCTION("GOOGLETRANSLATE(Fortnite!D89,""ru"",""en"")"),"Mech Base")</f>
        <v>Mech Base</v>
      </c>
      <c r="E89" s="15" t="str">
        <f ca="1">IFERROR(__xludf.DUMMYFUNCTION("GOOGLETRANSLATE(Fortnite!E89,""ru"",""en"")"),"Steel City")</f>
        <v>Steel City</v>
      </c>
    </row>
    <row r="90" spans="1:5">
      <c r="A90" s="15" t="str">
        <f ca="1">IFERROR(__xludf.DUMMYFUNCTION("GOOGLETRANSLATE(Fortnite!A90,""ru"",""en"")"),"In which season were players able to fly dragons?")</f>
        <v>In which season were players able to fly dragons?</v>
      </c>
      <c r="B90" s="15" t="str">
        <f ca="1">IFERROR(__xludf.DUMMYFUNCTION("GOOGLETRANSLATE(Fortnite!B90,""ru"",""en"")"),"Never")</f>
        <v>Never</v>
      </c>
      <c r="C90" s="15" t="str">
        <f ca="1">IFERROR(__xludf.DUMMYFUNCTION("GOOGLETRANSLATE(Fortnite!C90,""ru"",""en"")"),"Season 8")</f>
        <v>Season 8</v>
      </c>
      <c r="D90" s="15" t="str">
        <f ca="1">IFERROR(__xludf.DUMMYFUNCTION("GOOGLETRANSLATE(Fortnite!D90,""ru"",""en"")"),"Season 6")</f>
        <v>Season 6</v>
      </c>
      <c r="E90" s="15" t="str">
        <f ca="1">IFERROR(__xludf.DUMMYFUNCTION("GOOGLETRANSLATE(Fortnite!E90,""ru"",""en"")"),"Season 7")</f>
        <v>Season 7</v>
      </c>
    </row>
    <row r="91" spans="1:5">
      <c r="A91" s="15" t="str">
        <f ca="1">IFERROR(__xludf.DUMMYFUNCTION("GOOGLETRANSLATE(Fortnite!A91,""ru"",""en"")"),"What item allows you to instantly build a metal fort?")</f>
        <v>What item allows you to instantly build a metal fort?</v>
      </c>
      <c r="B91" s="15" t="str">
        <f ca="1">IFERROR(__xludf.DUMMYFUNCTION("GOOGLETRANSLATE(Fortnite!B91,""ru"",""en"")"),"Port-a-Fortress")</f>
        <v>Port-a-Fortress</v>
      </c>
      <c r="C91" s="15" t="str">
        <f ca="1">IFERROR(__xludf.DUMMYFUNCTION("GOOGLETRANSLATE(Fortnite!C91,""ru"",""en"")"),"Mega Fort")</f>
        <v>Mega Fort</v>
      </c>
      <c r="D91" s="15" t="str">
        <f ca="1">IFERROR(__xludf.DUMMYFUNCTION("GOOGLETRANSLATE(Fortnite!D91,""ru"",""en"")"),"Steel Base")</f>
        <v>Steel Base</v>
      </c>
      <c r="E91" s="15" t="str">
        <f ca="1">IFERROR(__xludf.DUMMYFUNCTION("GOOGLETRANSLATE(Fortnite!E91,""ru"",""en"")"),"Metal Fortress")</f>
        <v>Metal Fortress</v>
      </c>
    </row>
    <row r="92" spans="1:5">
      <c r="A92" s="15" t="str">
        <f ca="1">IFERROR(__xludf.DUMMYFUNCTION("GOOGLETRANSLATE(Fortnite!A92,""ru"",""en"")"),"What is the name of the ability of some skins to change their appearance in the game?")</f>
        <v>What is the name of the ability of some skins to change their appearance in the game?</v>
      </c>
      <c r="B92" s="15" t="str">
        <f ca="1">IFERROR(__xludf.DUMMYFUNCTION("GOOGLETRANSLATE(Fortnite!B92,""ru"",""en"")"),"Reactivity")</f>
        <v>Reactivity</v>
      </c>
      <c r="C92" s="15" t="str">
        <f ca="1">IFERROR(__xludf.DUMMYFUNCTION("GOOGLETRANSLATE(Fortnite!C92,""ru"",""en"")"),"Transformation")</f>
        <v>Transformation</v>
      </c>
      <c r="D92" s="15" t="str">
        <f ca="1">IFERROR(__xludf.DUMMYFUNCTION("GOOGLETRANSLATE(Fortnite!D92,""ru"",""en"")"),"Evolution")</f>
        <v>Evolution</v>
      </c>
      <c r="E92" s="15" t="str">
        <f ca="1">IFERROR(__xludf.DUMMYFUNCTION("GOOGLETRANSLATE(Fortnite!E92,""ru"",""en"")"),"Mutation")</f>
        <v>Mutation</v>
      </c>
    </row>
    <row r="93" spans="1:5">
      <c r="A93" s="15" t="str">
        <f ca="1">IFERROR(__xludf.DUMMYFUNCTION("GOOGLETRANSLATE(Fortnite!A93,""ru"",""en"")"),"What is the maximum building height in the game?")</f>
        <v>What is the maximum building height in the game?</v>
      </c>
      <c r="B93" s="15" t="str">
        <f ca="1">IFERROR(__xludf.DUMMYFUNCTION("GOOGLETRANSLATE(Fortnite!B93,""ru"",""en"")"),"Limited by altitude limit")</f>
        <v>Limited by altitude limit</v>
      </c>
      <c r="C93" s="15" t="str">
        <f ca="1">IFERROR(__xludf.DUMMYFUNCTION("GOOGLETRANSLATE(Fortnite!C93,""ru"",""en"")"),"20 blocks")</f>
        <v>20 blocks</v>
      </c>
      <c r="D93" s="15" t="str">
        <f ca="1">IFERROR(__xludf.DUMMYFUNCTION("GOOGLETRANSLATE(Fortnite!D93,""ru"",""en"")"),"50 blocks")</f>
        <v>50 blocks</v>
      </c>
      <c r="E93" s="15" t="str">
        <f ca="1">IFERROR(__xludf.DUMMYFUNCTION("GOOGLETRANSLATE(Fortnite!E93,""ru"",""en"")"),"100 blocks")</f>
        <v>100 blocks</v>
      </c>
    </row>
    <row r="94" spans="1:5">
      <c r="A94" s="15" t="str">
        <f ca="1">IFERROR(__xludf.DUMMYFUNCTION("GOOGLETRANSLATE(Fortnite!A94,""ru"",""en"")"),"In which season did the first bosses appear on the map?")</f>
        <v>In which season did the first bosses appear on the map?</v>
      </c>
      <c r="B94" s="15" t="str">
        <f ca="1">IFERROR(__xludf.DUMMYFUNCTION("GOOGLETRANSLATE(Fortnite!B94,""ru"",""en"")"),"Season 6 Chapter 2")</f>
        <v>Season 6 Chapter 2</v>
      </c>
      <c r="C94" s="15" t="str">
        <f ca="1">IFERROR(__xludf.DUMMYFUNCTION("GOOGLETRANSLATE(Fortnite!C94,""ru"",""en"")"),"Season 4 Chapter 2")</f>
        <v>Season 4 Chapter 2</v>
      </c>
      <c r="D94" s="15" t="str">
        <f ca="1">IFERROR(__xludf.DUMMYFUNCTION("GOOGLETRANSLATE(Fortnite!D94,""ru"",""en"")"),"Season 5 Chapter 2")</f>
        <v>Season 5 Chapter 2</v>
      </c>
      <c r="E94" s="15" t="str">
        <f ca="1">IFERROR(__xludf.DUMMYFUNCTION("GOOGLETRANSLATE(Fortnite!E94,""ru"",""en"")"),"Season 7 Chapter 2")</f>
        <v>Season 7 Chapter 2</v>
      </c>
    </row>
    <row r="95" spans="1:5">
      <c r="A95" s="15" t="str">
        <f ca="1">IFERROR(__xludf.DUMMYFUNCTION("GOOGLETRANSLATE(Fortnite!A95,""ru"",""en"")"),"What is the name of the emote where the character does a backflip?")</f>
        <v>What is the name of the emote where the character does a backflip?</v>
      </c>
      <c r="B95" s="15" t="str">
        <f ca="1">IFERROR(__xludf.DUMMYFUNCTION("GOOGLETRANSLATE(Fortnite!B95,""ru"",""en"")"),"Backflip")</f>
        <v>Backflip</v>
      </c>
      <c r="C95" s="15" t="str">
        <f ca="1">IFERROR(__xludf.DUMMYFUNCTION("GOOGLETRANSLATE(Fortnite!C95,""ru"",""en"")"),"Flip Out")</f>
        <v>Flip Out</v>
      </c>
      <c r="D95" s="15" t="str">
        <f ca="1">IFERROR(__xludf.DUMMYFUNCTION("GOOGLETRANSLATE(Fortnite!D95,""ru"",""en"")"),"Reverse Jump")</f>
        <v>Reverse Jump</v>
      </c>
      <c r="E95" s="15" t="str">
        <f ca="1">IFERROR(__xludf.DUMMYFUNCTION("GOOGLETRANSLATE(Fortnite!E95,""ru"",""en"")"),"Back Roll")</f>
        <v>Back Roll</v>
      </c>
    </row>
    <row r="96" spans="1:5">
      <c r="A96" s="15" t="str">
        <f ca="1">IFERROR(__xludf.DUMMYFUNCTION("GOOGLETRANSLATE(Fortnite!A96,""ru"",""en"")"),"What is the maximum number of players that can edit one building at the same time?")</f>
        <v>What is the maximum number of players that can edit one building at the same time?</v>
      </c>
      <c r="B96" s="15" t="str">
        <f ca="1">IFERROR(__xludf.DUMMYFUNCTION("GOOGLETRANSLATE(Fortnite!B96,""ru"",""en"")"),"1")</f>
        <v>1</v>
      </c>
      <c r="C96" s="15" t="str">
        <f ca="1">IFERROR(__xludf.DUMMYFUNCTION("GOOGLETRANSLATE(Fortnite!C96,""ru"",""en"")"),"2")</f>
        <v>2</v>
      </c>
      <c r="D96" s="15" t="str">
        <f ca="1">IFERROR(__xludf.DUMMYFUNCTION("GOOGLETRANSLATE(Fortnite!D96,""ru"",""en"")"),"4")</f>
        <v>4</v>
      </c>
      <c r="E96" s="15" t="str">
        <f ca="1">IFERROR(__xludf.DUMMYFUNCTION("GOOGLETRANSLATE(Fortnite!E96,""ru"",""en"")"),"All in the team")</f>
        <v>All in the team</v>
      </c>
    </row>
    <row r="97" spans="1:5">
      <c r="A97" s="15" t="str">
        <f ca="1">IFERROR(__xludf.DUMMYFUNCTION("GOOGLETRANSLATE(Fortnite!A97,""ru"",""en"")"),"In which season was the ability to ride animals added?")</f>
        <v>In which season was the ability to ride animals added?</v>
      </c>
      <c r="B97" s="15" t="str">
        <f ca="1">IFERROR(__xludf.DUMMYFUNCTION("GOOGLETRANSLATE(Fortnite!B97,""ru"",""en"")"),"Season 6 Chapter 2")</f>
        <v>Season 6 Chapter 2</v>
      </c>
      <c r="C97" s="15" t="str">
        <f ca="1">IFERROR(__xludf.DUMMYFUNCTION("GOOGLETRANSLATE(Fortnite!C97,""ru"",""en"")"),"Season 5 Chapter 2")</f>
        <v>Season 5 Chapter 2</v>
      </c>
      <c r="D97" s="15" t="str">
        <f ca="1">IFERROR(__xludf.DUMMYFUNCTION("GOOGLETRANSLATE(Fortnite!D97,""ru"",""en"")"),"Season 7 Chapter 2")</f>
        <v>Season 7 Chapter 2</v>
      </c>
      <c r="E97" s="15" t="str">
        <f ca="1">IFERROR(__xludf.DUMMYFUNCTION("GOOGLETRANSLATE(Fortnite!E97,""ru"",""en"")"),"Season 8 Chapter 2")</f>
        <v>Season 8 Chapter 2</v>
      </c>
    </row>
    <row r="98" spans="1:5">
      <c r="A98" s="15" t="str">
        <f ca="1">IFERROR(__xludf.DUMMYFUNCTION("GOOGLETRANSLATE(Fortnite!A98,""ru"",""en"")"),"What was the name of the event where you had to complete tasks from Snegnazovets?")</f>
        <v>What was the name of the event where you had to complete tasks from Snegnazovets?</v>
      </c>
      <c r="B98" s="15" t="str">
        <f ca="1">IFERROR(__xludf.DUMMYFUNCTION("GOOGLETRANSLATE(Fortnite!B98,""ru"",""en"")"),"Operation Snowdown")</f>
        <v>Operation Snowdown</v>
      </c>
      <c r="C98" s="15" t="str">
        <f ca="1">IFERROR(__xludf.DUMMYFUNCTION("GOOGLETRANSLATE(Fortnite!C98,""ru"",""en"")"),"New Year")</f>
        <v>New Year</v>
      </c>
      <c r="D98" s="15" t="str">
        <f ca="1">IFERROR(__xludf.DUMMYFUNCTION("GOOGLETRANSLATE(Fortnite!D98,""ru"",""en"")"),"Winterfest")</f>
        <v>Winterfest</v>
      </c>
      <c r="E98" s="15" t="str">
        <f ca="1">IFERROR(__xludf.DUMMYFUNCTION("GOOGLETRANSLATE(Fortnite!E98,""ru"",""en"")"),"Gold Rush")</f>
        <v>Gold Rush</v>
      </c>
    </row>
    <row r="99" spans="1:5">
      <c r="A99" s="15" t="str">
        <f ca="1">IFERROR(__xludf.DUMMYFUNCTION("GOOGLETRANSLATE(Fortnite!A99,""ru"",""en"")"),"Which character is famous for the phrase ""Never gonna give you up""?")</f>
        <v>Which character is famous for the phrase "Never gonna give you up"?</v>
      </c>
      <c r="B99" s="15" t="str">
        <f ca="1">IFERROR(__xludf.DUMMYFUNCTION("GOOGLETRANSLATE(Fortnite!B99,""ru"",""en"")"),"Rick Astley")</f>
        <v>Rick Astley</v>
      </c>
      <c r="C99" s="15" t="str">
        <f ca="1">IFERROR(__xludf.DUMMYFUNCTION("GOOGLETRANSLATE(Fortnite!C99,""ru"",""en"")"),"Jonesy")</f>
        <v>Jonesy</v>
      </c>
      <c r="D99" s="15" t="str">
        <f ca="1">IFERROR(__xludf.DUMMYFUNCTION("GOOGLETRANSLATE(Fortnite!D99,""ru"",""en"")"),"We drank")</f>
        <v>We drank</v>
      </c>
      <c r="E99" s="15" t="str">
        <f ca="1">IFERROR(__xludf.DUMMYFUNCTION("GOOGLETRANSLATE(Fortnite!E99,""ru"",""en"")"),"Whale")</f>
        <v>Whale</v>
      </c>
    </row>
    <row r="100" spans="1:5">
      <c r="A100" s="15" t="str">
        <f ca="1">IFERROR(__xludf.DUMMYFUNCTION("GOOGLETRANSLATE(Fortnite!A100,""ru"",""en"")"),"How long does one full storm cycle last in a standard match?")</f>
        <v>How long does one full storm cycle last in a standard match?</v>
      </c>
      <c r="B100" s="15" t="str">
        <f ca="1">IFERROR(__xludf.DUMMYFUNCTION("GOOGLETRANSLATE(Fortnite!B100,""ru"",""en"")"),"About 25 minutes")</f>
        <v>About 25 minutes</v>
      </c>
      <c r="C100" s="15" t="str">
        <f ca="1">IFERROR(__xludf.DUMMYFUNCTION("GOOGLETRANSLATE(Fortnite!C100,""ru"",""en"")"),"20 minutes")</f>
        <v>20 minutes</v>
      </c>
      <c r="D100" s="15" t="str">
        <f ca="1">IFERROR(__xludf.DUMMYFUNCTION("GOOGLETRANSLATE(Fortnite!D100,""ru"",""en"")"),"30 minutes")</f>
        <v>30 minutes</v>
      </c>
      <c r="E100" s="15" t="str">
        <f ca="1">IFERROR(__xludf.DUMMYFUNCTION("GOOGLETRANSLATE(Fortnite!E100,""ru"",""en"")"),"15 minutes")</f>
        <v>15 minutes</v>
      </c>
    </row>
    <row r="101" spans="1:5">
      <c r="A101" s="15" t="str">
        <f ca="1">IFERROR(__xludf.DUMMYFUNCTION("GOOGLETRANSLATE(Fortnite!A101,""ru"",""en"")"),"What is the name of the special type of match with a reduced map?")</f>
        <v>What is the name of the special type of match with a reduced map?</v>
      </c>
      <c r="B101" s="15" t="str">
        <f ca="1">IFERROR(__xludf.DUMMYFUNCTION("GOOGLETRANSLATE(Fortnite!B101,""ru"",""en"")"),"Arena")</f>
        <v>Arena</v>
      </c>
      <c r="C101" s="15" t="str">
        <f ca="1">IFERROR(__xludf.DUMMYFUNCTION("GOOGLETRANSLATE(Fortnite!C101,""ru"",""en"")"),"Mini Battle")</f>
        <v>Mini Battle</v>
      </c>
      <c r="D101" s="15" t="str">
        <f ca="1">IFERROR(__xludf.DUMMYFUNCTION("GOOGLETRANSLATE(Fortnite!D101,""ru"",""en"")"),"Quick Match")</f>
        <v>Quick Match</v>
      </c>
      <c r="E101" s="15" t="str">
        <f ca="1">IFERROR(__xludf.DUMMYFUNCTION("GOOGLETRANSLATE(Fortnite!E101,""ru"",""en"")"),"Speed ​​Game")</f>
        <v>Speed ​​Game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Майнкрафт</vt:lpstr>
      <vt:lpstr>EN Minecraft</vt:lpstr>
      <vt:lpstr>Brawl Stars</vt:lpstr>
      <vt:lpstr>EN Brawl Stars</vt:lpstr>
      <vt:lpstr>Genshin Impact</vt:lpstr>
      <vt:lpstr>EN Genshin Impact</vt:lpstr>
      <vt:lpstr>Fortnite</vt:lpstr>
      <vt:lpstr>EN Fortnite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oioi oi</cp:lastModifiedBy>
  <dcterms:modified xsi:type="dcterms:W3CDTF">2026-06-06T08:35:41Z</dcterms:modified>
</cp:coreProperties>
</file>