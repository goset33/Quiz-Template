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Майнкрафт" sheetId="1" r:id="rId4"/>
    <sheet state="visible" name="Brawl Stars" sheetId="2" r:id="rId5"/>
    <sheet state="visible" name="Genshin Impact" sheetId="3" r:id="rId6"/>
    <sheet state="visible" name="Fortnite" sheetId="4" r:id="rId7"/>
  </sheets>
  <definedNames/>
  <calcPr/>
</workbook>
</file>

<file path=xl/sharedStrings.xml><?xml version="1.0" encoding="utf-8"?>
<sst xmlns="http://schemas.openxmlformats.org/spreadsheetml/2006/main" count="1676" uniqueCount="1187">
  <si>
    <t>Вопрос</t>
  </si>
  <si>
    <t>Правильный ответ</t>
  </si>
  <si>
    <t>Ответ 2</t>
  </si>
  <si>
    <t>Ответ 3</t>
  </si>
  <si>
    <t>Ответ 4</t>
  </si>
  <si>
    <t>Общие вопросы</t>
  </si>
  <si>
    <t>Как называется измерение, где обитает Эндер-дракон? а) Край б) Ад в) Верхний мир г) Измерение скалка</t>
  </si>
  <si>
    <t>Где можно встретить лягушек в майнкрафте? а) Болото б) Джунгли в) Пышные пещеры г) Пустыня</t>
  </si>
  <si>
    <t>Как называется режим, в котором можно летать и иметь неограниченные ресурсы? а) Творческий режим б) Режим выживания в) Режим приключений г) Режим наблюдателя</t>
  </si>
  <si>
    <t>С какого моба выпадает медь? а) Утопленник б) Зомби в) Пиглин г) Разбойник</t>
  </si>
  <si>
    <t>Какая руда светится в темноте, если по ней пройти или ударить? а) Редстоуновая руда б) Железная руда в) Золотая руда г) Алмазная руда</t>
  </si>
  <si>
    <t>Чем можно починить элитры? а) Фантомной мембраной б) Алмазами в) Железом г) Кожей</t>
  </si>
  <si>
    <t>Какой моб атакует спрутов? а) Страж б) Утопленник в) Дельфин г) Лосось</t>
  </si>
  <si>
    <t>Что используется для создания портала в Нижний мир? а) Обсидиан б) Камень Края в) Бедрок г) Алмазные блоки</t>
  </si>
  <si>
    <t>Выбери структуру, которая генерируется только в Нижнем мире: а) Адская крепость б) Лесной особняк в) Деревня г) Пирамида</t>
  </si>
  <si>
    <t>Как называется зачарование, которое заставляет трезубец возвращаться к игроку? а) Верность б) Тягун в) Пронзатель г) Громовержец</t>
  </si>
  <si>
    <t>Как называется зачарование, которое увеличивает количество выпадающих из мобов предметов? а) Добыча б) Удача в) Эффективность г) Прочность</t>
  </si>
  <si>
    <t>Какой моб атакует жителей? а) Зомби б) Пиглин в) Скелет г) Крипер</t>
  </si>
  <si>
    <t>Что можно получить, убив корову огнем? а) Жареную говядину б) Сырую говядину в) Кожу г) Ничего</t>
  </si>
  <si>
    <t>Какой предмет указывает на место спавна игрока? а) Компас (в обычном мире) б) Карта в) Часы г) Магнетит</t>
  </si>
  <si>
    <t>Что выпадает из гаста? а) Порох и слеза гаста б) Только порох в) Только слеза гаста г) Огненный стержень</t>
  </si>
  <si>
    <t>В каком биоме можно найти деревья акации? а) В саванне б) В джунглях в) В тайге г) В темном лесу</t>
  </si>
  <si>
    <t>Что произойдет, если налить воду на источник лавы? а) Образуется обсидиан б) Образуется камень в) Ничего не произойдет г) Вода испарится</t>
  </si>
  <si>
    <t>Что выпадает из козла? а) Козий рог (если он ударится о твердый блок) б) Мясо в) Шерсть г) Ничего</t>
  </si>
  <si>
    <t>Какой блок первым делом добывает игрок в новом мире? а) Дерево б) Железо в) Алмаз г) Камень</t>
  </si>
  <si>
    <t>Из чего делается верстак? а) Из четырех досок б) Из четырех блоков камня в) Из двух палок и двух досок г) Из четырех слитков железа</t>
  </si>
  <si>
    <t>Какой блок может копировать баннеры? а) Верстак б) Ткацкий станок в) Наковальня г) Картографический стол</t>
  </si>
  <si>
    <t>Что нужно для создания коптильни? а) Печь и 4 бревна б) Печь и 4 доски в) Верстак и 4 бревна г) Печь и 4 камня</t>
  </si>
  <si>
    <t>Что делает наблюдатель? а) Подает редстоун-сигнал при обновлении блока перед ним б) Издает звуковой сигнал при приближении моба в) Показывает время суток г) Хранит предметы</t>
  </si>
  <si>
    <t>Что выпадает из древнего стража? а) Всё перечисленное б) Призмарин в) Рыба г) Губка</t>
  </si>
  <si>
    <t>Что можно получить при стрижке грибной коровы? а) Красные грибы б) Шерсть в) Кожу г) Ничего</t>
  </si>
  <si>
    <t>Что используется для создания удочки? а) 3 палки и 2 нити б) 2 палки и 3 нити в) 3 палки и 3 нити г) 2 палки и 2 нити</t>
  </si>
  <si>
    <t>Какой моб является самым маленьким в игре? а) Детёныш черепахи б) Маленький слизень в) Цыплёнок г) Чешуйница края</t>
  </si>
  <si>
    <t>Что нужно бесконечного источника воды? а) Квадрат 2х2, заполненный водой б) Один блок воды в) Котел с водой г) Это невозможно</t>
  </si>
  <si>
    <t>Какой моб не получает урон от падения? а) Курица б) Скелет в) Зомби г) Свинья</t>
  </si>
  <si>
    <t>Что можно получить, если скрестить лошадь и осла? а) Мула б) Жеребенка в) Другую лошадь г) Другого осла</t>
  </si>
  <si>
    <t>Что нужно сделать, чтобы призвать рейд разбойников? а) Выпить зловещую бутылку в деревне б) Флаг разбойников в) Рог г) Убить капитана разбойников</t>
  </si>
  <si>
    <t>Какой блок используется для сушки мокрых губок? а) Печь б) Наковальня в) Верстак г) Котел в Нижнем мире</t>
  </si>
  <si>
    <t>Как называется зачарование, которое позволяет стрелять несколькими стрелами из арбалета? а) Тройной выстрел б) Сила в) Пронзающая стрела г) Быстрая перезарядка</t>
  </si>
  <si>
    <t>Какой моб боится собак и волков? а) Скелет б) Зомби в) Крипер г) Паук</t>
  </si>
  <si>
    <t>Что используется для создания огненного заряда? а) Порох, огненный порошок, уголь б) Порох, лавовый крем в) Слеза гаста, огненный порошок г) Порох, огненный порошок, кременьы</t>
  </si>
  <si>
    <t>Какой блок можно использовать для проигрывания звуков мобов? а) Нотный блок с головой моба б) Проигрыватель в) Нотный блок г) Голова моба сама по себе</t>
  </si>
  <si>
    <t>Где растут гигантские грибы? а) Грибное поле и тёмный лес б) Темный лес в) Грибное поле г) Пещеры</t>
  </si>
  <si>
    <t>Что нужно для добычи обсидиана? а) Алмазная кирка б) Железная кирка в) Золотая кирка г) Каменная кирка</t>
  </si>
  <si>
    <t>Где чаще всего можно найти изумруды? а) В горах б) В океанах в) В лесах г) Везде</t>
  </si>
  <si>
    <t>Какой минерал самый прочный в игре для создания инструментов и брони? а) Незерит б) Золото в) Железо г) Алмаз</t>
  </si>
  <si>
    <t>На каком мобе могут летать до 4 игроков? а) Счастливый гаст б) Блейз в) Обычный гаст г) Такого моба нет</t>
  </si>
  <si>
    <t>Какой моб боится кошек? а) Крипер б) Свинья в) Зомби г) Корова</t>
  </si>
  <si>
    <t>Что делает Эндермен, если посмотреть ему в глаза? а) Становится агрессивным и атакует б) Ничего в) Телепортируется г) Издает громкий звук</t>
  </si>
  <si>
    <t>Как называется враждебный моб, летающий в небе и атакующий не спавших игроков? а) Фантом б) Летучая мышь в) Гаст г) Ифрит</t>
  </si>
  <si>
    <t>Какой моб является пассивным и дает молоко? а) Корова б) Свинья в) Курица г) Овца</t>
  </si>
  <si>
    <t>Какой моб атакует со спины, когда на него не смотрят? а) Скрипун б) Древний страж в) Хранитель г) Гаст</t>
  </si>
  <si>
    <t>Что делает медный голем? а) Сортирует предметы по сундукам б) Случайно нажимает на кнопки в) Держит предметы в руках г) Ничего</t>
  </si>
  <si>
    <t>Что выпадает из зомби-наездника? а) Особая пластинка б) Перья в) Кости г) Порох</t>
  </si>
  <si>
    <t>Какой предмет используется для переплавки руды? а) Печь б) Сундук в) Верстак г) Наковальня</t>
  </si>
  <si>
    <t>Как называется основной мир, в котором игрок появляется? а) Верхний мир б) Нижний мир в) Край г) Небесный мир</t>
  </si>
  <si>
    <t>Какой биом состоит в основном из песка и кактусов? а) Пустыня б) Лес в) Равнина г) Джунгли</t>
  </si>
  <si>
    <t>Из чего делается компостер? а) Из 7 полублоков б) Из 7 досок в) Из 7 палок г) Из 7 бревен</t>
  </si>
  <si>
    <t>Какие семена может выкопать нюхач? а) семена факельника и кувшинницы б) семена пшеницы в) ничего из перечисленного г) он выкапывает не семена</t>
  </si>
  <si>
    <t>Какой блок не висит в воздухе? а) Гравий б) Камень в) Земля г) Дерево</t>
  </si>
  <si>
    <t>Где можно встретить высушенного гаста? а) Нижний мир б) Край в) Верхний мир г) Нигде</t>
  </si>
  <si>
    <t>Что делает булава? а) Падая на моба наносит ему сокрушающий урон б) Моментально ломает блоки в) Позволяет забивать болты в доски г) Ничего</t>
  </si>
  <si>
    <t>Как называется зачарование, которое автоматически чинит предмет за счет опыта? а) Починка б) Прочность в) Ремонт г) Восстановление</t>
  </si>
  <si>
    <t>Что будет, если молния ударит в медного голема? а) Ничего б) Он превратится в статую в) Он перейдёт в начальную стадию окисления г) Появится электричество</t>
  </si>
  <si>
    <t>Как приручить кошку? а) Сырой треской или лососем б) Костью в) Пшеницей г) Морковью</t>
  </si>
  <si>
    <t>Какой эффект дает тотем бессмертия? а) Спасает от смерти один раз б) Увеличивает силу в) Дает невидимость г) Позволяет летать</t>
  </si>
  <si>
    <t>Как называется стол для улучшения предметов с помощью книг? а) Наковальня б) Печь в) Верстак г) Стол зачарований</t>
  </si>
  <si>
    <t>Что произойдет, если переименовать поборника в "Johnny" с помощью бирки? а) Он станет враждебным ко всем мобам б) Он начнет танцевать в) Он первевернется вниз головой г) Он станет пассивным</t>
  </si>
  <si>
    <t>Где в Нижнем мире появляются страйдеры? а) В лавовых озерах б) В долине песка душ в) В багровом лесу г) В искаженном лесу</t>
  </si>
  <si>
    <t>Какое зачарование несовместимо с зачарованием "Верность" на трезубце? а) Тягун б) Пронзатель в) Громовержец г) Починка</t>
  </si>
  <si>
    <t>Что используется в качестве "топлива" для стола кузнеца при создании незеритовых предметов? а) Ничего б) Алмазы в) Угольные блоки г) Огненные стержни</t>
  </si>
  <si>
    <t>В каких чанках могут спауниться слизни под землей, независимо от биома? а) В "слайм-чанках" б) Только на болоте в) В любых пещерах г) В чанках с большим количеством воды</t>
  </si>
  <si>
    <t>При каком условии железный голем, созданный жителями, может атаковать игрока? а) Игрок ударит жителя б) Игрок посмотрит ему в глаза в) Игрок возьмет предметы из кузницы г) Никогда</t>
  </si>
  <si>
    <t>Какой из этих эффектов можно получить от подозрительного рагу, приготовленного с одуванчиком? а) Насыщение б) Скорость в) Регенерация г) Прыгучесть</t>
  </si>
  <si>
    <t>Какой блок необходим для привязки компаса к определенному месту? а) Магнетит (Lodestone) б) Алмазный блок в) Редстоуновый блок г) Незеритовый блок</t>
  </si>
  <si>
    <t>Какой ингредиент необходим для создания зелья медленного падения? а) Фантомная мембрана б) Сахар в) Кроличья лапка г) Слеза гаста</t>
  </si>
  <si>
    <t>С помощью какого блока можно снять зачарования с предмета, получив при этом опыт? а) Точило б) Наковальня в) Стол зачарований г) Верстак</t>
  </si>
  <si>
    <t>Какое действие заставляет козла сбросить рог? а) Когда он атакует и ударяется о твердый блок б) Когда игрок его стрижет в) Когда в него попадает молния г) Это случайное событие</t>
  </si>
  <si>
    <t>Какой моб может быть призван, если на блок скалк-катализатора попадает опыт от умершего моба? а) Никакой б) Варден в) Скалк-крикун г) Скалк-сенсор</t>
  </si>
  <si>
    <t>Какая еда нужна для размножения панд? а) Бамбук б) Яблоки в) Торт г) Сахарный тростник</t>
  </si>
  <si>
    <t>Что будет, если во время рейда игрок ударит в колокол? а) Разбойники подсветятся б) Рейд прекратится в) Появится железный голем г) Жители прячутся еще быстрее</t>
  </si>
  <si>
    <t>Что нужно сделать, чтобы получить достижение "Не дождётесь!"? а) Отразить щитом любой снаряд. б) Войти в портал Нижнего мира в) Выстрелить из арбалета г) Не дождаться</t>
  </si>
  <si>
    <t>Какая структура является единственным местом, где можно найти осколки эха? а) Древний город б) Лесной особняк в) Адская крепость г) Город Края</t>
  </si>
  <si>
    <t>Какой из этих предметов нельзя положить в шалкеровый ящик? а) Другой шалкеровый ящик б) Сундук края в) Незеритовый слиток г) Голову дракона</t>
  </si>
  <si>
    <t>Какое растение в Нижнем мире отпугивает хоглинов? а) Искаженные грибы б) Багровые грибы в) Адский нарост г) Адские корни</t>
  </si>
  <si>
    <t>Какой предмет является основным при торговле с пиглинами? а) Золотой слиток б) Золотой самородок в) Позолоченный чернокамень г) Золотой блок</t>
  </si>
  <si>
    <t>Какое зачарование для трезубца работает только во время дождя или в воде? а) Тягун б) Громовержец в) Верность г) Пронзатель</t>
  </si>
  <si>
    <t>Что происходит с пчелой после того, как она ужалит игрока? а) Теряет жало и через время умирает б) Становится нейтральной в) Возвращается в улей за новым жалом г) Ничего</t>
  </si>
  <si>
    <t>Какой моб является единственным источником фантомных мембран? а) Фантом б) Летучая мышь в) Гаст г) Ведьма</t>
  </si>
  <si>
    <t>Что делает эффект "Плетения"? а) После смерти моба распространяет блоки паутины б) Восстанавливает голод в) Ранит живых сущностей г) Искажает зрение игрока</t>
  </si>
  <si>
    <t>Что делает команда "/time"? а) Меняет время суток б) Призывает часы в) Показывает время суток г) Что это я не знаю английский</t>
  </si>
  <si>
    <t>Какие ингредиенты нужны для зелья "черепашьей мощи"? а) Грубое зелье + Черепаший панцирь б) Грубое зелье + Иглобрюх в) Грубое зелье + Сахар г) Грубое зелье + Черепаший щиток</t>
  </si>
  <si>
    <t>Какой эффект дает зачарование "Скорость души"? а) Ускоряет передвижение по песку душ и земле душ б) Позволяет бегать по воде в) Увеличивает общую скорость бега г) Ускоряет душу</t>
  </si>
  <si>
    <t>Что произойдет, если заряженный крипер убьет зомби, скелета или другого крипера? а) С убитого моба выпадет голова б) Моб просто умрет в) Моб станет заряженным г) Произойдет взрыв</t>
  </si>
  <si>
    <t>Какое зелье имеет противоположный эффект зелью силы? а) Зелье слабости б) Зелье медлительности в) Зелье отравления г) Зелье вреда</t>
  </si>
  <si>
    <t>Какой блок может быть использован для создания "лифта"? а) Вода + Песок душ/Магма б) Воздух в) Паутина г) Лед</t>
  </si>
  <si>
    <t>Какой враждебный моб, атакует игрока зарядами ветра? а) Вихрь б) Буря в) Шторм г) Дух ветра</t>
  </si>
  <si>
    <t>Какой блок позволяет автоматизировать процесс крафта? а) Сборщик б) Раздатчик в) Выбрасыватель г) Фабрикатор</t>
  </si>
  <si>
    <t>Как называется структура, где можно найти подозрительный гравий и глиняные черепки? а) Руины троп б) Древний город в) Древний комплекс г) Погребенный город</t>
  </si>
  <si>
    <t>Какой инструмент нужно использовать на блоках подозрительного песка, чтобы добыть из них предметы? а) Кисточка б) Лопата в) Мотыга г) Рука</t>
  </si>
  <si>
    <t>Что можно найти и использовать для кастомизации своей брони, придавая ей уникальные узоры? а) Кузнечные шаблоны б) Гравировальные станки в) Древние руны г) Наборы красителей</t>
  </si>
  <si>
    <t>Какой вид скелета, стреляет отравленными стрелами? а) Болотник б) Топчун в) Гнилой скелет г) Моховой лучник</t>
  </si>
  <si>
    <t>Какой моб, может перевозить двух игроков одновременно? а) Верблюд б) Лошадь в) Лама г) Страйдер</t>
  </si>
  <si>
    <t>Какой предмет используется для активации "зловещих" событий в Камерах испытаний? а) Зловещая бутылочка б) Проклятый тотем в) Череп иссушителя г) Око Края</t>
  </si>
  <si>
    <t>Какое зачарование для булавы, создает порыв ветра при ударе? а) Ветряной шквал б) Отбрасывание в) Ударная волна г) Порыв</t>
  </si>
  <si>
    <t>Какого моба не существует в игре? а) Светлячок б) Медный голем в) Скрипун г) Досаждатель</t>
  </si>
  <si>
    <t>Какая редкость бойцов была удалена из игры в декабре 2023 года?</t>
  </si>
  <si>
    <t>Хроматическая</t>
  </si>
  <si>
    <t>Временная</t>
  </si>
  <si>
    <t>Награда на Пути к славе</t>
  </si>
  <si>
    <t>Трофейная</t>
  </si>
  <si>
    <t>Сколько всего редкостей бойцов существует в Brawl Stars на данный момент?</t>
  </si>
  <si>
    <t>7</t>
  </si>
  <si>
    <t>6</t>
  </si>
  <si>
    <t>8</t>
  </si>
  <si>
    <t>5</t>
  </si>
  <si>
    <t>Какой единственный боец имеет ультралегендарную редкость?</t>
  </si>
  <si>
    <t>Кадзэ</t>
  </si>
  <si>
    <t>Спайк</t>
  </si>
  <si>
    <t>Кэндзи</t>
  </si>
  <si>
    <t>Драко</t>
  </si>
  <si>
    <t>За сколько кредитов можно купить мифического бойца?</t>
  </si>
  <si>
    <t>1900</t>
  </si>
  <si>
    <t>925</t>
  </si>
  <si>
    <t>3800</t>
  </si>
  <si>
    <t>5500</t>
  </si>
  <si>
    <t>Какой цвет обозначает эпическую редкость бойцов?</t>
  </si>
  <si>
    <t>Фиолетовый</t>
  </si>
  <si>
    <t>Красный</t>
  </si>
  <si>
    <t>Жёлтый</t>
  </si>
  <si>
    <t>Синий</t>
  </si>
  <si>
    <t>На каком уровне бойца становятся доступны гаджеты?</t>
  </si>
  <si>
    <t>9</t>
  </si>
  <si>
    <t>10</t>
  </si>
  <si>
    <t>Сколько разных гаджетов есть у каждого бойца?</t>
  </si>
  <si>
    <t>2</t>
  </si>
  <si>
    <t>1</t>
  </si>
  <si>
    <t>3</t>
  </si>
  <si>
    <t>4</t>
  </si>
  <si>
    <t>В каком году были добавлены гаджеты в игру?</t>
  </si>
  <si>
    <t>2020</t>
  </si>
  <si>
    <t>2019</t>
  </si>
  <si>
    <t>2021</t>
  </si>
  <si>
    <t>2018</t>
  </si>
  <si>
    <t>За сколько монет можно купить звёздную силу?</t>
  </si>
  <si>
    <t>2000</t>
  </si>
  <si>
    <t>1000</t>
  </si>
  <si>
    <t>1500</t>
  </si>
  <si>
    <t>2500</t>
  </si>
  <si>
    <t>Сколько звёздных сил может иметь каждый боец?</t>
  </si>
  <si>
    <t>Какой боец был единственным с временной редкостью?</t>
  </si>
  <si>
    <t>Базз Лайтер</t>
  </si>
  <si>
    <t>Мипл</t>
  </si>
  <si>
    <t>Эдгар</t>
  </si>
  <si>
    <t>Какая редкость имеет наибольшее количество бойцов?</t>
  </si>
  <si>
    <t>Эпическая</t>
  </si>
  <si>
    <t>Мифическая</t>
  </si>
  <si>
    <t>Легендарная</t>
  </si>
  <si>
    <t>Редкая</t>
  </si>
  <si>
    <t>За сколько трофеев на Пути к славе можно получить Розу?</t>
  </si>
  <si>
    <t>1300</t>
  </si>
  <si>
    <t>960</t>
  </si>
  <si>
    <t>1850</t>
  </si>
  <si>
    <t>2600</t>
  </si>
  <si>
    <t>Какой боец из редких открывается последним по количеству трофеев?</t>
  </si>
  <si>
    <t>Булл</t>
  </si>
  <si>
    <t>Брок</t>
  </si>
  <si>
    <t>Роза</t>
  </si>
  <si>
    <t>Кольт</t>
  </si>
  <si>
    <t>Сколько мифических бойцов было выпущено в 2023 году?</t>
  </si>
  <si>
    <t>Какой боец был переведён из эпической в мифическую редкость?</t>
  </si>
  <si>
    <t>Мортис</t>
  </si>
  <si>
    <t>Тара</t>
  </si>
  <si>
    <t>Бо</t>
  </si>
  <si>
    <t>Фрэнк</t>
  </si>
  <si>
    <t>За сколько кристаллов можно купить ультралегендарного бойца?</t>
  </si>
  <si>
    <t>999</t>
  </si>
  <si>
    <t>699</t>
  </si>
  <si>
    <t>349</t>
  </si>
  <si>
    <t>169</t>
  </si>
  <si>
    <t>Какая система заменила Силовую гонку в 2021 году?</t>
  </si>
  <si>
    <t>Силовая лига</t>
  </si>
  <si>
    <t>Лига клубов</t>
  </si>
  <si>
    <t>Чемпионат</t>
  </si>
  <si>
    <t>Турнир</t>
  </si>
  <si>
    <t>Сколько кристаллов нужно собрать команде для победы в режиме Захват кристаллов?</t>
  </si>
  <si>
    <t>15</t>
  </si>
  <si>
    <t>12</t>
  </si>
  <si>
    <t>На каком минимальном уровне бойца становятся доступны звёздные силы?</t>
  </si>
  <si>
    <t>Какой игровой режим заменил собой другой режим в истории Brawl Stars?</t>
  </si>
  <si>
    <t>Горячая зона заменила Осаду</t>
  </si>
  <si>
    <t>Броулбол заменил Захват</t>
  </si>
  <si>
    <t>Награда заменила Ограбление</t>
  </si>
  <si>
    <t>Дуэли заменили Столкновение</t>
  </si>
  <si>
    <t>Сколько игроков участвует в одном матче режима Столкновение?</t>
  </si>
  <si>
    <t>Что происходит с бойцом в режиме Столкновение при получении урона от ядовитого газа?</t>
  </si>
  <si>
    <t>Теряет здоровье постепенно</t>
  </si>
  <si>
    <t>Мгновенно умирает</t>
  </si>
  <si>
    <t>Замедляется</t>
  </si>
  <si>
    <t>Получает дополнительный урон</t>
  </si>
  <si>
    <t>Какое максимальное количество очков здоровья имеет сейф в режиме Ограбление?</t>
  </si>
  <si>
    <t>45000</t>
  </si>
  <si>
    <t>50000</t>
  </si>
  <si>
    <t>40000</t>
  </si>
  <si>
    <t>35000</t>
  </si>
  <si>
    <t>В каком режиме игроки должны держать контроль над зонами на карте?</t>
  </si>
  <si>
    <t>Горячая зона</t>
  </si>
  <si>
    <t>Захват кристаллов</t>
  </si>
  <si>
    <t>Награда</t>
  </si>
  <si>
    <t>Ограбление</t>
  </si>
  <si>
    <t>Какой класс бойцов лучше всего подходит для защиты в режиме Ограбление?</t>
  </si>
  <si>
    <t>Танки</t>
  </si>
  <si>
    <t>Снайперы</t>
  </si>
  <si>
    <t>Убийцы</t>
  </si>
  <si>
    <t>Поддержка</t>
  </si>
  <si>
    <t>Что является основной целью в режиме Награда?</t>
  </si>
  <si>
    <t>Набрать больше звёзд за убийства</t>
  </si>
  <si>
    <t>Захватить кристаллы</t>
  </si>
  <si>
    <t>Уничтожить сейф</t>
  </si>
  <si>
    <t>Забить гол</t>
  </si>
  <si>
    <t>Сколько классов бойцов существует в Brawl Stars?</t>
  </si>
  <si>
    <t>Какой класс бойцов специализируется на контроле территории?</t>
  </si>
  <si>
    <t>Артиллерия</t>
  </si>
  <si>
    <t>Танк</t>
  </si>
  <si>
    <t>Убийца</t>
  </si>
  <si>
    <t>Стрелок</t>
  </si>
  <si>
    <t>Как называется система прогрессии, добавленная в мае 2020 года?</t>
  </si>
  <si>
    <t>Brawl Pass</t>
  </si>
  <si>
    <t>Мастерство</t>
  </si>
  <si>
    <t>Какой боец является единственным начальным бойцом в игре?</t>
  </si>
  <si>
    <t>Шелли</t>
  </si>
  <si>
    <t>Нита</t>
  </si>
  <si>
    <t>За сколько трофеев на Пути к славе можно получить Ниту?</t>
  </si>
  <si>
    <t>210</t>
  </si>
  <si>
    <t>405</t>
  </si>
  <si>
    <t>650</t>
  </si>
  <si>
    <t>Какая звёздная сила Бо позволяет видеть врагов в кустах на большем расстоянии?</t>
  </si>
  <si>
    <t>Парящий орёл</t>
  </si>
  <si>
    <t>Медвежий капкан</t>
  </si>
  <si>
    <t>Зоркий глаз</t>
  </si>
  <si>
    <t>Супертотем</t>
  </si>
  <si>
    <t>Какой гаджет Мортиса позволяет ему делать "волчок" лопатой?</t>
  </si>
  <si>
    <t>Комбо-спиннер</t>
  </si>
  <si>
    <t>Лёгкая лопата</t>
  </si>
  <si>
    <t>Теневой удар</t>
  </si>
  <si>
    <t>Быстрые ноги</t>
  </si>
  <si>
    <t>Сколько секунд длится перезарядка гаджета "Медвежьи лапы" у Ниты?</t>
  </si>
  <si>
    <t>13</t>
  </si>
  <si>
    <t>14</t>
  </si>
  <si>
    <t>16</t>
  </si>
  <si>
    <t>Какой цвет обозначает мифическую редкость бойцов?</t>
  </si>
  <si>
    <t>За сколько трофеев можно получить Эль Примо на Пути к славе?</t>
  </si>
  <si>
    <t>Какая звёздная сила Эмз увеличивает урон с каждым попаданием?</t>
  </si>
  <si>
    <t>Плохая карма</t>
  </si>
  <si>
    <t>Хайп</t>
  </si>
  <si>
    <t>Токсичность</t>
  </si>
  <si>
    <t>Заражение</t>
  </si>
  <si>
    <t>Сколько здоровья восстанавливает Эмз с каждого врага в зоне действия Супера при звёздной силе "Хайп"?</t>
  </si>
  <si>
    <t>576</t>
  </si>
  <si>
    <t>500</t>
  </si>
  <si>
    <t>600</t>
  </si>
  <si>
    <t>Какая редкость была удалена в декабре 2022 года?</t>
  </si>
  <si>
    <t>Какой гаджет Спайка позволяет ему выпускать иголки во все стороны?</t>
  </si>
  <si>
    <t>Игольница</t>
  </si>
  <si>
    <t>Кактус жизни</t>
  </si>
  <si>
    <t>Колючий шар</t>
  </si>
  <si>
    <t>Ядовитые шипы</t>
  </si>
  <si>
    <t>Сколько очков здоровья восстанавливает кактус жизни Спайка союзникам при смерти?</t>
  </si>
  <si>
    <t>1680</t>
  </si>
  <si>
    <t>1800</t>
  </si>
  <si>
    <t>Какие два образа может принимать Кадзэ?</t>
  </si>
  <si>
    <t>Гейша и Ниндзя</t>
  </si>
  <si>
    <t>Самурай и Монах</t>
  </si>
  <si>
    <t>Воин и Маг</t>
  </si>
  <si>
    <t>Танцор и Боец</t>
  </si>
  <si>
    <t>На сколько секунд Кадзэ получает невидимость при использовании гаджета Гостеприимная хозяйка в образе Гейши?</t>
  </si>
  <si>
    <t>Какой боец появился вместе с добавлением механики гиперзаряда?</t>
  </si>
  <si>
    <t>Чак</t>
  </si>
  <si>
    <t>Чарли</t>
  </si>
  <si>
    <t>Честер</t>
  </si>
  <si>
    <t>Пэм</t>
  </si>
  <si>
    <t>Какой гаджет позволяет Кольту мгновенно перезарядить револьверы 2 пулями?</t>
  </si>
  <si>
    <t>Устройство для перезарядки</t>
  </si>
  <si>
    <t>Серебряная пуля</t>
  </si>
  <si>
    <t>Быстрый выстрел</t>
  </si>
  <si>
    <t>Магнум заряд</t>
  </si>
  <si>
    <t>Сколько урона наносит следующая атака Кольта при использовании гаджета Серебряная пуля?</t>
  </si>
  <si>
    <t>Столько же, сколько 2 обычные пули</t>
  </si>
  <si>
    <t>В 3 раза больше обычного</t>
  </si>
  <si>
    <t>В 1.5 раза больше обычного</t>
  </si>
  <si>
    <t>Двойной урон плюс поджог</t>
  </si>
  <si>
    <t>Какой эффект производит турель Джесси при использовании гаджета Свеча зажигания?</t>
  </si>
  <si>
    <t>Замедляет всех врагов в зоне действия</t>
  </si>
  <si>
    <t>Наносит дополнительный урон</t>
  </si>
  <si>
    <t>Лечит союзников</t>
  </si>
  <si>
    <t>Оглушает врагов</t>
  </si>
  <si>
    <t>На сколько секунд увеличивается скорость атаки Скраппи при использовании гаджета Пружинка?</t>
  </si>
  <si>
    <t>Какой гаджет Бо заставляет все его мины взрываться одновременно?</t>
  </si>
  <si>
    <t>Растяжка</t>
  </si>
  <si>
    <t>Минное поле</t>
  </si>
  <si>
    <t>Детонатор</t>
  </si>
  <si>
    <t>С какой задержкой взрываются мины Бо при использовании гаджета Растяжка ?</t>
  </si>
  <si>
    <t>1,5 секунды</t>
  </si>
  <si>
    <t>1 секунда</t>
  </si>
  <si>
    <t>2 секунды</t>
  </si>
  <si>
    <t>0,5 секунды</t>
  </si>
  <si>
    <t>На сколько процентов ускоряет зарядку Супера союзников тотем Бо ?</t>
  </si>
  <si>
    <t>50%</t>
  </si>
  <si>
    <t>40%</t>
  </si>
  <si>
    <t>60%</t>
  </si>
  <si>
    <t>75%</t>
  </si>
  <si>
    <t>Сколько урона наносит Комбо-спиннер Мортиса всем врагам поблизости?</t>
  </si>
  <si>
    <t>2200</t>
  </si>
  <si>
    <t>На сколько секунд увеличивается скорость перезарядки Мортиса при использовании гаджета Лёгкая лопата ?</t>
  </si>
  <si>
    <t>Сколько очков здоровья имеет кактус жизни Спайка ?</t>
  </si>
  <si>
    <t>2800</t>
  </si>
  <si>
    <t>3000</t>
  </si>
  <si>
    <t>3200</t>
  </si>
  <si>
    <t>Какая звёздная сила Бо заменяет отбрасывание на оглушение врагов на 2 секунды?</t>
  </si>
  <si>
    <t>Силовой тотем</t>
  </si>
  <si>
    <t>Взрывные мины</t>
  </si>
  <si>
    <t>На сколько процентов увеличивается урон атаки Эмз с каждым попаданием при звёздной силе Плохая карма ?</t>
  </si>
  <si>
    <t>25%</t>
  </si>
  <si>
    <t>20%</t>
  </si>
  <si>
    <t>30%</t>
  </si>
  <si>
    <t>15%</t>
  </si>
  <si>
    <t>На сколько процентов увеличивается дистанция Супера Сту при звёздной силе Без тормозов ?</t>
  </si>
  <si>
    <t>71%</t>
  </si>
  <si>
    <t>Сколько очков здоровья восстанавливает Сту при использовании Супера со звёздной силой Глоток бензина ?</t>
  </si>
  <si>
    <t>512</t>
  </si>
  <si>
    <t>450</t>
  </si>
  <si>
    <t>Какая звёздная сила Пайпер добавляет урон, если она находится в кустах?</t>
  </si>
  <si>
    <t>Засада</t>
  </si>
  <si>
    <t>Кэшбэк</t>
  </si>
  <si>
    <t>Снайперский выстрел</t>
  </si>
  <si>
    <t>Маскировка</t>
  </si>
  <si>
    <t>Сколько дополнительного урона наносят снаряды Пайпер при звёздной силе Засада, если она находится в кустах?</t>
  </si>
  <si>
    <t>1190</t>
  </si>
  <si>
    <t>На сколько снарядов восстанавливает винтовку Пайпер при попадании со звёздной силой Кэшбэк?</t>
  </si>
  <si>
    <t>0,4</t>
  </si>
  <si>
    <t>0,5</t>
  </si>
  <si>
    <t>0,3</t>
  </si>
  <si>
    <t>Какая система пришла на замену ящикам как основной способ разблокировки бойцов?</t>
  </si>
  <si>
    <t>Дорога Старр</t>
  </si>
  <si>
    <t>Путь к Славе</t>
  </si>
  <si>
    <t>Сколько урона в секунду наносит лечебная турель Пэм врагам при звёздной силой Мамины объятия?</t>
  </si>
  <si>
    <t>800</t>
  </si>
  <si>
    <t>1200</t>
  </si>
  <si>
    <t>Какой боец способен временно становиться невидимым?</t>
  </si>
  <si>
    <t>Леон</t>
  </si>
  <si>
    <t>Эмз</t>
  </si>
  <si>
    <t>Сэнди</t>
  </si>
  <si>
    <t>Какие два образа может принимать боец Кадзэ?</t>
  </si>
  <si>
    <t>Монах и Воин</t>
  </si>
  <si>
    <t>Кулинар и Самурай</t>
  </si>
  <si>
    <t>У нее нет образов</t>
  </si>
  <si>
    <t>Как называется класс бойцов, стреляющих одиночным выстрелом с большого расстояния?</t>
  </si>
  <si>
    <t>Как называется возможность игры, позволяющая игрокам создавать собственные карты?</t>
  </si>
  <si>
    <t>Конструктор карт</t>
  </si>
  <si>
    <t>Дружеский бой</t>
  </si>
  <si>
    <t>Ротация карт</t>
  </si>
  <si>
    <t>Карты от сообщества</t>
  </si>
  <si>
    <t>Как называется режим, где один игрок играет за огромного мегабойца, а остальные пытаются его убить?</t>
  </si>
  <si>
    <t>Большая игра</t>
  </si>
  <si>
    <t>Осада</t>
  </si>
  <si>
    <t>Бой с боссом</t>
  </si>
  <si>
    <t>Выживание</t>
  </si>
  <si>
    <t>Как называется особое временное событие с несколькими этапами, за прохождение которого игрок получает награду?</t>
  </si>
  <si>
    <t>Испытание</t>
  </si>
  <si>
    <t>Ранговый бой</t>
  </si>
  <si>
    <t>Столкновение</t>
  </si>
  <si>
    <t>Какая звёздная сила Фрэнка позволяет ему забирать силу поражённого врага, добавляя к своему урону 25%?</t>
  </si>
  <si>
    <t>Похищение силы</t>
  </si>
  <si>
    <t>Губка</t>
  </si>
  <si>
    <t>Мощный удар</t>
  </si>
  <si>
    <t>Бесконечная ярость</t>
  </si>
  <si>
    <t>Сколько дополнительных очков здоровья получает Фрэнк со звёздной силой Губка?</t>
  </si>
  <si>
    <t>1340</t>
  </si>
  <si>
    <t>У кого гаджет очищает союзников от негативных эффектов и кратковременно лечит их?</t>
  </si>
  <si>
    <t>Поко</t>
  </si>
  <si>
    <t>Сколько бойцов было при запуске Brawl Stars?</t>
  </si>
  <si>
    <t>22</t>
  </si>
  <si>
    <t>29</t>
  </si>
  <si>
    <t>Что происходит с Беа при звёздной силе Мгновенная перезарядка, если она промахивается во время суперзаряженной атаки?</t>
  </si>
  <si>
    <t>Один раз мгновенно заряжает основную атаку</t>
  </si>
  <si>
    <t>Получает щит на 3 секунды</t>
  </si>
  <si>
    <t>Восстанавливает 50% здоровья</t>
  </si>
  <si>
    <t>Увеличивает урон на 25%</t>
  </si>
  <si>
    <t>На сколько процентов получает щит Беа, пока её основная атака хранит суперзаряд со звёздной силой Соты?</t>
  </si>
  <si>
    <t>35%</t>
  </si>
  <si>
    <t>Какие четыре мифических бойца были выпущены в 2023 году, что стало рекордом?</t>
  </si>
  <si>
    <t>Виллоу, Даг, Чак и Мико</t>
  </si>
  <si>
    <t>Мелоди, Лили, Клэнси, Мо</t>
  </si>
  <si>
    <t>Джуджу, Олли, Финкс, Луми</t>
  </si>
  <si>
    <t>Алли, Кадзэ, Транк, Мипл</t>
  </si>
  <si>
    <t>Какие два легендарных бойца нарушили традицию выпуска одного легендарного бойца в четвёртом квартале года?</t>
  </si>
  <si>
    <t>Драко и Кэндзи в 2024 году</t>
  </si>
  <si>
    <t>Спайк и Ворон в 2018 году</t>
  </si>
  <si>
    <t>Леон и Сэнди в 2019 году</t>
  </si>
  <si>
    <t>Амбер и Мэг в 2021 году</t>
  </si>
  <si>
    <t>В каком месяце был выпущен Кэндзи, второй легендарный боец 2024 года?</t>
  </si>
  <si>
    <t>Сентябре</t>
  </si>
  <si>
    <t>Октябре</t>
  </si>
  <si>
    <t>Ноябре</t>
  </si>
  <si>
    <t>Декабре</t>
  </si>
  <si>
    <t>Кто из эпических бойцов ранее был хроматическим до удаления этой редкости?</t>
  </si>
  <si>
    <t>Гэйл, Колетт, Белль, Эш, Лола, Сэм, Мэнди, Мэйси, Пёрл</t>
  </si>
  <si>
    <t>Бо, Эмз, Сту, Пайпер, Пэм</t>
  </si>
  <si>
    <t>Фрэнк, Биби, Беа, Нани, Эдгар</t>
  </si>
  <si>
    <t>Грифф, Гром, Бонни, Хэнк, Перл</t>
  </si>
  <si>
    <t>Какие мифические бойцы ранее были хроматическими до удаления этой редкости?</t>
  </si>
  <si>
    <t>Лу, Гавс, Базз, Фэнг, Ева, Джанет, Отис, Бастер, R-T, Чарли</t>
  </si>
  <si>
    <t>Мортис, Тара, Джин, Макс, Мистер П.</t>
  </si>
  <si>
    <t>Спраут, Байрон, Скуик, Лу, Гавс</t>
  </si>
  <si>
    <t>Базз, Фэнг, Ева, Джанет, Отис</t>
  </si>
  <si>
    <t>Какие легендарные бойцы ранее были хроматическими до удаления этой редкости?</t>
  </si>
  <si>
    <t>Вольт и Корделиус</t>
  </si>
  <si>
    <t>Спайк и Ворон</t>
  </si>
  <si>
    <t>Леон и Сэнди</t>
  </si>
  <si>
    <t>Амбер и Мэг</t>
  </si>
  <si>
    <t>В каком обновлении были добавлены гаджеты в Brawl Stars?</t>
  </si>
  <si>
    <t>Мартовском обновлении 2020 года</t>
  </si>
  <si>
    <t>Майском обновлении 2020 года</t>
  </si>
  <si>
    <t>Январском обновлении 2020 года</t>
  </si>
  <si>
    <t>Декабрьском обновлении 2019 года</t>
  </si>
  <si>
    <t>Сколько всего гаджетов существует в игре на данный момент?</t>
  </si>
  <si>
    <t>Больше 150</t>
  </si>
  <si>
    <t>Около 100</t>
  </si>
  <si>
    <t>Около 200</t>
  </si>
  <si>
    <t>Меньше 100</t>
  </si>
  <si>
    <t>Сколько всего звёздных сил существует в игре на данный момент?</t>
  </si>
  <si>
    <t>За сколько кристаллов можно купить эпического бойца?</t>
  </si>
  <si>
    <t>За сколько кристаллов можно купить легендарного бойца?</t>
  </si>
  <si>
    <t>Какой цвет обозначает легендарную редкость бойцов?</t>
  </si>
  <si>
    <t>Переливающийся</t>
  </si>
  <si>
    <t>Какой цвет обозначает редкую редкость бойцов?</t>
  </si>
  <si>
    <t>Зелёный</t>
  </si>
  <si>
    <t>Голубой</t>
  </si>
  <si>
    <t>Какой цвет обозначает сверхредкую редкость бойцов?</t>
  </si>
  <si>
    <t>За сколько трофеев на Пути к славе можно получить Барли?</t>
  </si>
  <si>
    <t>За сколько трофеев на Пути к славе можно получить Поко?</t>
  </si>
  <si>
    <t>За сколько трофеев на Пути к славе можно получить Брока?</t>
  </si>
  <si>
    <t>Какой боец из сверхредких открывается первым по количеству трофеев?</t>
  </si>
  <si>
    <t>Джесси</t>
  </si>
  <si>
    <t>Динамайк</t>
  </si>
  <si>
    <t>Тик</t>
  </si>
  <si>
    <t>8-Бит</t>
  </si>
  <si>
    <t>Какая коллаборация с мультсериалом произошла в сентябре 2024 года?</t>
  </si>
  <si>
    <t>Губка Боб</t>
  </si>
  <si>
    <t>Симпсоны</t>
  </si>
  <si>
    <t>Шрек</t>
  </si>
  <si>
    <t>Гравити Фолз</t>
  </si>
  <si>
    <t>Как называется событие, на котором разработчики оглашают обновления?</t>
  </si>
  <si>
    <t>Brawl Talk</t>
  </si>
  <si>
    <t>Brawl Stars</t>
  </si>
  <si>
    <t>BrawlCon</t>
  </si>
  <si>
    <t>Brawl Show</t>
  </si>
  <si>
    <t>В каком месяце традиционно делают одного бойца бесплатным в подарок?</t>
  </si>
  <si>
    <t>В декабре</t>
  </si>
  <si>
    <t>В январе</t>
  </si>
  <si>
    <t>В мае</t>
  </si>
  <si>
    <t>В сентябре</t>
  </si>
  <si>
    <t>Сколько примерно бойцов выпускается каждый год в Brawl Stars?</t>
  </si>
  <si>
    <t>10-12</t>
  </si>
  <si>
    <t>6-8</t>
  </si>
  <si>
    <t>15-20</t>
  </si>
  <si>
    <t>3-5</t>
  </si>
  <si>
    <t>С какого года бойцы выходят каждый месяц за неделю до начала сезона Brawl Pass?</t>
  </si>
  <si>
    <t>С 2024 года</t>
  </si>
  <si>
    <t>С 2023 года</t>
  </si>
  <si>
    <t>С 2022 года</t>
  </si>
  <si>
    <t>С 2021 года</t>
  </si>
  <si>
    <t>Что определяет редкость бойца при его добавлении в игру?</t>
  </si>
  <si>
    <t>Сложность механики</t>
  </si>
  <si>
    <t>Мощность бойца</t>
  </si>
  <si>
    <t>Популярность среди игроков</t>
  </si>
  <si>
    <t>Стоимость разработки</t>
  </si>
  <si>
    <t>Какие бойцы были сделаны бесплатными в декабрьских обновлениях?</t>
  </si>
  <si>
    <t>Эдгар, Гром, Грей, Мико, Мипл</t>
  </si>
  <si>
    <t>Спайк, Ворон, Леон, Сэнди</t>
  </si>
  <si>
    <t>Мортис, Тара, Джин, Макс</t>
  </si>
  <si>
    <t>Фрэнк, Биби, Беа, Нани</t>
  </si>
  <si>
    <t>Когда был удалён боец Базз Лайтер из игры?</t>
  </si>
  <si>
    <t>4 февраля 2025 года</t>
  </si>
  <si>
    <t>31 декабря 2024 года</t>
  </si>
  <si>
    <t>1 января 2025 года</t>
  </si>
  <si>
    <t>14 февраля 2025 года</t>
  </si>
  <si>
    <t>Какая редкость имеет переливающийся цвет?</t>
  </si>
  <si>
    <t>Ультралегендарная</t>
  </si>
  <si>
    <t>Какая редкость имеет наименьшее количество бойцов?</t>
  </si>
  <si>
    <t>Начальная</t>
  </si>
  <si>
    <t>Какое музыкальное сопровождение при открытии бойцов является идентичным для некоторых редкостей?</t>
  </si>
  <si>
    <t>Редкие и Сверхредкие; Эпические, Мифические и ранее Хроматические</t>
  </si>
  <si>
    <t>Все редкости имеют уникальную музыку</t>
  </si>
  <si>
    <t>Легендарные и Ультралегендарные</t>
  </si>
  <si>
    <t>Начальные и Редкие</t>
  </si>
  <si>
    <t>Какой персонаж является единственным пятизвездочным Гео-персонажем, использующим катализатор?</t>
  </si>
  <si>
    <t>В настоящее время такого персонажа нет</t>
  </si>
  <si>
    <t>Нин Гуан</t>
  </si>
  <si>
    <t>Чжун Ли</t>
  </si>
  <si>
    <t>Альбедо</t>
  </si>
  <si>
    <t>Из какого региона происходит персонаж Арлекино?</t>
  </si>
  <si>
    <t>Снежная</t>
  </si>
  <si>
    <t>Фонтейн</t>
  </si>
  <si>
    <t>Натлан</t>
  </si>
  <si>
    <t>Сумеру</t>
  </si>
  <si>
    <t>Какой тип оружия использует Райдэн Сёгун?</t>
  </si>
  <si>
    <t>Древковое оружие</t>
  </si>
  <si>
    <t>Одноручный меч</t>
  </si>
  <si>
    <t>Катализатор</t>
  </si>
  <si>
    <t>Двуручный меч</t>
  </si>
  <si>
    <t>Кто из перечисленных персонажей НЕ является четырехзвездочным Анемо-персонажем?</t>
  </si>
  <si>
    <t>Кадзуха</t>
  </si>
  <si>
    <t>Сахароза</t>
  </si>
  <si>
    <t>Фарузан</t>
  </si>
  <si>
    <t>Хэйдзо</t>
  </si>
  <si>
    <t>Какой персонаж из Мондштадта использует Крио-элемент и древковое оружие?</t>
  </si>
  <si>
    <t>Мика</t>
  </si>
  <si>
    <t>Кэйа</t>
  </si>
  <si>
    <t>Диона</t>
  </si>
  <si>
    <t>Розария</t>
  </si>
  <si>
    <t>Какое задание Архонтов является прелюдией к Тому Близнецы I?</t>
  </si>
  <si>
    <t>Хранитель ветви: Дайнслейф</t>
  </si>
  <si>
    <t>Мы встретимся снова</t>
  </si>
  <si>
    <t>Следы странника</t>
  </si>
  <si>
    <t>Чужеземец, поймавший ветер</t>
  </si>
  <si>
    <t>Какая элементальная реакция происходит при сочетании Пиро и Крио?</t>
  </si>
  <si>
    <t>Таяние</t>
  </si>
  <si>
    <t>Испарение</t>
  </si>
  <si>
    <t>Перегрузка</t>
  </si>
  <si>
    <t>Заморозка</t>
  </si>
  <si>
    <t>Сколько всего томов в основной сюжетной линии Тейвата планируется?</t>
  </si>
  <si>
    <t>7 томов</t>
  </si>
  <si>
    <t>5 томов</t>
  </si>
  <si>
    <t>6 томов</t>
  </si>
  <si>
    <t>8 томов</t>
  </si>
  <si>
    <t>Какой минимальный ранг приключений требуется для доступа к заданиям Тома III?</t>
  </si>
  <si>
    <t>35</t>
  </si>
  <si>
    <t>30</t>
  </si>
  <si>
    <t>40</t>
  </si>
  <si>
    <t>32</t>
  </si>
  <si>
    <t>Какой персонаж является единственным пятизвездочным Дендро-лучником?</t>
  </si>
  <si>
    <t>Тигнари</t>
  </si>
  <si>
    <t>Коллеи</t>
  </si>
  <si>
    <t>Нахида</t>
  </si>
  <si>
    <t>Бай Чжу</t>
  </si>
  <si>
    <t>В каком томе впервые появляется персонаж Дайнслейф?</t>
  </si>
  <si>
    <t>Том Близнецы I</t>
  </si>
  <si>
    <t>Пролог</t>
  </si>
  <si>
    <t>Том I</t>
  </si>
  <si>
    <t>Интерлюдии</t>
  </si>
  <si>
    <t>Какая максимальная редкость существует для артефактов в игре?</t>
  </si>
  <si>
    <t>5 звезд</t>
  </si>
  <si>
    <t>4 звезды</t>
  </si>
  <si>
    <t>6 звезд</t>
  </si>
  <si>
    <t>3 звезды</t>
  </si>
  <si>
    <t>Кто из персонажей НЕ является пятизвездочным Гидро-персонажем?</t>
  </si>
  <si>
    <t>Барбара</t>
  </si>
  <si>
    <t>Нёвиллет</t>
  </si>
  <si>
    <t>Кокоми</t>
  </si>
  <si>
    <t>Тарталья</t>
  </si>
  <si>
    <t>Какой персонаж использует адаптивный элемент?</t>
  </si>
  <si>
    <t>Путешественник</t>
  </si>
  <si>
    <t>Венти</t>
  </si>
  <si>
    <t>Сколько всего слотов артефактов у каждого персонажа?</t>
  </si>
  <si>
    <t>5 слотов</t>
  </si>
  <si>
    <t>4 слота</t>
  </si>
  <si>
    <t>6 слотов</t>
  </si>
  <si>
    <t>3 слота</t>
  </si>
  <si>
    <t>Какой персонаж является единственным четырехзвездочным Гео-пользователем лука?</t>
  </si>
  <si>
    <t>Горо</t>
  </si>
  <si>
    <t>Сара</t>
  </si>
  <si>
    <t>В каком регионе находится персонаж Бай Чжу?</t>
  </si>
  <si>
    <t>Ли Юэ</t>
  </si>
  <si>
    <t>Инадзума</t>
  </si>
  <si>
    <t>Какая элементальная реакция происходит при сочетании Электро и Гидро?</t>
  </si>
  <si>
    <t>Заряжен</t>
  </si>
  <si>
    <t>Сверхпроводимость</t>
  </si>
  <si>
    <t>Кристаллизация</t>
  </si>
  <si>
    <t>Кто из персонажей НЕ является пятизвездочным Электро-пользователем?</t>
  </si>
  <si>
    <t>Фишль</t>
  </si>
  <si>
    <t>Райдэн</t>
  </si>
  <si>
    <t>Кэ Цин</t>
  </si>
  <si>
    <t>Сайно</t>
  </si>
  <si>
    <t>Какой персонаж использует Пиро-элемент и двуручный меч из Натлана?</t>
  </si>
  <si>
    <t>Мавуика</t>
  </si>
  <si>
    <t>Дэхья</t>
  </si>
  <si>
    <t>Дилюк</t>
  </si>
  <si>
    <t>Ка Мин</t>
  </si>
  <si>
    <t>Какое название носит первая глава Тома II заданий Архонтов?</t>
  </si>
  <si>
    <t>Неизменный бог и вечная утопия</t>
  </si>
  <si>
    <t>Осенний ветер, багряные листья</t>
  </si>
  <si>
    <t>Забвение, исчезновение теней</t>
  </si>
  <si>
    <t>Всевидящий бог, бренный мир</t>
  </si>
  <si>
    <t>Сколько звезд в созвездии каждого персонажа?</t>
  </si>
  <si>
    <t>7 звезд</t>
  </si>
  <si>
    <t>Какой персонаж является единственным пятизвездочным Анемо-пользователем древкового оружия?</t>
  </si>
  <si>
    <t>Сяо</t>
  </si>
  <si>
    <t>Странник</t>
  </si>
  <si>
    <t>Из какого региона происходит персонаж Тарталья?</t>
  </si>
  <si>
    <t>Мондштадт</t>
  </si>
  <si>
    <t>Какая элементальная реакция происходит при сочетании Анемо с любым другим элементом?</t>
  </si>
  <si>
    <t>Рассеивание</t>
  </si>
  <si>
    <t>Горение</t>
  </si>
  <si>
    <t>Цветение</t>
  </si>
  <si>
    <t>Кто из персонажей является единственным четырехзвездочным Дендро-мечником?</t>
  </si>
  <si>
    <t>Кирара</t>
  </si>
  <si>
    <t>Кавех</t>
  </si>
  <si>
    <t>Какой максимальный уровень может достичь персонаж?</t>
  </si>
  <si>
    <t>90</t>
  </si>
  <si>
    <t>80</t>
  </si>
  <si>
    <t>100</t>
  </si>
  <si>
    <t>85</t>
  </si>
  <si>
    <t>В каком томе заданий Архонтов впервые появляется Сумеру?</t>
  </si>
  <si>
    <t>Том III</t>
  </si>
  <si>
    <t>Том II</t>
  </si>
  <si>
    <t>Том IV</t>
  </si>
  <si>
    <t>Какой персонаж является единственным пятизвездочным Крио-пользователем катализатора?</t>
  </si>
  <si>
    <t>Ризли</t>
  </si>
  <si>
    <t>Ци Ци</t>
  </si>
  <si>
    <t>Ганьюй</t>
  </si>
  <si>
    <t>Аяка</t>
  </si>
  <si>
    <t>Сколько всего фаз возвышения у персонажей?</t>
  </si>
  <si>
    <t>6 фаз</t>
  </si>
  <si>
    <t>5 фаз</t>
  </si>
  <si>
    <t>7 фаз</t>
  </si>
  <si>
    <t>4 фазы</t>
  </si>
  <si>
    <t>Какой персонаж является единственным четырехзвездочным Дендро-мечником?</t>
  </si>
  <si>
    <t>Какой персонаж из Фонтейна использует Гидро-элемент и одноручный меч?</t>
  </si>
  <si>
    <t>Фурина</t>
  </si>
  <si>
    <t>Сиджвин</t>
  </si>
  <si>
    <t>Клоринда</t>
  </si>
  <si>
    <t>Какая элементальная реакция происходит при сочетании Дендро и Электро?</t>
  </si>
  <si>
    <t>Обострение</t>
  </si>
  <si>
    <t>Катализ</t>
  </si>
  <si>
    <t>Кто из персонажей НЕ является пятизвездочным Пиро-пользователем?</t>
  </si>
  <si>
    <t>Беннет</t>
  </si>
  <si>
    <t>Ху Тао</t>
  </si>
  <si>
    <t>Кли</t>
  </si>
  <si>
    <t>Какой персонаж является единственным четырехзвездочным Анемо-пользователем двуручного меча?</t>
  </si>
  <si>
    <t>Саю</t>
  </si>
  <si>
    <t>Линетт</t>
  </si>
  <si>
    <t>В каком регионе впервые появляется элемент Дендро?</t>
  </si>
  <si>
    <t>Какое название носит третья глава Тома III заданий Архонтов?</t>
  </si>
  <si>
    <t>Сны, пустота и обман</t>
  </si>
  <si>
    <t>Сквозь дым и тёмные леса</t>
  </si>
  <si>
    <t>Сто свежих роз приносит утро</t>
  </si>
  <si>
    <t>Царь Дешрет и три волхва</t>
  </si>
  <si>
    <t>Какой персонаж является единственным пятизвездочным Гео-пользователем двуручного меча?</t>
  </si>
  <si>
    <t>Итто</t>
  </si>
  <si>
    <t>Ноэлль</t>
  </si>
  <si>
    <t>Какая элементальная реакция происходит при сочетании Крио и Электро?</t>
  </si>
  <si>
    <t>Кто из персонажей является единственным четырехзвездочным Гидро-пользователем древкового оружия?</t>
  </si>
  <si>
    <t>Кандакия</t>
  </si>
  <si>
    <t>Син Цю</t>
  </si>
  <si>
    <t>Далия</t>
  </si>
  <si>
    <t>В каком томе заданий Архонтов впервые появляется Фонтейн?</t>
  </si>
  <si>
    <t>Том V</t>
  </si>
  <si>
    <t>Какой персонаж из Инадзумы использует Электро-элемент и одноручный меч?</t>
  </si>
  <si>
    <t>Синобу</t>
  </si>
  <si>
    <t>Какая элементальная реакция происходит при сочетании Дендро и Пиро?</t>
  </si>
  <si>
    <t>Какой персонаж является единственным пятизвездочным персонажем, использующим адаптивный элемент?</t>
  </si>
  <si>
    <t>Сколько всего основных регионов планируется в Тейвате?</t>
  </si>
  <si>
    <t>7 регионов</t>
  </si>
  <si>
    <t>5 регионов</t>
  </si>
  <si>
    <t>6 регионов</t>
  </si>
  <si>
    <t>8 регионов</t>
  </si>
  <si>
    <t>Какой персонаж из Снежной использует Гидро-элемент и лук?</t>
  </si>
  <si>
    <t>Арлекино</t>
  </si>
  <si>
    <t>Е Лань</t>
  </si>
  <si>
    <t>Какой персонаж является единственным четырехзвездочным Пиро-пользователем двуручного меча из Ли Юэ?</t>
  </si>
  <si>
    <t>Синь Янь</t>
  </si>
  <si>
    <t>Бэй Доу</t>
  </si>
  <si>
    <t>Какая элементальная реакция происходит при сочетании Дендро и Гидро?</t>
  </si>
  <si>
    <t>Какой персонаж является единственным пятизвездочным Анемо-пользователем лука?</t>
  </si>
  <si>
    <t>В каком томе заданий Архонтов впервые появляется Натлан?</t>
  </si>
  <si>
    <t>Том VI</t>
  </si>
  <si>
    <t>Какой персонаж является единственным четырехзвездочным Электро-пользователем двуручного меча?</t>
  </si>
  <si>
    <t>Рэйзор</t>
  </si>
  <si>
    <t>Дори</t>
  </si>
  <si>
    <t>Сколько максимально талантов может прокачать персонаж?</t>
  </si>
  <si>
    <t>3 таланта</t>
  </si>
  <si>
    <t>4 таланта</t>
  </si>
  <si>
    <t>5 талантов</t>
  </si>
  <si>
    <t>2 таланта</t>
  </si>
  <si>
    <t>Какой персонаж из Мондштадта использует Гео-элемент и двуручный меч?</t>
  </si>
  <si>
    <t>Какая элементальная реакция происходит при сочетании Пиро и Электро?</t>
  </si>
  <si>
    <t>Кто из персонажей является единственным четырехзвездочным Крио-пользователем лука?</t>
  </si>
  <si>
    <t>Какое название носит четвертая глава Тома III заданий Архонтов?</t>
  </si>
  <si>
    <t>Пульс Акаши и пламя кальпы</t>
  </si>
  <si>
    <t>Какой персонаж является единственным пятизвездочным Дендро-пользователем катализатора из Лиюэ?</t>
  </si>
  <si>
    <t>Какая максимальная редкость оружия существует в игре?</t>
  </si>
  <si>
    <t>Какой персонаж из Инадзумы использует Гео-элемент и лук?</t>
  </si>
  <si>
    <t>Какое название носит пятая глава Тома III заданий Архонтов?</t>
  </si>
  <si>
    <t>Кариберт</t>
  </si>
  <si>
    <t>Какой персонаж является единственным четырехзвездочным Гидро-пользователем катализатора?</t>
  </si>
  <si>
    <t>Мона</t>
  </si>
  <si>
    <t>В каком регионе находится персонаж Кинич?</t>
  </si>
  <si>
    <t>Какая элементальная реакция НЕ существует в игре?</t>
  </si>
  <si>
    <t>Взрыв</t>
  </si>
  <si>
    <t>Какой персонаж является единственным пятизвездочным Электро-пользователем катализатора?</t>
  </si>
  <si>
    <t>Вареса</t>
  </si>
  <si>
    <t>Сколько элементальных реакций трансформации существует в игре?</t>
  </si>
  <si>
    <t>7 реакций</t>
  </si>
  <si>
    <t>5 реакций</t>
  </si>
  <si>
    <t>6 реакций</t>
  </si>
  <si>
    <t>8 реакций</t>
  </si>
  <si>
    <t>Какой персонаж из Сумеру использует Крио-элемент и одноручный меч?</t>
  </si>
  <si>
    <t>Лайла</t>
  </si>
  <si>
    <t>Какой персонаж является единственным пятизвездочным Пиро-пользователем катализатора?</t>
  </si>
  <si>
    <t>Янь Фэй</t>
  </si>
  <si>
    <t>Какой персонаж из Фонтейна использует Электро-элемент и одноручный меч?</t>
  </si>
  <si>
    <t>Какая элементальная реакция происходит при сочетании Гео с любым другим элементом?</t>
  </si>
  <si>
    <t>Поглощение</t>
  </si>
  <si>
    <t>Какой персонаж является единственным четырехзвездочным Гео-пользователем катализатора?</t>
  </si>
  <si>
    <t>В каком регионе находится персонаж Качина?</t>
  </si>
  <si>
    <t>Какой персонаж является единственным пятизвездочным Дендро-пользователем двуручного меча?</t>
  </si>
  <si>
    <t>Кинич</t>
  </si>
  <si>
    <t>Аль-Хайтам</t>
  </si>
  <si>
    <t>Какое название носит первая глава Тома IV заданий Архонтов?</t>
  </si>
  <si>
    <t>Прелюдия белых рос и чёрных волн</t>
  </si>
  <si>
    <t>Словно лёгкий дождь без причины</t>
  </si>
  <si>
    <t>К сиянию звёзд в глубине</t>
  </si>
  <si>
    <t>Приближение катастрофы</t>
  </si>
  <si>
    <t>Какой персонаж из Натлана использует Гео-элемент и древковое оружие?</t>
  </si>
  <si>
    <t>Качина</t>
  </si>
  <si>
    <t>Оророн</t>
  </si>
  <si>
    <t>Какая элементальная реакция происходит при добавлении Пиро к реакции Цветения?</t>
  </si>
  <si>
    <t>Бутонизация</t>
  </si>
  <si>
    <t>Вегета</t>
  </si>
  <si>
    <t>Проращение</t>
  </si>
  <si>
    <t>Разрастание</t>
  </si>
  <si>
    <t>Какой персонаж является единственным четырехзвездочным Анемо-пользователем катализатора из Лиюэ?</t>
  </si>
  <si>
    <t>Лань Янь</t>
  </si>
  <si>
    <t>Какое название носит вторая глава Тома IV заданий Архонтов?</t>
  </si>
  <si>
    <t>Какой персонаж из Инадзумы использует Дендро-элемент и одноручный меч?</t>
  </si>
  <si>
    <t>Какая элементальная реакция происходит при добавлении Электро к реакции Цветения?</t>
  </si>
  <si>
    <t>Гиперцветение</t>
  </si>
  <si>
    <t>Электроцветение</t>
  </si>
  <si>
    <t>Какой персонаж является единственным пятизвездочным Гидро-пользователем лука из Фонтейна?</t>
  </si>
  <si>
    <t>Какое название носит третья глава Тома IV заданий Архонтов?</t>
  </si>
  <si>
    <t>Маскарад виновных</t>
  </si>
  <si>
    <t>Какой персонаж из Фонтейна использует Крио-элемент и двуручный меч?</t>
  </si>
  <si>
    <t>Фремине</t>
  </si>
  <si>
    <t>Какой персонаж является единственным четырехзвездочным Пиро-пользователем древкового оружия из Инадзумы?</t>
  </si>
  <si>
    <t>Тома</t>
  </si>
  <si>
    <t>Сян Лин</t>
  </si>
  <si>
    <t>Ёимия</t>
  </si>
  <si>
    <t>Какое название носит четвертая глава Тома IV заданий Архонтов?</t>
  </si>
  <si>
    <t>Сказка на ночь</t>
  </si>
  <si>
    <t>Какой персонаж из Сумеру использует Электро-элемент и лук?</t>
  </si>
  <si>
    <t>Сетос</t>
  </si>
  <si>
    <t>Какой персонаж является единственным пятизвездочным Анемо-пользователем катализатора из Лиюэ?</t>
  </si>
  <si>
    <t>Сянь Юнь</t>
  </si>
  <si>
    <t>Какое название носит пятая глава Тома IV заданий Архонтов?</t>
  </si>
  <si>
    <t>Какой персонаж из Натлана использует Электро-элемент и лук?</t>
  </si>
  <si>
    <t>Какой персонаж является единственным пятизвездочным Анемо-пользователем лука из Натлана?</t>
  </si>
  <si>
    <t>Часка</t>
  </si>
  <si>
    <t>Какая элементальная реакция происходит при сочетании Гидро и Крио?</t>
  </si>
  <si>
    <t>Какой персонаж является единственным пятизвездочным Гео-пользователем одноручного меча из Фонтейна?</t>
  </si>
  <si>
    <t>Тиори</t>
  </si>
  <si>
    <t>Навия</t>
  </si>
  <si>
    <t>В каком регионе находится персонаж Муалани?</t>
  </si>
  <si>
    <t>Какой персонаж из Фонтейна использует Анемо-элемент и одноручный меч?</t>
  </si>
  <si>
    <t>Какая максимальная редкость персонажей существует в игре?</t>
  </si>
  <si>
    <t>Какой персонаж из Лиюэ использует Пиро-элемент и древковое оружие?</t>
  </si>
  <si>
    <t>Какое название носит шестая глава Тома Близнецы III заданий Архонтов?</t>
  </si>
  <si>
    <t>Реквием гулких глубин</t>
  </si>
  <si>
    <t>Какой персонаж является единственным четырехзвездочным Анемо-пользователем катализатора из Натлана?</t>
  </si>
  <si>
    <t>Ифа</t>
  </si>
  <si>
    <t>Какой персонаж из Сумеру использует Дендро-элемент и двуручный меч?</t>
  </si>
  <si>
    <t>В каком регионе находится персонаж Ситлали?</t>
  </si>
  <si>
    <t>Какой персонаж является единственным пятизвездочным Гидро-пользователем катализатора из Натлана?</t>
  </si>
  <si>
    <t>Муалани</t>
  </si>
  <si>
    <t>Какое название носит первая глава Тома V заданий Архонтов?</t>
  </si>
  <si>
    <t>Цветы под палящим солнцем</t>
  </si>
  <si>
    <t>Black Stone Under a White Stone</t>
  </si>
  <si>
    <t>Пылающая ода воскрешения</t>
  </si>
  <si>
    <t>Безжалостный мороз</t>
  </si>
  <si>
    <t>Какой уровень приключений нужен для открытия кооператива?</t>
  </si>
  <si>
    <t>20</t>
  </si>
  <si>
    <t>В каком году была выпущена Battle Royale версия Fortnite?</t>
  </si>
  <si>
    <t>2017</t>
  </si>
  <si>
    <t>2016</t>
  </si>
  <si>
    <t>Какая компания разработала Fortnite?</t>
  </si>
  <si>
    <t>Epic Games</t>
  </si>
  <si>
    <t>Activision</t>
  </si>
  <si>
    <t>EA Games</t>
  </si>
  <si>
    <t>Ubisoft</t>
  </si>
  <si>
    <t>Как называется автобус, с которого прыгают игроки в начале матча?</t>
  </si>
  <si>
    <t>Battle Bus</t>
  </si>
  <si>
    <t>War Bus</t>
  </si>
  <si>
    <t>Sky Bus</t>
  </si>
  <si>
    <t>Storm Bus</t>
  </si>
  <si>
    <t>Какое максимальное количество игроков может быть в одном матче Battle Royale?</t>
  </si>
  <si>
    <t>99</t>
  </si>
  <si>
    <t>120</t>
  </si>
  <si>
    <t>150</t>
  </si>
  <si>
    <t>Как называется явление, которое сжимает игровую зону?</t>
  </si>
  <si>
    <t>Шторм</t>
  </si>
  <si>
    <t>Буря</t>
  </si>
  <si>
    <t>Туман</t>
  </si>
  <si>
    <t>Циклон</t>
  </si>
  <si>
    <t>Какой максимальный уровень щита может быть у игрока?</t>
  </si>
  <si>
    <t>200</t>
  </si>
  <si>
    <t>250</t>
  </si>
  <si>
    <t>Какое оружие имеет самый высокий урон за выстрел в голову среди снайперских винтовок?</t>
  </si>
  <si>
    <t>Heavy Sniper Rifle</t>
  </si>
  <si>
    <t>Bolt-Action Sniper Rifle</t>
  </si>
  <si>
    <t>Semi-Auto Sniper Rifle</t>
  </si>
  <si>
    <t>Hunting Rifle</t>
  </si>
  <si>
    <t>В каком сезоне впервые появились транспортные средства?</t>
  </si>
  <si>
    <t>Сезон 5</t>
  </si>
  <si>
    <t>Сезон 4</t>
  </si>
  <si>
    <t>Сезон 6</t>
  </si>
  <si>
    <t>Сезон 3</t>
  </si>
  <si>
    <t>Как называется локация, добавленная в Сезоне 9 и представлявшая собой футуристический город?</t>
  </si>
  <si>
    <t>Neo Tilted</t>
  </si>
  <si>
    <t>Mega Mall</t>
  </si>
  <si>
    <t>Pressure Plant</t>
  </si>
  <si>
    <t>Sunny Steps</t>
  </si>
  <si>
    <t>Какой материал для строительства имеет наибольшую прочность?</t>
  </si>
  <si>
    <t>Металл</t>
  </si>
  <si>
    <t>Дерево</t>
  </si>
  <si>
    <t>Камень</t>
  </si>
  <si>
    <t>Кирпич</t>
  </si>
  <si>
    <t>Сколько V-Bucks стоит Battle Pass в стандартном сезоне?</t>
  </si>
  <si>
    <t>950</t>
  </si>
  <si>
    <t>Как называется режим, где игроки могут создавать свои собственные карты?</t>
  </si>
  <si>
    <t>Creative</t>
  </si>
  <si>
    <t>Playground</t>
  </si>
  <si>
    <t>Sandbox</t>
  </si>
  <si>
    <t>Builder</t>
  </si>
  <si>
    <t>Какая редкость оружия обозначается золотым цветом?</t>
  </si>
  <si>
    <t>Legendary</t>
  </si>
  <si>
    <t>Epic</t>
  </si>
  <si>
    <t>Rare</t>
  </si>
  <si>
    <t>Mythic</t>
  </si>
  <si>
    <t>В каком сезоне была уничтожена локация Tilted Towers?</t>
  </si>
  <si>
    <t>Сезон 8</t>
  </si>
  <si>
    <t>Сезон 9</t>
  </si>
  <si>
    <t>Сезон 7</t>
  </si>
  <si>
    <t>Сезон 10</t>
  </si>
  <si>
    <t>Как называется танец, который стал мемом и был добавлен в игру как эмоция?</t>
  </si>
  <si>
    <t>Floss</t>
  </si>
  <si>
    <t>Orange Justice</t>
  </si>
  <si>
    <t>Take the L</t>
  </si>
  <si>
    <t>Best Mates</t>
  </si>
  <si>
    <t>Какое оружие было временно удалено из игры из-за слишком высокого урона?</t>
  </si>
  <si>
    <t>Infinity Blade</t>
  </si>
  <si>
    <t>Drum Gun</t>
  </si>
  <si>
    <t>Combat Shotgun</t>
  </si>
  <si>
    <t>Boom Bow</t>
  </si>
  <si>
    <t>Как называется событие, которое привело к концу Первой главы Fortnite?</t>
  </si>
  <si>
    <t>The End</t>
  </si>
  <si>
    <t>The Blackout</t>
  </si>
  <si>
    <t>The Final Showdown</t>
  </si>
  <si>
    <t>The Device</t>
  </si>
  <si>
    <t>Какой персонаж является главным антагонистом в сюжете Fortnite?</t>
  </si>
  <si>
    <t>Гено</t>
  </si>
  <si>
    <t>Мидас</t>
  </si>
  <si>
    <t>Доктор Дум</t>
  </si>
  <si>
    <t>Галактус</t>
  </si>
  <si>
    <t>Сколько урона наносит обычный пикаксе по структурам?</t>
  </si>
  <si>
    <t>50</t>
  </si>
  <si>
    <t>75</t>
  </si>
  <si>
    <t>25</t>
  </si>
  <si>
    <t>Как называется локация, которая представляла собой тюрьму в первых сезонах?</t>
  </si>
  <si>
    <t>Moisty Mire</t>
  </si>
  <si>
    <t>Wailing Woods</t>
  </si>
  <si>
    <t>Prison</t>
  </si>
  <si>
    <t>Junk Junction</t>
  </si>
  <si>
    <t>Какой режим игры позволяет возрождаться после смерти?</t>
  </si>
  <si>
    <t>Team Rumble</t>
  </si>
  <si>
    <t>Solos</t>
  </si>
  <si>
    <t>Duos</t>
  </si>
  <si>
    <t>Arena</t>
  </si>
  <si>
    <t>Как называется валюта, которую можно заработать в Battle Pass?</t>
  </si>
  <si>
    <t>V-Bucks</t>
  </si>
  <si>
    <t>Battle Stars</t>
  </si>
  <si>
    <t>XP</t>
  </si>
  <si>
    <t>Gold</t>
  </si>
  <si>
    <t>Какая локация заменила Dusty Depot после падения метеорита?</t>
  </si>
  <si>
    <t>Dusty Divot</t>
  </si>
  <si>
    <t>Dusty Diner</t>
  </si>
  <si>
    <t>Dusty Hills</t>
  </si>
  <si>
    <t>Dusty Valley</t>
  </si>
  <si>
    <t>Сколько слотов для оружия и предметов есть у каждого игрока?</t>
  </si>
  <si>
    <t>Как называется особый тип сундука, который светится и содержит лучшую добычу?</t>
  </si>
  <si>
    <t>Supply Drop</t>
  </si>
  <si>
    <t>Legendary Chest</t>
  </si>
  <si>
    <t>Epic Chest</t>
  </si>
  <si>
    <t>Rare Chest</t>
  </si>
  <si>
    <t>Какое максимальное количество материалов одного типа может носить игрок?</t>
  </si>
  <si>
    <t>750</t>
  </si>
  <si>
    <t>Как называется режим, где команды из 50 игроков сражаются друг против друга?</t>
  </si>
  <si>
    <t>50v50</t>
  </si>
  <si>
    <t>Team Battle</t>
  </si>
  <si>
    <t>Large Team</t>
  </si>
  <si>
    <t>Mega Fight</t>
  </si>
  <si>
    <t>Какой персонаж из Marvel был добавлен в качестве босса в Сезоне 4 Главы 2?</t>
  </si>
  <si>
    <t>Танос</t>
  </si>
  <si>
    <t>Дэдпул</t>
  </si>
  <si>
    <t>Сколько урона наносит прямое попадание гранатой?</t>
  </si>
  <si>
    <t>125</t>
  </si>
  <si>
    <t>Как называется локация, которая была добавлена в честь популярного стримера?</t>
  </si>
  <si>
    <t>Lazy Lake</t>
  </si>
  <si>
    <t>Ninja Village</t>
  </si>
  <si>
    <t>Streamer Spot</t>
  </si>
  <si>
    <t>Fame Point</t>
  </si>
  <si>
    <t>Какое оружие имеет самую высокую скорострельность среди автоматов?</t>
  </si>
  <si>
    <t>Rapid Fire SMG</t>
  </si>
  <si>
    <t>Compact SMG</t>
  </si>
  <si>
    <t>Submachine Gun</t>
  </si>
  <si>
    <t>Burst SMG</t>
  </si>
  <si>
    <t>В каком сезоне был добавлен режим Zero Build?</t>
  </si>
  <si>
    <t>Сезон 2 Главы 3</t>
  </si>
  <si>
    <t>Сезон 1 Главы 3</t>
  </si>
  <si>
    <t>Сезон 3 Главы 3</t>
  </si>
  <si>
    <t>Сезон 4 Главы 2</t>
  </si>
  <si>
    <t>Какая максимальная скорость передвижения пешком в игре?</t>
  </si>
  <si>
    <t>5.5 м/с</t>
  </si>
  <si>
    <t>6.0 м/с</t>
  </si>
  <si>
    <t>5.0 м/с</t>
  </si>
  <si>
    <t>4.5 м/с</t>
  </si>
  <si>
    <t>Как называется особая способность, которая позволяет быстро перемещаться по карте?</t>
  </si>
  <si>
    <t>Rift-to-Go</t>
  </si>
  <si>
    <t>Launch Pad</t>
  </si>
  <si>
    <t>Bounce Pad</t>
  </si>
  <si>
    <t>Teleporter</t>
  </si>
  <si>
    <t>Какой предмет восстанавливает и здоровье, и щит одновременно?</t>
  </si>
  <si>
    <t>Slurp Juice</t>
  </si>
  <si>
    <t>Chug Jug</t>
  </si>
  <si>
    <t>Shield Potion</t>
  </si>
  <si>
    <t>Medkit</t>
  </si>
  <si>
    <t>Сколько секунд длится использование Chug Jug?</t>
  </si>
  <si>
    <t>Как называется локация, которая появилась после разрушения Tilted Towers в Сезоне 9?</t>
  </si>
  <si>
    <t>Tilted Town</t>
  </si>
  <si>
    <t>New Tilted</t>
  </si>
  <si>
    <t>Tilted Park</t>
  </si>
  <si>
    <t>Old Tilted</t>
  </si>
  <si>
    <t>Какое максимальное количество игроков может быть в команде в режиме Squad?</t>
  </si>
  <si>
    <t>Как называется валюта, которая используется для улучшения оружия в Creative?</t>
  </si>
  <si>
    <t>Gold Bars</t>
  </si>
  <si>
    <t>Creative Points</t>
  </si>
  <si>
    <t>Какой редкости соответствует фиолетовый цвет оружия?</t>
  </si>
  <si>
    <t>Uncommon</t>
  </si>
  <si>
    <t>В каком сезоне была добавлена механика рыбалки?</t>
  </si>
  <si>
    <t>Сезон 1 Главы 2</t>
  </si>
  <si>
    <t>Сезон 2 Главы 2</t>
  </si>
  <si>
    <t>Сезон 3 Главы 1</t>
  </si>
  <si>
    <t>Сезон 11</t>
  </si>
  <si>
    <t>Как называется NPC, который торгует оружием за золото?</t>
  </si>
  <si>
    <t>Торговец</t>
  </si>
  <si>
    <t>Продавец</t>
  </si>
  <si>
    <t>Дилер</t>
  </si>
  <si>
    <t>Поставщик</t>
  </si>
  <si>
    <t>Какое животное можно приручить и использовать как транспорт?</t>
  </si>
  <si>
    <t>Волк</t>
  </si>
  <si>
    <t>Кабан</t>
  </si>
  <si>
    <t>Курица</t>
  </si>
  <si>
    <t>Акула</t>
  </si>
  <si>
    <t>Сколько урона наносит обычный дробовик в ближнем бою?</t>
  </si>
  <si>
    <t>от 70 до 180</t>
  </si>
  <si>
    <t>от 50 до 150</t>
  </si>
  <si>
    <t>от 80 до 200</t>
  </si>
  <si>
    <t>от 60 до 160</t>
  </si>
  <si>
    <t>Как называется событие, которое происходит в конце каждого сезона?</t>
  </si>
  <si>
    <t>Live Event</t>
  </si>
  <si>
    <t>Season Finale</t>
  </si>
  <si>
    <t>Epic Event</t>
  </si>
  <si>
    <t>Final Show</t>
  </si>
  <si>
    <t>Какой материал добывается из машин и металлических конструкций?</t>
  </si>
  <si>
    <t>Сталь</t>
  </si>
  <si>
    <t>Железо</t>
  </si>
  <si>
    <t>Алюминий</t>
  </si>
  <si>
    <t>Как называется режим, где игроки строят и защищают базу от зомби?</t>
  </si>
  <si>
    <t>Save the World</t>
  </si>
  <si>
    <t>Horde Mode</t>
  </si>
  <si>
    <t>Defense Mode</t>
  </si>
  <si>
    <t>Zombie Rush</t>
  </si>
  <si>
    <t>Какое оружие стреляет ракетами и имеет высокий урон по области?</t>
  </si>
  <si>
    <t>Rocket Launcher</t>
  </si>
  <si>
    <t>Grenade Launcher</t>
  </si>
  <si>
    <t>RPG</t>
  </si>
  <si>
    <t>Missile Launcher</t>
  </si>
  <si>
    <t>Сколько опыта нужно для повышения одного уровня Battle Pass в среднем?</t>
  </si>
  <si>
    <t>80000</t>
  </si>
  <si>
    <t>75000</t>
  </si>
  <si>
    <t>85000</t>
  </si>
  <si>
    <t>70000</t>
  </si>
  <si>
    <t>Как называется способность, которая делает игрока невидимым на короткое время?</t>
  </si>
  <si>
    <t>Shadow Stone</t>
  </si>
  <si>
    <t>Invisibility Cloak</t>
  </si>
  <si>
    <t>Stealth Mode</t>
  </si>
  <si>
    <t>Ghost Form</t>
  </si>
  <si>
    <t>Как называется явление, которое появляется на карте и создает порталы?</t>
  </si>
  <si>
    <t>Rift</t>
  </si>
  <si>
    <t>Portal</t>
  </si>
  <si>
    <t>Wormhole</t>
  </si>
  <si>
    <t>Vortex</t>
  </si>
  <si>
    <t>Какое максимальное количество здоровья у игрока?</t>
  </si>
  <si>
    <t>В каком сезоне было добавлено первое событие коллаборации с Marvel?</t>
  </si>
  <si>
    <t>Как называется состояние, когда игрок лежит на земле и может быть воскрешен?</t>
  </si>
  <si>
    <t>DBNO</t>
  </si>
  <si>
    <t>Knocked</t>
  </si>
  <si>
    <t>Downed</t>
  </si>
  <si>
    <t>Crawling</t>
  </si>
  <si>
    <t>Какое оружие может стрелять через стены?</t>
  </si>
  <si>
    <t>Railgun</t>
  </si>
  <si>
    <t>X-Ray Gun</t>
  </si>
  <si>
    <t>Thermal Rifle</t>
  </si>
  <si>
    <t>Laser Gun</t>
  </si>
  <si>
    <t>Как называется локация, которая заменила Loot Lake в начале Сезона 6?</t>
  </si>
  <si>
    <t>Leaky Lake</t>
  </si>
  <si>
    <t>Floating Island</t>
  </si>
  <si>
    <t>Kevin Lake</t>
  </si>
  <si>
    <t>Purple Lake</t>
  </si>
  <si>
    <t>Сколько пуль содержит обойма обычной штурмовой винтовки?</t>
  </si>
  <si>
    <t>Какой редкости соответствует синий цвет оружия?</t>
  </si>
  <si>
    <t>Common</t>
  </si>
  <si>
    <t>Как называется предмет, который позволяет игроку летать на короткое время?</t>
  </si>
  <si>
    <t>Jetpack</t>
  </si>
  <si>
    <t>Wings</t>
  </si>
  <si>
    <t>Hoverpack</t>
  </si>
  <si>
    <t>Flight Pod</t>
  </si>
  <si>
    <t>В каком сезоне была введена механика улучшения оружия?</t>
  </si>
  <si>
    <t>Сезон 5 Главы 2</t>
  </si>
  <si>
    <t>Сезон 6 Главы 2</t>
  </si>
  <si>
    <t>Сезон 3 Главы 2</t>
  </si>
  <si>
    <t>Как называется данц робота, который был популярен в первых сезонах?</t>
  </si>
  <si>
    <t>The Robot</t>
  </si>
  <si>
    <t>Mech Dance</t>
  </si>
  <si>
    <t>Cyborg Move</t>
  </si>
  <si>
    <t>Automate</t>
  </si>
  <si>
    <t>Какое максимальное количество уровней в Battle Pass?</t>
  </si>
  <si>
    <t>110</t>
  </si>
  <si>
    <t>Как называется локация, которая появилась на месте Polar Peak?</t>
  </si>
  <si>
    <t>Ice Castle</t>
  </si>
  <si>
    <t>Frozen Fortress</t>
  </si>
  <si>
    <t>Cold Palace</t>
  </si>
  <si>
    <t>Какое оружие стреляет огненными снарядами?</t>
  </si>
  <si>
    <t>Flamethrower</t>
  </si>
  <si>
    <t>Fire Gun</t>
  </si>
  <si>
    <t>Burn Blaster</t>
  </si>
  <si>
    <t>Heat Ray</t>
  </si>
  <si>
    <t>Сколько раз можно использовать Launch Pad?</t>
  </si>
  <si>
    <t>Бесконечно</t>
  </si>
  <si>
    <t>3 раза</t>
  </si>
  <si>
    <t>5 раз</t>
  </si>
  <si>
    <t>1 раз</t>
  </si>
  <si>
    <t>Как называется остров, который летал над картой в Сезоне 6?</t>
  </si>
  <si>
    <t>Flying Rock</t>
  </si>
  <si>
    <t>Hovering Land</t>
  </si>
  <si>
    <t>Sky Island</t>
  </si>
  <si>
    <t>Какой материал добывается с помощью пикаксы быстрее всего?</t>
  </si>
  <si>
    <t>Кристалл</t>
  </si>
  <si>
    <t>Какое максимальное количество боеприпасов можно носить для одного типа оружия?</t>
  </si>
  <si>
    <t>Различно для каждого типа</t>
  </si>
  <si>
    <t>Как называется событие, которое произошло в середине Сезона 7?</t>
  </si>
  <si>
    <t>Ice Storm</t>
  </si>
  <si>
    <t>Snow Event</t>
  </si>
  <si>
    <t>Blizzard Attack</t>
  </si>
  <si>
    <t>Freeze Storm</t>
  </si>
  <si>
    <t>Какое оружие может выпускать крюк с веревкой?</t>
  </si>
  <si>
    <t>Grappler</t>
  </si>
  <si>
    <t>Hook Gun</t>
  </si>
  <si>
    <t>Rope Shooter</t>
  </si>
  <si>
    <t>Cable Launcher</t>
  </si>
  <si>
    <t>В каком сезоне появилась локация Paradise Palms?</t>
  </si>
  <si>
    <t>Какой предмет можно использовать для создания временного укрытия?</t>
  </si>
  <si>
    <t>Port-a-Fort</t>
  </si>
  <si>
    <t>Quick Fort</t>
  </si>
  <si>
    <t>Instant Base</t>
  </si>
  <si>
    <t>Fast Shelter</t>
  </si>
  <si>
    <t>Как называется способность, которая позволяет строить быстрее?</t>
  </si>
  <si>
    <t>Turbo Building</t>
  </si>
  <si>
    <t>Speed Build</t>
  </si>
  <si>
    <t>Fast Construction</t>
  </si>
  <si>
    <t>Quick Build</t>
  </si>
  <si>
    <t>Какое оружие стреляет стрелами с взрывчаткой?</t>
  </si>
  <si>
    <t>Explosive Bow</t>
  </si>
  <si>
    <t>Blast Arrow</t>
  </si>
  <si>
    <t>Dynamite Bow</t>
  </si>
  <si>
    <t>Как называется место, где игроки могут покупать оружие за золото?</t>
  </si>
  <si>
    <t>Upgrade Bench</t>
  </si>
  <si>
    <t>Weapon Shop</t>
  </si>
  <si>
    <t>Gold Store</t>
  </si>
  <si>
    <t>Trading Post</t>
  </si>
  <si>
    <t>Как называется событие, где игроки сражались против гигантских роботов?</t>
  </si>
  <si>
    <t>Mech vs Monster</t>
  </si>
  <si>
    <t>Robot War</t>
  </si>
  <si>
    <t>Giant Battle</t>
  </si>
  <si>
    <t>Kaiju Fight</t>
  </si>
  <si>
    <t>Какой максимальный урон может нанести критический выстрел из помпового дробовика?</t>
  </si>
  <si>
    <t>237</t>
  </si>
  <si>
    <t>220</t>
  </si>
  <si>
    <t>В каком сезоне появился персонаж Джонси?</t>
  </si>
  <si>
    <t>С самого начала</t>
  </si>
  <si>
    <t>Сезон 2</t>
  </si>
  <si>
    <t>Сезон 1</t>
  </si>
  <si>
    <t>Как называется способность видеть врагов через стены?</t>
  </si>
  <si>
    <t>X-Ray Vision</t>
  </si>
  <si>
    <t>Wall Hack</t>
  </si>
  <si>
    <t>See Through</t>
  </si>
  <si>
    <t>Thermal Vision</t>
  </si>
  <si>
    <t>Какая локация заменила Wailing Woods?</t>
  </si>
  <si>
    <t>The Block</t>
  </si>
  <si>
    <t>New Woods</t>
  </si>
  <si>
    <t>Forest Park</t>
  </si>
  <si>
    <t>Tree Town</t>
  </si>
  <si>
    <t>Сколько очков здоровья восстанавливает большая аптечка?</t>
  </si>
  <si>
    <t>Как называется режим с зомби, который периодически возвращается?</t>
  </si>
  <si>
    <t>Fortnitemares</t>
  </si>
  <si>
    <t>Zombie Mode</t>
  </si>
  <si>
    <t>Halloween Event</t>
  </si>
  <si>
    <t>Undead Rush</t>
  </si>
  <si>
    <t>Какой персонаж носит золотой костюм и имеет способность превращать предметы в золото?</t>
  </si>
  <si>
    <t>Голден</t>
  </si>
  <si>
    <t>Король Золото</t>
  </si>
  <si>
    <t>Ауреус</t>
  </si>
  <si>
    <t>В каком сезоне была добавлена механика плавания?</t>
  </si>
  <si>
    <t>Сезон 4 Главы 1</t>
  </si>
  <si>
    <t>Сезон 2 Главы 1</t>
  </si>
  <si>
    <t>Как называется танец, основанный на популярном мем с крабом?</t>
  </si>
  <si>
    <t>Crab Rave</t>
  </si>
  <si>
    <t>Crab Walk</t>
  </si>
  <si>
    <t>Shell Shock</t>
  </si>
  <si>
    <t>Ocean Dance</t>
  </si>
  <si>
    <t>Какое оружие стреляет лазерными лучами?</t>
  </si>
  <si>
    <t>Charge Shotgun</t>
  </si>
  <si>
    <t>Laser Rifle</t>
  </si>
  <si>
    <t>Plasma Gun</t>
  </si>
  <si>
    <t>Energy Blaster</t>
  </si>
  <si>
    <t>Сколько золота нужно для полного улучшения оружия?</t>
  </si>
  <si>
    <t>Зависит от оружия</t>
  </si>
  <si>
    <t>Как называется локация, где находился большой робот?</t>
  </si>
  <si>
    <t>Robot Factory</t>
  </si>
  <si>
    <t>Mech Base</t>
  </si>
  <si>
    <t>Steel City</t>
  </si>
  <si>
    <t>В каком сезоне игроки могли летать на драконах?</t>
  </si>
  <si>
    <t>Никогда</t>
  </si>
  <si>
    <t>Какой предмет позволяет мгновенно построить металлический форт?</t>
  </si>
  <si>
    <t>Port-a-Fortress</t>
  </si>
  <si>
    <t>Mega Fort</t>
  </si>
  <si>
    <t>Steel Base</t>
  </si>
  <si>
    <t>Metal Fortress</t>
  </si>
  <si>
    <t>Как называется способность некоторых скинов менять внешний вид в игре?</t>
  </si>
  <si>
    <t>Реактивность</t>
  </si>
  <si>
    <t>Трансформация</t>
  </si>
  <si>
    <t>Эволюция</t>
  </si>
  <si>
    <t>Мутация</t>
  </si>
  <si>
    <t>Какая максимальная высота строительства в игре?</t>
  </si>
  <si>
    <t>Ограничена высотным лимитом</t>
  </si>
  <si>
    <t>20 блоков</t>
  </si>
  <si>
    <t>50 блоков</t>
  </si>
  <si>
    <t>100 блоков</t>
  </si>
  <si>
    <t>В каком сезоне появились первые боссы на карте?</t>
  </si>
  <si>
    <t>Сезон 7 Главы 2</t>
  </si>
  <si>
    <t>Как называется эмоция, где персонаж делает сальто назад?</t>
  </si>
  <si>
    <t>Backflip</t>
  </si>
  <si>
    <t>Flip Out</t>
  </si>
  <si>
    <t>Reverse Jump</t>
  </si>
  <si>
    <t>Back Roll</t>
  </si>
  <si>
    <t>Какое максимальное количество игроков может одновременно редактировать одну постройку?</t>
  </si>
  <si>
    <t>Все в команде</t>
  </si>
  <si>
    <t>В каком сезоне была добавлена возможность кататься на животных?</t>
  </si>
  <si>
    <t>Сезон 8 Главы 2</t>
  </si>
  <si>
    <t>Как называлось событие, в котором нужно было выполнять задания от Снегназовца?</t>
  </si>
  <si>
    <t>Operation Snowdown</t>
  </si>
  <si>
    <t>New Year</t>
  </si>
  <si>
    <t>Winterfest</t>
  </si>
  <si>
    <t>Gold Rush</t>
  </si>
  <si>
    <t>Какой персонаж известен своей фразой Never gonna give you up?</t>
  </si>
  <si>
    <t>Рик Эстли</t>
  </si>
  <si>
    <t>Джонси</t>
  </si>
  <si>
    <t>Пили</t>
  </si>
  <si>
    <t>Кит</t>
  </si>
  <si>
    <t>Сколько времени длится один полный цикл шторма в стандартном матче?</t>
  </si>
  <si>
    <t>Около 25 минут</t>
  </si>
  <si>
    <t>20 минут</t>
  </si>
  <si>
    <t>30 минут</t>
  </si>
  <si>
    <t>15 минут</t>
  </si>
  <si>
    <t>Как называется особый тип матча с уменьшенной картой?</t>
  </si>
  <si>
    <t>Mini Battle</t>
  </si>
  <si>
    <t>Quick Match</t>
  </si>
  <si>
    <t>Speed Game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</si>
</sst>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1.0"/>
      <color theme="1"/>
      <name val="Arial"/>
    </font>
    <font>
      <b/>
      <sz val="11.0"/>
      <color rgb="FF242F26"/>
      <name val="Arial"/>
    </font>
    <font>
      <sz val="10.0"/>
      <color theme="1"/>
      <name val="Arial"/>
    </font>
    <font>
      <sz val="10.0"/>
      <color rgb="FF000000"/>
      <name val="Arial"/>
    </font>
    <font>
      <sz val="12.0"/>
      <color rgb="FF212529"/>
      <name val="Quattrocento Sans"/>
    </font>
    <font>
      <color theme="1"/>
      <name val="Arial"/>
    </font>
    <font>
      <sz val="12.0"/>
      <color rgb="FF212529"/>
      <name val="-apple-system"/>
    </font>
    <font>
      <sz val="12.0"/>
      <color rgb="FF212529"/>
      <name val="Arial"/>
    </font>
    <font>
      <sz val="12.0"/>
      <color theme="1"/>
      <name val="FkGroteskNeue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horizontal="center" shrinkToFit="0" vertical="top" wrapText="1"/>
    </xf>
    <xf borderId="2" fillId="0" fontId="3" numFmtId="0" xfId="0" applyAlignment="1" applyBorder="1" applyFont="1">
      <alignment vertical="center"/>
    </xf>
    <xf borderId="0" fillId="0" fontId="3" numFmtId="0" xfId="0" applyAlignment="1" applyFont="1">
      <alignment horizontal="left" shrinkToFit="0" vertical="center" wrapText="1"/>
    </xf>
    <xf borderId="2" fillId="0" fontId="4" numFmtId="0" xfId="0" applyBorder="1" applyFont="1"/>
    <xf borderId="2" fillId="0" fontId="3" numFmtId="0" xfId="0" applyAlignment="1" applyBorder="1" applyFont="1">
      <alignment vertical="center"/>
    </xf>
    <xf borderId="0" fillId="0" fontId="5" numFmtId="0" xfId="0" applyAlignment="1" applyFont="1">
      <alignment horizontal="left" shrinkToFit="0" vertical="center" wrapText="1"/>
    </xf>
    <xf borderId="2" fillId="0" fontId="6" numFmtId="0" xfId="0" applyBorder="1" applyFont="1"/>
    <xf borderId="0" fillId="2" fontId="7" numFmtId="0" xfId="0" applyAlignment="1" applyFill="1" applyFont="1">
      <alignment horizontal="left" shrinkToFit="0" wrapText="1"/>
    </xf>
    <xf borderId="0" fillId="2" fontId="8" numFmtId="0" xfId="0" applyAlignment="1" applyFont="1">
      <alignment horizontal="left" shrinkToFit="0" wrapText="1"/>
    </xf>
    <xf borderId="0" fillId="0" fontId="9" numFmtId="0" xfId="0" applyFont="1"/>
    <xf borderId="0" fillId="0" fontId="10" numFmtId="0" xfId="0" applyAlignment="1" applyFont="1">
      <alignment horizontal="center" readingOrder="0"/>
    </xf>
    <xf borderId="0" fillId="0" fontId="10" numFmtId="49" xfId="0" applyAlignment="1" applyFont="1" applyNumberFormat="1">
      <alignment horizontal="center" readingOrder="0"/>
    </xf>
    <xf borderId="0" fillId="0" fontId="10" numFmtId="0" xfId="0" applyAlignment="1" applyFont="1">
      <alignment horizontal="center"/>
    </xf>
    <xf borderId="0" fillId="0" fontId="11" numFmtId="0" xfId="0" applyAlignment="1" applyFont="1">
      <alignment readingOrder="0"/>
    </xf>
    <xf borderId="0" fillId="0" fontId="11" numFmtId="49" xfId="0" applyAlignment="1" applyFont="1" applyNumberFormat="1">
      <alignment readingOrder="0"/>
    </xf>
    <xf borderId="0" fillId="2" fontId="11" numFmtId="49" xfId="0" applyAlignment="1" applyFont="1" applyNumberFormat="1">
      <alignment readingOrder="0"/>
    </xf>
    <xf borderId="0" fillId="2" fontId="11" numFmtId="0" xfId="0" applyFont="1"/>
    <xf borderId="0" fillId="2" fontId="11" numFmtId="0" xfId="0" applyAlignment="1" applyFont="1">
      <alignment readingOrder="0"/>
    </xf>
    <xf borderId="0" fillId="0" fontId="11" numFmtId="49" xfId="0" applyFont="1" applyNumberFormat="1"/>
    <xf quotePrefix="1" borderId="0" fillId="0" fontId="11" numFmtId="49" xfId="0" applyAlignment="1" applyFont="1" applyNumberFormat="1">
      <alignment readingOrder="0"/>
    </xf>
    <xf quotePrefix="1" borderId="0" fillId="0" fontId="11" numFmtId="0" xfId="0" applyAlignment="1" applyFont="1">
      <alignment readingOrder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2" pivot="0" name="Майнкрафт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2:F34" displayName="Table_1" name="Table_1" id="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Майнкрафт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242F26"/>
      </a:dk1>
      <a:lt1>
        <a:srgbClr val="FFFFFF"/>
      </a:lt1>
      <a:dk2>
        <a:srgbClr val="242F26"/>
      </a:dk2>
      <a:lt2>
        <a:srgbClr val="FFFFFF"/>
      </a:lt2>
      <a:accent1>
        <a:srgbClr val="608F66"/>
      </a:accent1>
      <a:accent2>
        <a:srgbClr val="274766"/>
      </a:accent2>
      <a:accent3>
        <a:srgbClr val="DFA398"/>
      </a:accent3>
      <a:accent4>
        <a:srgbClr val="AB9084"/>
      </a:accent4>
      <a:accent5>
        <a:srgbClr val="613942"/>
      </a:accent5>
      <a:accent6>
        <a:srgbClr val="E68CA5"/>
      </a:accent6>
      <a:hlink>
        <a:srgbClr val="608F66"/>
      </a:hlink>
      <a:folHlink>
        <a:srgbClr val="608F6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5.63"/>
    <col customWidth="1" min="2" max="5" width="23.25"/>
    <col customWidth="1" min="6" max="6" width="53.5"/>
    <col customWidth="1" min="22" max="22" width="12.63"/>
    <col customWidth="1" min="23" max="23" width="16.38"/>
  </cols>
  <sheetData>
    <row r="1" ht="23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V1" s="1"/>
      <c r="W1" s="1"/>
    </row>
    <row r="2" ht="14.25" customHeight="1">
      <c r="A2" s="3" t="str">
        <f>IFERROR(__xludf.DUMMYFUNCTION("REGEXEXTRACT(F2, ""s*(.*?)\s*а\)"")"),"Как называется измерение, где обитает Эндер-дракон? ")</f>
        <v>Как называется измерение, где обитает Эндер-дракон? </v>
      </c>
      <c r="B2" s="3" t="str">
        <f>IFERROR(__xludf.DUMMYFUNCTION("REGEXREPLACE(REGEXEXTRACT(F2, ""а\)\s*(.*?)\s*б\)""), ""^\s*"", """")"),"Край ")</f>
        <v>Край </v>
      </c>
      <c r="C2" s="3" t="str">
        <f>IFERROR(__xludf.DUMMYFUNCTION("REGEXREPLACE(REGEXEXTRACT(F2, ""б\)\s*(.*?)\s*в\)""), ""^\s*"", """")"),"Ад")</f>
        <v>Ад</v>
      </c>
      <c r="D2" s="3" t="str">
        <f>IFERROR(__xludf.DUMMYFUNCTION("REGEXREPLACE(REGEXEXTRACT(F2, ""в\)\s*(.*?)\s*г\)""), ""^\s*"", """")"),"Верхний мир")</f>
        <v>Верхний мир</v>
      </c>
      <c r="E2" s="3" t="str">
        <f>IFERROR(__xludf.DUMMYFUNCTION("REGEXREPLACE(REGEXEXTRACT(F2, ""г\)\s*(.*)""), ""^\s*"", """")"),"Измерение скалка")</f>
        <v>Измерение скалка</v>
      </c>
      <c r="F2" s="4" t="s">
        <v>6</v>
      </c>
      <c r="V2" s="3"/>
      <c r="W2" s="3"/>
    </row>
    <row r="3" ht="14.25" customHeight="1">
      <c r="A3" s="3" t="str">
        <f>IFERROR(__xludf.DUMMYFUNCTION("REGEXEXTRACT(F3, ""s*(.*?)\s*а\)"")"),"Где можно встретить лягушек в майнкрафте?")</f>
        <v>Где можно встретить лягушек в майнкрафте?</v>
      </c>
      <c r="B3" s="3" t="str">
        <f>IFERROR(__xludf.DUMMYFUNCTION("REGEXREPLACE(REGEXEXTRACT(F3, ""а\)\s*(.*?)\s*б\)""), ""^\s*"", """")"),"Болото")</f>
        <v>Болото</v>
      </c>
      <c r="C3" s="3" t="str">
        <f>IFERROR(__xludf.DUMMYFUNCTION("REGEXREPLACE(REGEXEXTRACT(F3, ""б\)\s*(.*?)\s*в\)""), ""^\s*"", """")"),"Джунгли")</f>
        <v>Джунгли</v>
      </c>
      <c r="D3" s="3" t="str">
        <f>IFERROR(__xludf.DUMMYFUNCTION("REGEXREPLACE(REGEXEXTRACT(F3, ""в\)\s*(.*?)\s*г\)""), ""^\s*"", """")"),"Пышные пещеры")</f>
        <v>Пышные пещеры</v>
      </c>
      <c r="E3" s="3" t="str">
        <f>IFERROR(__xludf.DUMMYFUNCTION("REGEXREPLACE(REGEXEXTRACT(F3, ""г\)\s*(.*)""), ""^\s*"", """")"),"Пустыня")</f>
        <v>Пустыня</v>
      </c>
      <c r="F3" s="4" t="s">
        <v>7</v>
      </c>
      <c r="V3" s="3"/>
      <c r="W3" s="3"/>
    </row>
    <row r="4" ht="14.25" customHeight="1">
      <c r="A4" s="3" t="str">
        <f>IFERROR(__xludf.DUMMYFUNCTION("REGEXEXTRACT(F4, ""s*(.*?)\s*а\)"")"),"Как называется режим, в котором можно летать и иметь неограниченные ресурсы?")</f>
        <v>Как называется режим, в котором можно летать и иметь неограниченные ресурсы?</v>
      </c>
      <c r="B4" s="3" t="str">
        <f>IFERROR(__xludf.DUMMYFUNCTION("REGEXREPLACE(REGEXEXTRACT(F4, ""а\)\s*(.*?)\s*б\)""), ""^\s*"", """")"),"Творческий режим")</f>
        <v>Творческий режим</v>
      </c>
      <c r="C4" s="3" t="str">
        <f>IFERROR(__xludf.DUMMYFUNCTION("REGEXREPLACE(REGEXEXTRACT(F4, ""б\)\s*(.*?)\s*в\)""), ""^\s*"", """")"),"Режим выживания")</f>
        <v>Режим выживания</v>
      </c>
      <c r="D4" s="3" t="str">
        <f>IFERROR(__xludf.DUMMYFUNCTION("REGEXREPLACE(REGEXEXTRACT(F4, ""в\)\s*(.*?)\s*г\)""), ""^\s*"", """")"),"Режим приключений")</f>
        <v>Режим приключений</v>
      </c>
      <c r="E4" s="3" t="str">
        <f>IFERROR(__xludf.DUMMYFUNCTION("REGEXREPLACE(REGEXEXTRACT(F4, ""г\)\s*(.*)""), ""^\s*"", """")"),"Режим наблюдателя")</f>
        <v>Режим наблюдателя</v>
      </c>
      <c r="F4" s="4" t="s">
        <v>8</v>
      </c>
      <c r="V4" s="3"/>
      <c r="W4" s="3"/>
    </row>
    <row r="5" ht="14.25" customHeight="1">
      <c r="A5" s="3" t="str">
        <f>IFERROR(__xludf.DUMMYFUNCTION("REGEXEXTRACT(F5, ""s*(.*?)\s*а\)"")"),"С какого моба выпадает медь?")</f>
        <v>С какого моба выпадает медь?</v>
      </c>
      <c r="B5" s="3" t="str">
        <f>IFERROR(__xludf.DUMMYFUNCTION("REGEXREPLACE(REGEXEXTRACT(F5, ""а\)\s*(.*?)\s*б\)""), ""^\s*"", """")"),"Утопленник")</f>
        <v>Утопленник</v>
      </c>
      <c r="C5" s="3" t="str">
        <f>IFERROR(__xludf.DUMMYFUNCTION("REGEXREPLACE(REGEXEXTRACT(F5, ""б\)\s*(.*?)\s*в\)""), ""^\s*"", """")"),"Зомби")</f>
        <v>Зомби</v>
      </c>
      <c r="D5" s="3" t="str">
        <f>IFERROR(__xludf.DUMMYFUNCTION("REGEXREPLACE(REGEXEXTRACT(F5, ""в\)\s*(.*?)\s*г\)""), ""^\s*"", """")"),"Пиглин")</f>
        <v>Пиглин</v>
      </c>
      <c r="E5" s="3" t="str">
        <f>IFERROR(__xludf.DUMMYFUNCTION("REGEXREPLACE(REGEXEXTRACT(F5, ""г\)\s*(.*)""), ""^\s*"", """")"),"Разбойник")</f>
        <v>Разбойник</v>
      </c>
      <c r="F5" s="4" t="s">
        <v>9</v>
      </c>
      <c r="V5" s="3"/>
      <c r="W5" s="5"/>
    </row>
    <row r="6" ht="14.25" customHeight="1">
      <c r="A6" s="3" t="str">
        <f>IFERROR(__xludf.DUMMYFUNCTION("REGEXEXTRACT(F6, ""s*(.*?)\s*а\)"")"),"Какая руда светится в темноте, если по ней пройти или ударить?")</f>
        <v>Какая руда светится в темноте, если по ней пройти или ударить?</v>
      </c>
      <c r="B6" s="3" t="str">
        <f>IFERROR(__xludf.DUMMYFUNCTION("REGEXREPLACE(REGEXEXTRACT(F6, ""а\)\s*(.*?)\s*б\)""), ""^\s*"", """")"),"Редстоуновая руда")</f>
        <v>Редстоуновая руда</v>
      </c>
      <c r="C6" s="3" t="str">
        <f>IFERROR(__xludf.DUMMYFUNCTION("REGEXREPLACE(REGEXEXTRACT(F6, ""б\)\s*(.*?)\s*в\)""), ""^\s*"", """")"),"Железная руда")</f>
        <v>Железная руда</v>
      </c>
      <c r="D6" s="3" t="str">
        <f>IFERROR(__xludf.DUMMYFUNCTION("REGEXREPLACE(REGEXEXTRACT(F6, ""в\)\s*(.*?)\s*г\)""), ""^\s*"", """")"),"Золотая руда")</f>
        <v>Золотая руда</v>
      </c>
      <c r="E6" s="3" t="str">
        <f>IFERROR(__xludf.DUMMYFUNCTION("REGEXREPLACE(REGEXEXTRACT(F6, ""г\)\s*(.*)""), ""^\s*"", """")"),"Алмазная руда")</f>
        <v>Алмазная руда</v>
      </c>
      <c r="F6" s="4" t="s">
        <v>10</v>
      </c>
      <c r="V6" s="3"/>
      <c r="W6" s="5"/>
    </row>
    <row r="7" ht="14.25" customHeight="1">
      <c r="A7" s="3" t="str">
        <f>IFERROR(__xludf.DUMMYFUNCTION("REGEXEXTRACT(F7, ""s*(.*?)\s*а\)"")"),"Чем можно починить элитры?")</f>
        <v>Чем можно починить элитры?</v>
      </c>
      <c r="B7" s="3" t="str">
        <f>IFERROR(__xludf.DUMMYFUNCTION("REGEXREPLACE(REGEXEXTRACT(F7, ""а\)\s*(.*?)\s*б\)""), ""^\s*"", """")"),"Фантомной мембраной")</f>
        <v>Фантомной мембраной</v>
      </c>
      <c r="C7" s="3" t="str">
        <f>IFERROR(__xludf.DUMMYFUNCTION("REGEXREPLACE(REGEXEXTRACT(F7, ""б\)\s*(.*?)\s*в\)""), ""^\s*"", """")"),"Алмазами")</f>
        <v>Алмазами</v>
      </c>
      <c r="D7" s="3" t="str">
        <f>IFERROR(__xludf.DUMMYFUNCTION("REGEXREPLACE(REGEXEXTRACT(F7, ""в\)\s*(.*?)\s*г\)""), ""^\s*"", """")"),"Железом")</f>
        <v>Железом</v>
      </c>
      <c r="E7" s="3" t="str">
        <f>IFERROR(__xludf.DUMMYFUNCTION("REGEXREPLACE(REGEXEXTRACT(F7, ""г\)\s*(.*)""), ""^\s*"", """")"),"Кожей")</f>
        <v>Кожей</v>
      </c>
      <c r="F7" s="4" t="s">
        <v>11</v>
      </c>
      <c r="V7" s="3"/>
      <c r="W7" s="5"/>
    </row>
    <row r="8" ht="14.25" customHeight="1">
      <c r="A8" s="3" t="str">
        <f>IFERROR(__xludf.DUMMYFUNCTION("REGEXEXTRACT(F8, ""s*(.*?)\s*а\)"")"),"Какой моб атакует спрутов?")</f>
        <v>Какой моб атакует спрутов?</v>
      </c>
      <c r="B8" s="3" t="str">
        <f>IFERROR(__xludf.DUMMYFUNCTION("REGEXREPLACE(REGEXEXTRACT(F8, ""а\)\s*(.*?)\s*б\)""), ""^\s*"", """")"),"Страж")</f>
        <v>Страж</v>
      </c>
      <c r="C8" s="3" t="str">
        <f>IFERROR(__xludf.DUMMYFUNCTION("REGEXREPLACE(REGEXEXTRACT(F8, ""б\)\s*(.*?)\s*в\)""), ""^\s*"", """")"),"Утопленник")</f>
        <v>Утопленник</v>
      </c>
      <c r="D8" s="3" t="str">
        <f>IFERROR(__xludf.DUMMYFUNCTION("REGEXREPLACE(REGEXEXTRACT(F8, ""в\)\s*(.*?)\s*г\)""), ""^\s*"", """")"),"Дельфин")</f>
        <v>Дельфин</v>
      </c>
      <c r="E8" s="3" t="str">
        <f>IFERROR(__xludf.DUMMYFUNCTION("REGEXREPLACE(REGEXEXTRACT(F8, ""г\)\s*(.*)""), ""^\s*"", """")"),"Лосось")</f>
        <v>Лосось</v>
      </c>
      <c r="F8" s="4" t="s">
        <v>12</v>
      </c>
      <c r="V8" s="3"/>
      <c r="W8" s="5"/>
    </row>
    <row r="9" ht="14.25" customHeight="1">
      <c r="A9" s="3" t="str">
        <f>IFERROR(__xludf.DUMMYFUNCTION("REGEXEXTRACT(F9, ""s*(.*?)\s*а\)"")"),"Что используется для создания портала в Нижний мир?")</f>
        <v>Что используется для создания портала в Нижний мир?</v>
      </c>
      <c r="B9" s="3" t="str">
        <f>IFERROR(__xludf.DUMMYFUNCTION("REGEXREPLACE(REGEXEXTRACT(F9, ""а\)\s*(.*?)\s*б\)""), ""^\s*"", """")"),"Обсидиан")</f>
        <v>Обсидиан</v>
      </c>
      <c r="C9" s="3" t="str">
        <f>IFERROR(__xludf.DUMMYFUNCTION("REGEXREPLACE(REGEXEXTRACT(F9, ""б\)\s*(.*?)\s*в\)""), ""^\s*"", """")"),"Камень Края")</f>
        <v>Камень Края</v>
      </c>
      <c r="D9" s="3" t="str">
        <f>IFERROR(__xludf.DUMMYFUNCTION("REGEXREPLACE(REGEXEXTRACT(F9, ""в\)\s*(.*?)\s*г\)""), ""^\s*"", """")"),"Бедрок")</f>
        <v>Бедрок</v>
      </c>
      <c r="E9" s="3" t="str">
        <f>IFERROR(__xludf.DUMMYFUNCTION("REGEXREPLACE(REGEXEXTRACT(F9, ""г\)\s*(.*)""), ""^\s*"", """")"),"Алмазные блоки")</f>
        <v>Алмазные блоки</v>
      </c>
      <c r="F9" s="4" t="s">
        <v>13</v>
      </c>
      <c r="V9" s="3"/>
      <c r="W9" s="5"/>
    </row>
    <row r="10" ht="14.25" customHeight="1">
      <c r="A10" s="3" t="str">
        <f>IFERROR(__xludf.DUMMYFUNCTION("REGEXEXTRACT(F10, ""s*(.*?)\s*а\)"")"),"Выбери структуру, которая генерируется только в Нижнем мире:")</f>
        <v>Выбери структуру, которая генерируется только в Нижнем мире:</v>
      </c>
      <c r="B10" s="3" t="str">
        <f>IFERROR(__xludf.DUMMYFUNCTION("REGEXREPLACE(REGEXEXTRACT(F10, ""а\)\s*(.*?)\s*б\)""), ""^\s*"", """")"),"Адская крепость")</f>
        <v>Адская крепость</v>
      </c>
      <c r="C10" s="3" t="str">
        <f>IFERROR(__xludf.DUMMYFUNCTION("REGEXREPLACE(REGEXEXTRACT(F10, ""б\)\s*(.*?)\s*в\)""), ""^\s*"", """")"),"Лесной особняк")</f>
        <v>Лесной особняк</v>
      </c>
      <c r="D10" s="3" t="str">
        <f>IFERROR(__xludf.DUMMYFUNCTION("REGEXREPLACE(REGEXEXTRACT(F10, ""в\)\s*(.*?)\s*г\)""), ""^\s*"", """")"),"Деревня")</f>
        <v>Деревня</v>
      </c>
      <c r="E10" s="3" t="str">
        <f>IFERROR(__xludf.DUMMYFUNCTION("REGEXREPLACE(REGEXEXTRACT(F10, ""г\)\s*(.*)""), ""^\s*"", """")"),"Пирамида")</f>
        <v>Пирамида</v>
      </c>
      <c r="F10" s="4" t="s">
        <v>14</v>
      </c>
      <c r="V10" s="3"/>
      <c r="W10" s="5"/>
    </row>
    <row r="11" ht="14.25" customHeight="1">
      <c r="A11" s="3" t="str">
        <f>IFERROR(__xludf.DUMMYFUNCTION("REGEXEXTRACT(F11, ""s*(.*?)\s*а\)"")"),"Как называется зачарование, которое заставляет трезубец возвращаться к игроку?")</f>
        <v>Как называется зачарование, которое заставляет трезубец возвращаться к игроку?</v>
      </c>
      <c r="B11" s="3" t="str">
        <f>IFERROR(__xludf.DUMMYFUNCTION("REGEXREPLACE(REGEXEXTRACT(F11, ""а\)\s*(.*?)\s*б\)""), ""^\s*"", """")"),"Верность")</f>
        <v>Верность</v>
      </c>
      <c r="C11" s="3" t="str">
        <f>IFERROR(__xludf.DUMMYFUNCTION("REGEXREPLACE(REGEXEXTRACT(F11, ""б\)\s*(.*?)\s*в\)""), ""^\s*"", """")"),"Тягун")</f>
        <v>Тягун</v>
      </c>
      <c r="D11" s="3" t="str">
        <f>IFERROR(__xludf.DUMMYFUNCTION("REGEXREPLACE(REGEXEXTRACT(F11, ""в\)\s*(.*?)\s*г\)""), ""^\s*"", """")"),"Пронзатель")</f>
        <v>Пронзатель</v>
      </c>
      <c r="E11" s="3" t="str">
        <f>IFERROR(__xludf.DUMMYFUNCTION("REGEXREPLACE(REGEXEXTRACT(F11, ""г\)\s*(.*)""), ""^\s*"", """")"),"Громовержец")</f>
        <v>Громовержец</v>
      </c>
      <c r="F11" s="4" t="s">
        <v>15</v>
      </c>
      <c r="V11" s="3"/>
      <c r="W11" s="5"/>
    </row>
    <row r="12" ht="14.25" customHeight="1">
      <c r="A12" s="3" t="str">
        <f>IFERROR(__xludf.DUMMYFUNCTION("REGEXEXTRACT(F12, ""s*(.*?)\s*а\)"")"),"Как называется зачарование, которое увеличивает количество выпадающих из мобов предметов?")</f>
        <v>Как называется зачарование, которое увеличивает количество выпадающих из мобов предметов?</v>
      </c>
      <c r="B12" s="3" t="str">
        <f>IFERROR(__xludf.DUMMYFUNCTION("REGEXREPLACE(REGEXEXTRACT(F12, ""а\)\s*(.*?)\s*б\)""), ""^\s*"", """")"),"Добыча")</f>
        <v>Добыча</v>
      </c>
      <c r="C12" s="3" t="str">
        <f>IFERROR(__xludf.DUMMYFUNCTION("REGEXREPLACE(REGEXEXTRACT(F12, ""б\)\s*(.*?)\s*в\)""), ""^\s*"", """")"),"Удача")</f>
        <v>Удача</v>
      </c>
      <c r="D12" s="3" t="str">
        <f>IFERROR(__xludf.DUMMYFUNCTION("REGEXREPLACE(REGEXEXTRACT(F12, ""в\)\s*(.*?)\s*г\)""), ""^\s*"", """")"),"Эффективность")</f>
        <v>Эффективность</v>
      </c>
      <c r="E12" s="3" t="str">
        <f>IFERROR(__xludf.DUMMYFUNCTION("REGEXREPLACE(REGEXEXTRACT(F12, ""г\)\s*(.*)""), ""^\s*"", """")"),"Прочность")</f>
        <v>Прочность</v>
      </c>
      <c r="F12" s="4" t="s">
        <v>16</v>
      </c>
      <c r="V12" s="3"/>
      <c r="W12" s="5"/>
    </row>
    <row r="13" ht="14.25" customHeight="1">
      <c r="A13" s="3" t="str">
        <f>IFERROR(__xludf.DUMMYFUNCTION("REGEXEXTRACT(F13, ""s*(.*?)\s*а\)"")"),"Какой моб атакует жителей?")</f>
        <v>Какой моб атакует жителей?</v>
      </c>
      <c r="B13" s="3" t="str">
        <f>IFERROR(__xludf.DUMMYFUNCTION("REGEXREPLACE(REGEXEXTRACT(F13, ""а\)\s*(.*?)\s*б\)""), ""^\s*"", """")"),"Зомби")</f>
        <v>Зомби</v>
      </c>
      <c r="C13" s="3" t="str">
        <f>IFERROR(__xludf.DUMMYFUNCTION("REGEXREPLACE(REGEXEXTRACT(F13, ""б\)\s*(.*?)\s*в\)""), ""^\s*"", """")"),"Пиглин")</f>
        <v>Пиглин</v>
      </c>
      <c r="D13" s="3" t="str">
        <f>IFERROR(__xludf.DUMMYFUNCTION("REGEXREPLACE(REGEXEXTRACT(F13, ""в\)\s*(.*?)\s*г\)""), ""^\s*"", """")"),"Скелет")</f>
        <v>Скелет</v>
      </c>
      <c r="E13" s="3" t="str">
        <f>IFERROR(__xludf.DUMMYFUNCTION("REGEXREPLACE(REGEXEXTRACT(F13, ""г\)\s*(.*)""), ""^\s*"", """")"),"Крипер")</f>
        <v>Крипер</v>
      </c>
      <c r="F13" s="4" t="s">
        <v>17</v>
      </c>
      <c r="V13" s="3"/>
      <c r="W13" s="5"/>
    </row>
    <row r="14" ht="14.25" customHeight="1">
      <c r="A14" s="3" t="str">
        <f>IFERROR(__xludf.DUMMYFUNCTION("REGEXEXTRACT(F14, ""s*(.*?)\s*а\)"")"),"Что можно получить, убив корову огнем?")</f>
        <v>Что можно получить, убив корову огнем?</v>
      </c>
      <c r="B14" s="3" t="str">
        <f>IFERROR(__xludf.DUMMYFUNCTION("REGEXREPLACE(REGEXEXTRACT(F14, ""а\)\s*(.*?)\s*б\)""), ""^\s*"", """")"),"Жареную говядину")</f>
        <v>Жареную говядину</v>
      </c>
      <c r="C14" s="3" t="str">
        <f>IFERROR(__xludf.DUMMYFUNCTION("REGEXREPLACE(REGEXEXTRACT(F14, ""б\)\s*(.*?)\s*в\)""), ""^\s*"", """")"),"Сырую говядину")</f>
        <v>Сырую говядину</v>
      </c>
      <c r="D14" s="3" t="str">
        <f>IFERROR(__xludf.DUMMYFUNCTION("REGEXREPLACE(REGEXEXTRACT(F14, ""в\)\s*(.*?)\s*г\)""), ""^\s*"", """")"),"Кожу")</f>
        <v>Кожу</v>
      </c>
      <c r="E14" s="3" t="str">
        <f>IFERROR(__xludf.DUMMYFUNCTION("REGEXREPLACE(REGEXEXTRACT(F14, ""г\)\s*(.*)""), ""^\s*"", """")"),"Ничего")</f>
        <v>Ничего</v>
      </c>
      <c r="F14" s="4" t="s">
        <v>18</v>
      </c>
      <c r="V14" s="3"/>
      <c r="W14" s="5"/>
    </row>
    <row r="15" ht="14.25" customHeight="1">
      <c r="A15" s="3" t="str">
        <f>IFERROR(__xludf.DUMMYFUNCTION("REGEXEXTRACT(F15, ""s*(.*?)\s*а\)"")"),"Какой предмет указывает на место спавна игрока?")</f>
        <v>Какой предмет указывает на место спавна игрока?</v>
      </c>
      <c r="B15" s="3" t="str">
        <f>IFERROR(__xludf.DUMMYFUNCTION("REGEXREPLACE(REGEXEXTRACT(F15, ""а\)\s*(.*?)\s*б\)""), ""^\s*"", """")"),"Компас (в обычном мире)")</f>
        <v>Компас (в обычном мире)</v>
      </c>
      <c r="C15" s="3" t="str">
        <f>IFERROR(__xludf.DUMMYFUNCTION("REGEXREPLACE(REGEXEXTRACT(F15, ""б\)\s*(.*?)\s*в\)""), ""^\s*"", """")"),"Карта")</f>
        <v>Карта</v>
      </c>
      <c r="D15" s="3" t="str">
        <f>IFERROR(__xludf.DUMMYFUNCTION("REGEXREPLACE(REGEXEXTRACT(F15, ""в\)\s*(.*?)\s*г\)""), ""^\s*"", """")"),"Часы")</f>
        <v>Часы</v>
      </c>
      <c r="E15" s="3" t="str">
        <f>IFERROR(__xludf.DUMMYFUNCTION("REGEXREPLACE(REGEXEXTRACT(F15, ""г\)\s*(.*)""), ""^\s*"", """")"),"Магнетит")</f>
        <v>Магнетит</v>
      </c>
      <c r="F15" s="4" t="s">
        <v>19</v>
      </c>
      <c r="V15" s="3"/>
      <c r="W15" s="5"/>
    </row>
    <row r="16" ht="14.25" customHeight="1">
      <c r="A16" s="3" t="str">
        <f>IFERROR(__xludf.DUMMYFUNCTION("REGEXEXTRACT(F16, ""s*(.*?)\s*а\)"")"),"Что выпадает из гаста?")</f>
        <v>Что выпадает из гаста?</v>
      </c>
      <c r="B16" s="3" t="str">
        <f>IFERROR(__xludf.DUMMYFUNCTION("REGEXREPLACE(REGEXEXTRACT(F16, ""а\)\s*(.*?)\s*б\)""), ""^\s*"", """")"),"Порох и слеза гаста")</f>
        <v>Порох и слеза гаста</v>
      </c>
      <c r="C16" s="3" t="str">
        <f>IFERROR(__xludf.DUMMYFUNCTION("REGEXREPLACE(REGEXEXTRACT(F16, ""б\)\s*(.*?)\s*в\)""), ""^\s*"", """")"),"Только порох")</f>
        <v>Только порох</v>
      </c>
      <c r="D16" s="3" t="str">
        <f>IFERROR(__xludf.DUMMYFUNCTION("REGEXREPLACE(REGEXEXTRACT(F16, ""в\)\s*(.*?)\s*г\)""), ""^\s*"", """")"),"Только слеза гаста")</f>
        <v>Только слеза гаста</v>
      </c>
      <c r="E16" s="3" t="str">
        <f>IFERROR(__xludf.DUMMYFUNCTION("REGEXREPLACE(REGEXEXTRACT(F16, ""г\)\s*(.*)""), ""^\s*"", """")"),"Огненный стержень")</f>
        <v>Огненный стержень</v>
      </c>
      <c r="F16" s="4" t="s">
        <v>20</v>
      </c>
      <c r="V16" s="3"/>
      <c r="W16" s="5"/>
    </row>
    <row r="17" ht="14.25" customHeight="1">
      <c r="A17" s="3" t="str">
        <f>IFERROR(__xludf.DUMMYFUNCTION("REGEXEXTRACT(F17, ""s*(.*?)\s*а\)"")"),"В каком биоме можно найти деревья акации?")</f>
        <v>В каком биоме можно найти деревья акации?</v>
      </c>
      <c r="B17" s="3" t="str">
        <f>IFERROR(__xludf.DUMMYFUNCTION("REGEXREPLACE(REGEXEXTRACT(F17, ""а\)\s*(.*?)\s*б\)""), ""^\s*"", """")"),"В саванне")</f>
        <v>В саванне</v>
      </c>
      <c r="C17" s="3" t="str">
        <f>IFERROR(__xludf.DUMMYFUNCTION("REGEXREPLACE(REGEXEXTRACT(F17, ""б\)\s*(.*?)\s*в\)""), ""^\s*"", """")"),"В джунглях")</f>
        <v>В джунглях</v>
      </c>
      <c r="D17" s="3" t="str">
        <f>IFERROR(__xludf.DUMMYFUNCTION("REGEXREPLACE(REGEXEXTRACT(F17, ""в\)\s*(.*?)\s*г\)""), ""^\s*"", """")"),"В тайге")</f>
        <v>В тайге</v>
      </c>
      <c r="E17" s="3" t="str">
        <f>IFERROR(__xludf.DUMMYFUNCTION("REGEXREPLACE(REGEXEXTRACT(F17, ""г\)\s*(.*)""), ""^\s*"", """")"),"В темном лесу")</f>
        <v>В темном лесу</v>
      </c>
      <c r="F17" s="4" t="s">
        <v>21</v>
      </c>
      <c r="V17" s="3"/>
      <c r="W17" s="5"/>
    </row>
    <row r="18" ht="14.25" customHeight="1">
      <c r="A18" s="3" t="str">
        <f>IFERROR(__xludf.DUMMYFUNCTION("REGEXEXTRACT(F18, ""s*(.*?)\s*а\)"")"),"Что произойдет, если налить воду на источник лавы?")</f>
        <v>Что произойдет, если налить воду на источник лавы?</v>
      </c>
      <c r="B18" s="3" t="str">
        <f>IFERROR(__xludf.DUMMYFUNCTION("REGEXREPLACE(REGEXEXTRACT(F18, ""а\)\s*(.*?)\s*б\)""), ""^\s*"", """")"),"Образуется обсидиан")</f>
        <v>Образуется обсидиан</v>
      </c>
      <c r="C18" s="3" t="str">
        <f>IFERROR(__xludf.DUMMYFUNCTION("REGEXREPLACE(REGEXEXTRACT(F18, ""б\)\s*(.*?)\s*в\)""), ""^\s*"", """")"),"Образуется камень")</f>
        <v>Образуется камень</v>
      </c>
      <c r="D18" s="3" t="str">
        <f>IFERROR(__xludf.DUMMYFUNCTION("REGEXREPLACE(REGEXEXTRACT(F18, ""в\)\s*(.*?)\s*г\)""), ""^\s*"", """")"),"Ничего не произойдет")</f>
        <v>Ничего не произойдет</v>
      </c>
      <c r="E18" s="3" t="str">
        <f>IFERROR(__xludf.DUMMYFUNCTION("REGEXREPLACE(REGEXEXTRACT(F18, ""г\)\s*(.*)""), ""^\s*"", """")"),"Вода испарится")</f>
        <v>Вода испарится</v>
      </c>
      <c r="F18" s="4" t="s">
        <v>22</v>
      </c>
      <c r="V18" s="3"/>
      <c r="W18" s="5"/>
    </row>
    <row r="19" ht="14.25" customHeight="1">
      <c r="A19" s="3" t="str">
        <f>IFERROR(__xludf.DUMMYFUNCTION("REGEXEXTRACT(F19, ""s*(.*?)\s*а\)"")"),"Что выпадает из козла?")</f>
        <v>Что выпадает из козла?</v>
      </c>
      <c r="B19" s="3" t="str">
        <f>IFERROR(__xludf.DUMMYFUNCTION("REGEXREPLACE(REGEXEXTRACT(F19, ""а\)\s*(.*?)\s*б\)""), ""^\s*"", """")"),"Козий рог (если он ударится о твердый блок)")</f>
        <v>Козий рог (если он ударится о твердый блок)</v>
      </c>
      <c r="C19" s="3" t="str">
        <f>IFERROR(__xludf.DUMMYFUNCTION("REGEXREPLACE(REGEXEXTRACT(F19, ""б\)\s*(.*?)\s*в\)""), ""^\s*"", """")"),"Мясо")</f>
        <v>Мясо</v>
      </c>
      <c r="D19" s="3" t="str">
        <f>IFERROR(__xludf.DUMMYFUNCTION("REGEXREPLACE(REGEXEXTRACT(F19, ""в\)\s*(.*?)\s*г\)""), ""^\s*"", """")"),"Шерсть")</f>
        <v>Шерсть</v>
      </c>
      <c r="E19" s="3" t="str">
        <f>IFERROR(__xludf.DUMMYFUNCTION("REGEXREPLACE(REGEXEXTRACT(F19, ""г\)\s*(.*)""), ""^\s*"", """")"),"Ничего")</f>
        <v>Ничего</v>
      </c>
      <c r="F19" s="4" t="s">
        <v>23</v>
      </c>
      <c r="V19" s="3"/>
      <c r="W19" s="5"/>
    </row>
    <row r="20" ht="14.25" customHeight="1">
      <c r="A20" s="3" t="str">
        <f>IFERROR(__xludf.DUMMYFUNCTION("REGEXEXTRACT(F20, ""s*(.*?)\s*а\)"")"),"Какой блок первым делом добывает игрок в новом мире?")</f>
        <v>Какой блок первым делом добывает игрок в новом мире?</v>
      </c>
      <c r="B20" s="3" t="str">
        <f>IFERROR(__xludf.DUMMYFUNCTION("REGEXREPLACE(REGEXEXTRACT(F20, ""а\)\s*(.*?)\s*б\)""), ""^\s*"", """")"),"Дерево")</f>
        <v>Дерево</v>
      </c>
      <c r="C20" s="3" t="str">
        <f>IFERROR(__xludf.DUMMYFUNCTION("REGEXREPLACE(REGEXEXTRACT(F20, ""б\)\s*(.*?)\s*в\)""), ""^\s*"", """")"),"Железо")</f>
        <v>Железо</v>
      </c>
      <c r="D20" s="3" t="str">
        <f>IFERROR(__xludf.DUMMYFUNCTION("REGEXREPLACE(REGEXEXTRACT(F20, ""в\)\s*(.*?)\s*г\)""), ""^\s*"", """")"),"Алмаз")</f>
        <v>Алмаз</v>
      </c>
      <c r="E20" s="3" t="str">
        <f>IFERROR(__xludf.DUMMYFUNCTION("REGEXREPLACE(REGEXEXTRACT(F20, ""г\)\s*(.*)""), ""^\s*"", """")"),"Камень")</f>
        <v>Камень</v>
      </c>
      <c r="F20" s="4" t="s">
        <v>24</v>
      </c>
      <c r="V20" s="3"/>
      <c r="W20" s="5"/>
    </row>
    <row r="21" ht="14.25" customHeight="1">
      <c r="A21" s="3" t="str">
        <f>IFERROR(__xludf.DUMMYFUNCTION("REGEXEXTRACT(F21, ""s*(.*?)\s*а\)"")"),"Из чего делается верстак?")</f>
        <v>Из чего делается верстак?</v>
      </c>
      <c r="B21" s="3" t="str">
        <f>IFERROR(__xludf.DUMMYFUNCTION("REGEXREPLACE(REGEXEXTRACT(F21, ""а\)\s*(.*?)\s*б\)""), ""^\s*"", """")"),"Из четырех досок")</f>
        <v>Из четырех досок</v>
      </c>
      <c r="C21" s="3" t="str">
        <f>IFERROR(__xludf.DUMMYFUNCTION("REGEXREPLACE(REGEXEXTRACT(F21, ""б\)\s*(.*?)\s*в\)""), ""^\s*"", """")"),"Из четырех блоков камня")</f>
        <v>Из четырех блоков камня</v>
      </c>
      <c r="D21" s="3" t="str">
        <f>IFERROR(__xludf.DUMMYFUNCTION("REGEXREPLACE(REGEXEXTRACT(F21, ""в\)\s*(.*?)\s*г\)""), ""^\s*"", """")"),"Из двух палок и двух досок")</f>
        <v>Из двух палок и двух досок</v>
      </c>
      <c r="E21" s="3" t="str">
        <f>IFERROR(__xludf.DUMMYFUNCTION("REGEXREPLACE(REGEXEXTRACT(F21, ""г\)\s*(.*)""), ""^\s*"", """")"),"Из четырех слитков железа")</f>
        <v>Из четырех слитков железа</v>
      </c>
      <c r="F21" s="4" t="s">
        <v>25</v>
      </c>
      <c r="V21" s="3"/>
      <c r="W21" s="5"/>
    </row>
    <row r="22" ht="14.25" customHeight="1">
      <c r="A22" s="3" t="str">
        <f>IFERROR(__xludf.DUMMYFUNCTION("REGEXEXTRACT(F22, ""s*(.*?)\s*а\)"")"),"Какой блок может копировать баннеры?")</f>
        <v>Какой блок может копировать баннеры?</v>
      </c>
      <c r="B22" s="3" t="str">
        <f>IFERROR(__xludf.DUMMYFUNCTION("REGEXREPLACE(REGEXEXTRACT(F22, ""а\)\s*(.*?)\s*б\)""), ""^\s*"", """")"),"Верстак")</f>
        <v>Верстак</v>
      </c>
      <c r="C22" s="3" t="str">
        <f>IFERROR(__xludf.DUMMYFUNCTION("REGEXREPLACE(REGEXEXTRACT(F22, ""б\)\s*(.*?)\s*в\)""), ""^\s*"", """")"),"Ткацкий станок")</f>
        <v>Ткацкий станок</v>
      </c>
      <c r="D22" s="3" t="str">
        <f>IFERROR(__xludf.DUMMYFUNCTION("REGEXREPLACE(REGEXEXTRACT(F22, ""в\)\s*(.*?)\s*г\)""), ""^\s*"", """")"),"Наковальня")</f>
        <v>Наковальня</v>
      </c>
      <c r="E22" s="3" t="str">
        <f>IFERROR(__xludf.DUMMYFUNCTION("REGEXREPLACE(REGEXEXTRACT(F22, ""г\)\s*(.*)""), ""^\s*"", """")"),"Картографический стол")</f>
        <v>Картографический стол</v>
      </c>
      <c r="F22" s="4" t="s">
        <v>26</v>
      </c>
      <c r="V22" s="3"/>
      <c r="W22" s="5"/>
    </row>
    <row r="23" ht="14.25" customHeight="1">
      <c r="A23" s="3" t="str">
        <f>IFERROR(__xludf.DUMMYFUNCTION("REGEXEXTRACT(F23, ""s*(.*?)\s*а\)"")"),"Что нужно для создания коптильни?")</f>
        <v>Что нужно для создания коптильни?</v>
      </c>
      <c r="B23" s="3" t="str">
        <f>IFERROR(__xludf.DUMMYFUNCTION("REGEXREPLACE(REGEXEXTRACT(F23, ""а\)\s*(.*?)\s*б\)""), ""^\s*"", """")"),"Печь и 4 бревна")</f>
        <v>Печь и 4 бревна</v>
      </c>
      <c r="C23" s="3" t="str">
        <f>IFERROR(__xludf.DUMMYFUNCTION("REGEXREPLACE(REGEXEXTRACT(F23, ""б\)\s*(.*?)\s*в\)""), ""^\s*"", """")"),"Печь и 4 доски")</f>
        <v>Печь и 4 доски</v>
      </c>
      <c r="D23" s="3" t="str">
        <f>IFERROR(__xludf.DUMMYFUNCTION("REGEXREPLACE(REGEXEXTRACT(F23, ""в\)\s*(.*?)\s*г\)""), ""^\s*"", """")"),"Верстак и 4 бревна")</f>
        <v>Верстак и 4 бревна</v>
      </c>
      <c r="E23" s="3" t="str">
        <f>IFERROR(__xludf.DUMMYFUNCTION("REGEXREPLACE(REGEXEXTRACT(F23, ""г\)\s*(.*)""), ""^\s*"", """")"),"Печь и 4 камня")</f>
        <v>Печь и 4 камня</v>
      </c>
      <c r="F23" s="4" t="s">
        <v>27</v>
      </c>
      <c r="V23" s="3"/>
      <c r="W23" s="5"/>
    </row>
    <row r="24" ht="14.25" customHeight="1">
      <c r="A24" s="3" t="str">
        <f>IFERROR(__xludf.DUMMYFUNCTION("REGEXEXTRACT(F24, ""s*(.*?)\s*а\)"")"),"Что делает наблюдатель?")</f>
        <v>Что делает наблюдатель?</v>
      </c>
      <c r="B24" s="3" t="str">
        <f>IFERROR(__xludf.DUMMYFUNCTION("REGEXREPLACE(REGEXEXTRACT(F24, ""а\)\s*(.*?)\s*б\)""), ""^\s*"", """")"),"Подает редстоун-сигнал при обновлении блока перед ним")</f>
        <v>Подает редстоун-сигнал при обновлении блока перед ним</v>
      </c>
      <c r="C24" s="3" t="str">
        <f>IFERROR(__xludf.DUMMYFUNCTION("REGEXREPLACE(REGEXEXTRACT(F24, ""б\)\s*(.*?)\s*в\)""), ""^\s*"", """")"),"Издает звуковой сигнал при приближении моба")</f>
        <v>Издает звуковой сигнал при приближении моба</v>
      </c>
      <c r="D24" s="3" t="str">
        <f>IFERROR(__xludf.DUMMYFUNCTION("REGEXREPLACE(REGEXEXTRACT(F24, ""в\)\s*(.*?)\s*г\)""), ""^\s*"", """")"),"Показывает время суток")</f>
        <v>Показывает время суток</v>
      </c>
      <c r="E24" s="3" t="str">
        <f>IFERROR(__xludf.DUMMYFUNCTION("REGEXREPLACE(REGEXEXTRACT(F24, ""г\)\s*(.*)""), ""^\s*"", """")"),"Хранит предметы")</f>
        <v>Хранит предметы</v>
      </c>
      <c r="F24" s="4" t="s">
        <v>28</v>
      </c>
      <c r="V24" s="3"/>
      <c r="W24" s="5"/>
    </row>
    <row r="25" ht="14.25" customHeight="1">
      <c r="A25" s="3" t="str">
        <f>IFERROR(__xludf.DUMMYFUNCTION("REGEXEXTRACT(F25, ""s*(.*?)\s*а\)"")"),"Что выпадает из древнего стража?")</f>
        <v>Что выпадает из древнего стража?</v>
      </c>
      <c r="B25" s="3" t="str">
        <f>IFERROR(__xludf.DUMMYFUNCTION("REGEXREPLACE(REGEXEXTRACT(F25, ""а\)\s*(.*?)\s*б\)""), ""^\s*"", """")"),"Всё перечисленное")</f>
        <v>Всё перечисленное</v>
      </c>
      <c r="C25" s="3" t="str">
        <f>IFERROR(__xludf.DUMMYFUNCTION("REGEXREPLACE(REGEXEXTRACT(F25, ""б\)\s*(.*?)\s*в\)""), ""^\s*"", """")"),"Призмарин")</f>
        <v>Призмарин</v>
      </c>
      <c r="D25" s="3" t="str">
        <f>IFERROR(__xludf.DUMMYFUNCTION("REGEXREPLACE(REGEXEXTRACT(F25, ""в\)\s*(.*?)\s*г\)""), ""^\s*"", """")"),"Рыба")</f>
        <v>Рыба</v>
      </c>
      <c r="E25" s="3" t="str">
        <f>IFERROR(__xludf.DUMMYFUNCTION("REGEXREPLACE(REGEXEXTRACT(F25, ""г\)\s*(.*)""), ""^\s*"", """")"),"Губка")</f>
        <v>Губка</v>
      </c>
      <c r="F25" s="4" t="s">
        <v>29</v>
      </c>
      <c r="V25" s="3"/>
      <c r="W25" s="5"/>
    </row>
    <row r="26" ht="14.25" customHeight="1">
      <c r="A26" s="3" t="str">
        <f>IFERROR(__xludf.DUMMYFUNCTION("REGEXEXTRACT(F26, ""s*(.*?)\s*а\)"")"),"Что можно получить при стрижке грибной коровы?")</f>
        <v>Что можно получить при стрижке грибной коровы?</v>
      </c>
      <c r="B26" s="3" t="str">
        <f>IFERROR(__xludf.DUMMYFUNCTION("REGEXREPLACE(REGEXEXTRACT(F26, ""а\)\s*(.*?)\s*б\)""), ""^\s*"", """")"),"Красные грибы")</f>
        <v>Красные грибы</v>
      </c>
      <c r="C26" s="3" t="str">
        <f>IFERROR(__xludf.DUMMYFUNCTION("REGEXREPLACE(REGEXEXTRACT(F26, ""б\)\s*(.*?)\s*в\)""), ""^\s*"", """")"),"Шерсть")</f>
        <v>Шерсть</v>
      </c>
      <c r="D26" s="3" t="str">
        <f>IFERROR(__xludf.DUMMYFUNCTION("REGEXREPLACE(REGEXEXTRACT(F26, ""в\)\s*(.*?)\s*г\)""), ""^\s*"", """")"),"Кожу")</f>
        <v>Кожу</v>
      </c>
      <c r="E26" s="3" t="str">
        <f>IFERROR(__xludf.DUMMYFUNCTION("REGEXREPLACE(REGEXEXTRACT(F26, ""г\)\s*(.*)""), ""^\s*"", """")"),"Ничего")</f>
        <v>Ничего</v>
      </c>
      <c r="F26" s="4" t="s">
        <v>30</v>
      </c>
      <c r="V26" s="3"/>
      <c r="W26" s="5"/>
    </row>
    <row r="27" ht="14.25" customHeight="1">
      <c r="A27" s="3" t="str">
        <f>IFERROR(__xludf.DUMMYFUNCTION("REGEXEXTRACT(F27, ""s*(.*?)\s*а\)"")"),"Что используется для создания удочки?")</f>
        <v>Что используется для создания удочки?</v>
      </c>
      <c r="B27" s="3" t="str">
        <f>IFERROR(__xludf.DUMMYFUNCTION("REGEXREPLACE(REGEXEXTRACT(F27, ""а\)\s*(.*?)\s*б\)""), ""^\s*"", """")"),"3 палки и 2 нити")</f>
        <v>3 палки и 2 нити</v>
      </c>
      <c r="C27" s="3" t="str">
        <f>IFERROR(__xludf.DUMMYFUNCTION("REGEXREPLACE(REGEXEXTRACT(F27, ""б\)\s*(.*?)\s*в\)""), ""^\s*"", """")"),"2 палки и 3 нити")</f>
        <v>2 палки и 3 нити</v>
      </c>
      <c r="D27" s="3" t="str">
        <f>IFERROR(__xludf.DUMMYFUNCTION("REGEXREPLACE(REGEXEXTRACT(F27, ""в\)\s*(.*?)\s*г\)""), ""^\s*"", """")"),"3 палки и 3 нити")</f>
        <v>3 палки и 3 нити</v>
      </c>
      <c r="E27" s="3" t="str">
        <f>IFERROR(__xludf.DUMMYFUNCTION("REGEXREPLACE(REGEXEXTRACT(F27, ""г\)\s*(.*)""), ""^\s*"", """")"),"2 палки и 2 нити")</f>
        <v>2 палки и 2 нити</v>
      </c>
      <c r="F27" s="4" t="s">
        <v>31</v>
      </c>
      <c r="V27" s="3"/>
      <c r="W27" s="5"/>
    </row>
    <row r="28" ht="14.25" customHeight="1">
      <c r="A28" s="3" t="str">
        <f>IFERROR(__xludf.DUMMYFUNCTION("REGEXEXTRACT(F28, ""s*(.*?)\s*а\)"")"),"Какой моб является самым маленьким в игре?")</f>
        <v>Какой моб является самым маленьким в игре?</v>
      </c>
      <c r="B28" s="3" t="str">
        <f>IFERROR(__xludf.DUMMYFUNCTION("REGEXREPLACE(REGEXEXTRACT(F28, ""а\)\s*(.*?)\s*б\)""), ""^\s*"", """")"),"Детёныш черепахи")</f>
        <v>Детёныш черепахи</v>
      </c>
      <c r="C28" s="3" t="str">
        <f>IFERROR(__xludf.DUMMYFUNCTION("REGEXREPLACE(REGEXEXTRACT(F28, ""б\)\s*(.*?)\s*в\)""), ""^\s*"", """")"),"Маленький слизень")</f>
        <v>Маленький слизень</v>
      </c>
      <c r="D28" s="3" t="str">
        <f>IFERROR(__xludf.DUMMYFUNCTION("REGEXREPLACE(REGEXEXTRACT(F28, ""в\)\s*(.*?)\s*г\)""), ""^\s*"", """")"),"Цыплёнок")</f>
        <v>Цыплёнок</v>
      </c>
      <c r="E28" s="3" t="str">
        <f>IFERROR(__xludf.DUMMYFUNCTION("REGEXREPLACE(REGEXEXTRACT(F28, ""г\)\s*(.*)""), ""^\s*"", """")"),"Чешуйница края")</f>
        <v>Чешуйница края</v>
      </c>
      <c r="F28" s="4" t="s">
        <v>32</v>
      </c>
      <c r="V28" s="3"/>
      <c r="W28" s="5"/>
    </row>
    <row r="29" ht="14.25" customHeight="1">
      <c r="A29" s="3" t="str">
        <f>IFERROR(__xludf.DUMMYFUNCTION("REGEXEXTRACT(F29, ""s*(.*?)\s*а\)"")"),"Что нужно бесконечного источника воды?")</f>
        <v>Что нужно бесконечного источника воды?</v>
      </c>
      <c r="B29" s="3" t="str">
        <f>IFERROR(__xludf.DUMMYFUNCTION("REGEXREPLACE(REGEXEXTRACT(F29, ""а\)\s*(.*?)\s*б\)""), ""^\s*"", """")"),"Квадрат 2х2, заполненный водой")</f>
        <v>Квадрат 2х2, заполненный водой</v>
      </c>
      <c r="C29" s="3" t="str">
        <f>IFERROR(__xludf.DUMMYFUNCTION("REGEXREPLACE(REGEXEXTRACT(F29, ""б\)\s*(.*?)\s*в\)""), ""^\s*"", """")"),"Один блок воды")</f>
        <v>Один блок воды</v>
      </c>
      <c r="D29" s="3" t="str">
        <f>IFERROR(__xludf.DUMMYFUNCTION("REGEXREPLACE(REGEXEXTRACT(F29, ""в\)\s*(.*?)\s*г\)""), ""^\s*"", """")"),"Котел с водой")</f>
        <v>Котел с водой</v>
      </c>
      <c r="E29" s="3" t="str">
        <f>IFERROR(__xludf.DUMMYFUNCTION("REGEXREPLACE(REGEXEXTRACT(F29, ""г\)\s*(.*)""), ""^\s*"", """")"),"Это невозможно")</f>
        <v>Это невозможно</v>
      </c>
      <c r="F29" s="4" t="s">
        <v>33</v>
      </c>
      <c r="V29" s="3"/>
      <c r="W29" s="5"/>
    </row>
    <row r="30" ht="14.25" customHeight="1">
      <c r="A30" s="3" t="str">
        <f>IFERROR(__xludf.DUMMYFUNCTION("REGEXEXTRACT(F30, ""s*(.*?)\s*а\)"")"),"Какой моб не получает урон от падения?")</f>
        <v>Какой моб не получает урон от падения?</v>
      </c>
      <c r="B30" s="3" t="str">
        <f>IFERROR(__xludf.DUMMYFUNCTION("REGEXREPLACE(REGEXEXTRACT(F30, ""а\)\s*(.*?)\s*б\)""), ""^\s*"", """")"),"Курица")</f>
        <v>Курица</v>
      </c>
      <c r="C30" s="3" t="str">
        <f>IFERROR(__xludf.DUMMYFUNCTION("REGEXREPLACE(REGEXEXTRACT(F30, ""б\)\s*(.*?)\s*в\)""), ""^\s*"", """")"),"Скелет")</f>
        <v>Скелет</v>
      </c>
      <c r="D30" s="3" t="str">
        <f>IFERROR(__xludf.DUMMYFUNCTION("REGEXREPLACE(REGEXEXTRACT(F30, ""в\)\s*(.*?)\s*г\)""), ""^\s*"", """")"),"Зомби")</f>
        <v>Зомби</v>
      </c>
      <c r="E30" s="3" t="str">
        <f>IFERROR(__xludf.DUMMYFUNCTION("REGEXREPLACE(REGEXEXTRACT(F30, ""г\)\s*(.*)""), ""^\s*"", """")"),"Свинья")</f>
        <v>Свинья</v>
      </c>
      <c r="F30" s="4" t="s">
        <v>34</v>
      </c>
      <c r="V30" s="3"/>
      <c r="W30" s="5"/>
    </row>
    <row r="31" ht="14.25" customHeight="1">
      <c r="A31" s="3" t="str">
        <f>IFERROR(__xludf.DUMMYFUNCTION("REGEXEXTRACT(F31, ""s*(.*?)\s*а\)"")"),"Что можно получить, если скрестить лошадь и осла?")</f>
        <v>Что можно получить, если скрестить лошадь и осла?</v>
      </c>
      <c r="B31" s="3" t="str">
        <f>IFERROR(__xludf.DUMMYFUNCTION("REGEXREPLACE(REGEXEXTRACT(F31, ""а\)\s*(.*?)\s*б\)""), ""^\s*"", """")"),"Мула")</f>
        <v>Мула</v>
      </c>
      <c r="C31" s="3" t="str">
        <f>IFERROR(__xludf.DUMMYFUNCTION("REGEXREPLACE(REGEXEXTRACT(F31, ""б\)\s*(.*?)\s*в\)""), ""^\s*"", """")"),"Жеребенка")</f>
        <v>Жеребенка</v>
      </c>
      <c r="D31" s="3" t="str">
        <f>IFERROR(__xludf.DUMMYFUNCTION("REGEXREPLACE(REGEXEXTRACT(F31, ""в\)\s*(.*?)\s*г\)""), ""^\s*"", """")"),"Другую лошадь")</f>
        <v>Другую лошадь</v>
      </c>
      <c r="E31" s="3" t="str">
        <f>IFERROR(__xludf.DUMMYFUNCTION("REGEXREPLACE(REGEXEXTRACT(F31, ""г\)\s*(.*)""), ""^\s*"", """")"),"Другого осла")</f>
        <v>Другого осла</v>
      </c>
      <c r="F31" s="4" t="s">
        <v>35</v>
      </c>
      <c r="V31" s="3"/>
      <c r="W31" s="5"/>
    </row>
    <row r="32" ht="14.25" customHeight="1">
      <c r="A32" s="3" t="str">
        <f>IFERROR(__xludf.DUMMYFUNCTION("REGEXEXTRACT(F32, ""s*(.*?)\s*а\)"")"),"Что нужно сделать, чтобы призвать рейд разбойников?")</f>
        <v>Что нужно сделать, чтобы призвать рейд разбойников?</v>
      </c>
      <c r="B32" s="3" t="str">
        <f>IFERROR(__xludf.DUMMYFUNCTION("REGEXREPLACE(REGEXEXTRACT(F32, ""а\)\s*(.*?)\s*б\)""), ""^\s*"", """")"),"Выпить зловещую бутылку в деревне")</f>
        <v>Выпить зловещую бутылку в деревне</v>
      </c>
      <c r="C32" s="3" t="str">
        <f>IFERROR(__xludf.DUMMYFUNCTION("REGEXREPLACE(REGEXEXTRACT(F32, ""б\)\s*(.*?)\s*в\)""), ""^\s*"", """")"),"Флаг разбойников")</f>
        <v>Флаг разбойников</v>
      </c>
      <c r="D32" s="3" t="str">
        <f>IFERROR(__xludf.DUMMYFUNCTION("REGEXREPLACE(REGEXEXTRACT(F32, ""в\)\s*(.*?)\s*г\)""), ""^\s*"", """")"),"Рог")</f>
        <v>Рог</v>
      </c>
      <c r="E32" s="3" t="str">
        <f>IFERROR(__xludf.DUMMYFUNCTION("REGEXREPLACE(REGEXEXTRACT(F32, ""г\)\s*(.*)""), ""^\s*"", """")"),"Убить капитана разбойников")</f>
        <v>Убить капитана разбойников</v>
      </c>
      <c r="F32" s="4" t="s">
        <v>36</v>
      </c>
      <c r="V32" s="3"/>
      <c r="W32" s="5"/>
    </row>
    <row r="33" ht="14.25" customHeight="1">
      <c r="A33" s="3" t="str">
        <f>IFERROR(__xludf.DUMMYFUNCTION("REGEXEXTRACT(F33, ""s*(.*?)\s*а\)"")"),"Какой блок используется для сушки мокрых губок?")</f>
        <v>Какой блок используется для сушки мокрых губок?</v>
      </c>
      <c r="B33" s="3" t="str">
        <f>IFERROR(__xludf.DUMMYFUNCTION("REGEXREPLACE(REGEXEXTRACT(F33, ""а\)\s*(.*?)\s*б\)""), ""^\s*"", """")"),"Печь")</f>
        <v>Печь</v>
      </c>
      <c r="C33" s="3" t="str">
        <f>IFERROR(__xludf.DUMMYFUNCTION("REGEXREPLACE(REGEXEXTRACT(F33, ""б\)\s*(.*?)\s*в\)""), ""^\s*"", """")"),"Наковальня")</f>
        <v>Наковальня</v>
      </c>
      <c r="D33" s="3" t="str">
        <f>IFERROR(__xludf.DUMMYFUNCTION("REGEXREPLACE(REGEXEXTRACT(F33, ""в\)\s*(.*?)\s*г\)""), ""^\s*"", """")"),"Верстак")</f>
        <v>Верстак</v>
      </c>
      <c r="E33" s="3" t="str">
        <f>IFERROR(__xludf.DUMMYFUNCTION("REGEXREPLACE(REGEXEXTRACT(F33, ""г\)\s*(.*)""), ""^\s*"", """")"),"Котел в Нижнем мире")</f>
        <v>Котел в Нижнем мире</v>
      </c>
      <c r="F33" s="4" t="s">
        <v>37</v>
      </c>
      <c r="V33" s="3"/>
      <c r="W33" s="5"/>
    </row>
    <row r="34" ht="14.25" customHeight="1">
      <c r="A34" s="3" t="str">
        <f>IFERROR(__xludf.DUMMYFUNCTION("REGEXEXTRACT(F34, ""s*(.*?)\s*а\)"")"),"Как называется зачарование, которое позволяет стрелять несколькими стрелами из арбалета?")</f>
        <v>Как называется зачарование, которое позволяет стрелять несколькими стрелами из арбалета?</v>
      </c>
      <c r="B34" s="3" t="str">
        <f>IFERROR(__xludf.DUMMYFUNCTION("REGEXREPLACE(REGEXEXTRACT(F34, ""а\)\s*(.*?)\s*б\)""), ""^\s*"", """")"),"Тройной выстрел")</f>
        <v>Тройной выстрел</v>
      </c>
      <c r="C34" s="3" t="str">
        <f>IFERROR(__xludf.DUMMYFUNCTION("REGEXREPLACE(REGEXEXTRACT(F34, ""б\)\s*(.*?)\s*в\)""), ""^\s*"", """")"),"Сила")</f>
        <v>Сила</v>
      </c>
      <c r="D34" s="3" t="str">
        <f>IFERROR(__xludf.DUMMYFUNCTION("REGEXREPLACE(REGEXEXTRACT(F34, ""в\)\s*(.*?)\s*г\)""), ""^\s*"", """")"),"Пронзающая стрела")</f>
        <v>Пронзающая стрела</v>
      </c>
      <c r="E34" s="3" t="str">
        <f>IFERROR(__xludf.DUMMYFUNCTION("REGEXREPLACE(REGEXEXTRACT(F34, ""г\)\s*(.*)""), ""^\s*"", """")"),"Быстрая перезарядка")</f>
        <v>Быстрая перезарядка</v>
      </c>
      <c r="F34" s="4" t="s">
        <v>38</v>
      </c>
      <c r="V34" s="3"/>
      <c r="W34" s="5"/>
    </row>
    <row r="35" ht="14.25" customHeight="1">
      <c r="A35" s="6" t="str">
        <f>IFERROR(__xludf.DUMMYFUNCTION("REGEXEXTRACT(F35, ""s*(.*?)\s*а\)"")"),"Какой моб боится собак и волков?")</f>
        <v>Какой моб боится собак и волков?</v>
      </c>
      <c r="B35" s="6" t="str">
        <f>IFERROR(__xludf.DUMMYFUNCTION("REGEXREPLACE(REGEXEXTRACT(F35, ""а\)\s*(.*?)\s*б\)""), ""^\s*"", """")"),"Скелет")</f>
        <v>Скелет</v>
      </c>
      <c r="C35" s="6" t="str">
        <f>IFERROR(__xludf.DUMMYFUNCTION("REGEXREPLACE(REGEXEXTRACT(F35, ""б\)\s*(.*?)\s*в\)""), ""^\s*"", """")"),"Зомби")</f>
        <v>Зомби</v>
      </c>
      <c r="D35" s="6" t="str">
        <f>IFERROR(__xludf.DUMMYFUNCTION("REGEXREPLACE(REGEXEXTRACT(F35, ""в\)\s*(.*?)\s*г\)""), ""^\s*"", """")"),"Крипер")</f>
        <v>Крипер</v>
      </c>
      <c r="E35" s="6" t="str">
        <f>IFERROR(__xludf.DUMMYFUNCTION("REGEXREPLACE(REGEXEXTRACT(F35, ""г\)\s*(.*)""), ""^\s*"", """")"),"Паук")</f>
        <v>Паук</v>
      </c>
      <c r="F35" s="7" t="s">
        <v>39</v>
      </c>
      <c r="V35" s="6"/>
      <c r="W35" s="8"/>
    </row>
    <row r="36" ht="14.25" customHeight="1">
      <c r="A36" s="6" t="str">
        <f>IFERROR(__xludf.DUMMYFUNCTION("REGEXEXTRACT(F36, ""s*(.*?)\s*а\)"")"),"Что используется для создания огненного заряда?")</f>
        <v>Что используется для создания огненного заряда?</v>
      </c>
      <c r="B36" s="6" t="str">
        <f>IFERROR(__xludf.DUMMYFUNCTION("REGEXREPLACE(REGEXEXTRACT(F36, ""а\)\s*(.*?)\s*б\)""), ""^\s*"", """")"),"Порох, огненный порошок, уголь")</f>
        <v>Порох, огненный порошок, уголь</v>
      </c>
      <c r="C36" s="6" t="str">
        <f>IFERROR(__xludf.DUMMYFUNCTION("REGEXREPLACE(REGEXEXTRACT(F36, ""б\)\s*(.*?)\s*в\)""), ""^\s*"", """")"),"Порох, лавовый крем")</f>
        <v>Порох, лавовый крем</v>
      </c>
      <c r="D36" s="6" t="str">
        <f>IFERROR(__xludf.DUMMYFUNCTION("REGEXREPLACE(REGEXEXTRACT(F36, ""в\)\s*(.*?)\s*г\)""), ""^\s*"", """")"),"Слеза гаста, огненный порошок")</f>
        <v>Слеза гаста, огненный порошок</v>
      </c>
      <c r="E36" s="6" t="str">
        <f>IFERROR(__xludf.DUMMYFUNCTION("REGEXREPLACE(REGEXEXTRACT(F36, ""г\)\s*(.*)""), ""^\s*"", """")"),"Порох, огненный порошок, кременьы")</f>
        <v>Порох, огненный порошок, кременьы</v>
      </c>
      <c r="F36" s="7" t="s">
        <v>40</v>
      </c>
      <c r="V36" s="6"/>
      <c r="W36" s="8"/>
    </row>
    <row r="37" ht="14.25" customHeight="1">
      <c r="A37" s="6" t="str">
        <f>IFERROR(__xludf.DUMMYFUNCTION("REGEXEXTRACT(F37, ""s*(.*?)\s*а\)"")"),"Какой блок можно использовать для проигрывания звуков мобов?")</f>
        <v>Какой блок можно использовать для проигрывания звуков мобов?</v>
      </c>
      <c r="B37" s="6" t="str">
        <f>IFERROR(__xludf.DUMMYFUNCTION("REGEXREPLACE(REGEXEXTRACT(F37, ""а\)\s*(.*?)\s*б\)""), ""^\s*"", """")"),"Нотный блок с головой моба")</f>
        <v>Нотный блок с головой моба</v>
      </c>
      <c r="C37" s="6" t="str">
        <f>IFERROR(__xludf.DUMMYFUNCTION("REGEXREPLACE(REGEXEXTRACT(F37, ""б\)\s*(.*?)\s*в\)""), ""^\s*"", """")"),"Проигрыватель")</f>
        <v>Проигрыватель</v>
      </c>
      <c r="D37" s="6" t="str">
        <f>IFERROR(__xludf.DUMMYFUNCTION("REGEXREPLACE(REGEXEXTRACT(F37, ""в\)\s*(.*?)\s*г\)""), ""^\s*"", """")"),"Нотный блок")</f>
        <v>Нотный блок</v>
      </c>
      <c r="E37" s="6" t="str">
        <f>IFERROR(__xludf.DUMMYFUNCTION("REGEXREPLACE(REGEXEXTRACT(F37, ""г\)\s*(.*)""), ""^\s*"", """")"),"Голова моба сама по себе")</f>
        <v>Голова моба сама по себе</v>
      </c>
      <c r="F37" s="7" t="s">
        <v>41</v>
      </c>
      <c r="V37" s="6"/>
      <c r="W37" s="8"/>
    </row>
    <row r="38" ht="14.25" customHeight="1">
      <c r="A38" s="6" t="str">
        <f>IFERROR(__xludf.DUMMYFUNCTION("REGEXEXTRACT(F38, ""s*(.*?)\s*а\)"")"),"Где растут гигантские грибы?")</f>
        <v>Где растут гигантские грибы?</v>
      </c>
      <c r="B38" s="6" t="str">
        <f>IFERROR(__xludf.DUMMYFUNCTION("REGEXREPLACE(REGEXEXTRACT(F38, ""а\)\s*(.*?)\s*б\)""), ""^\s*"", """")"),"Грибное поле и тёмный лес")</f>
        <v>Грибное поле и тёмный лес</v>
      </c>
      <c r="C38" s="6" t="str">
        <f>IFERROR(__xludf.DUMMYFUNCTION("REGEXREPLACE(REGEXEXTRACT(F38, ""б\)\s*(.*?)\s*в\)""), ""^\s*"", """")"),"Темный лес")</f>
        <v>Темный лес</v>
      </c>
      <c r="D38" s="6" t="str">
        <f>IFERROR(__xludf.DUMMYFUNCTION("REGEXREPLACE(REGEXEXTRACT(F38, ""в\)\s*(.*?)\s*г\)""), ""^\s*"", """")"),"Грибное поле")</f>
        <v>Грибное поле</v>
      </c>
      <c r="E38" s="6" t="str">
        <f>IFERROR(__xludf.DUMMYFUNCTION("REGEXREPLACE(REGEXEXTRACT(F38, ""г\)\s*(.*)""), ""^\s*"", """")"),"Пещеры")</f>
        <v>Пещеры</v>
      </c>
      <c r="F38" s="7" t="s">
        <v>42</v>
      </c>
      <c r="V38" s="6"/>
      <c r="W38" s="8"/>
    </row>
    <row r="39" ht="14.25" customHeight="1">
      <c r="A39" s="6" t="str">
        <f>IFERROR(__xludf.DUMMYFUNCTION("REGEXEXTRACT(F39, ""s*(.*?)\s*а\)"")"),"Что нужно для добычи обсидиана?")</f>
        <v>Что нужно для добычи обсидиана?</v>
      </c>
      <c r="B39" s="6" t="str">
        <f>IFERROR(__xludf.DUMMYFUNCTION("REGEXREPLACE(REGEXEXTRACT(F39, ""а\)\s*(.*?)\s*б\)""), ""^\s*"", """")"),"Алмазная кирка")</f>
        <v>Алмазная кирка</v>
      </c>
      <c r="C39" s="6" t="str">
        <f>IFERROR(__xludf.DUMMYFUNCTION("REGEXREPLACE(REGEXEXTRACT(F39, ""б\)\s*(.*?)\s*в\)""), ""^\s*"", """")"),"Железная кирка")</f>
        <v>Железная кирка</v>
      </c>
      <c r="D39" s="6" t="str">
        <f>IFERROR(__xludf.DUMMYFUNCTION("REGEXREPLACE(REGEXEXTRACT(F39, ""в\)\s*(.*?)\s*г\)""), ""^\s*"", """")"),"Золотая кирка")</f>
        <v>Золотая кирка</v>
      </c>
      <c r="E39" s="6" t="str">
        <f>IFERROR(__xludf.DUMMYFUNCTION("REGEXREPLACE(REGEXEXTRACT(F39, ""г\)\s*(.*)""), ""^\s*"", """")"),"Каменная кирка")</f>
        <v>Каменная кирка</v>
      </c>
      <c r="F39" s="7" t="s">
        <v>43</v>
      </c>
      <c r="V39" s="6"/>
      <c r="W39" s="8"/>
    </row>
    <row r="40" ht="14.25" customHeight="1">
      <c r="A40" s="6" t="str">
        <f>IFERROR(__xludf.DUMMYFUNCTION("REGEXEXTRACT(F40, ""s*(.*?)\s*а\)"")"),"Где чаще всего можно найти изумруды?")</f>
        <v>Где чаще всего можно найти изумруды?</v>
      </c>
      <c r="B40" s="6" t="str">
        <f>IFERROR(__xludf.DUMMYFUNCTION("REGEXREPLACE(REGEXEXTRACT(F40, ""а\)\s*(.*?)\s*б\)""), ""^\s*"", """")"),"В горах")</f>
        <v>В горах</v>
      </c>
      <c r="C40" s="6" t="str">
        <f>IFERROR(__xludf.DUMMYFUNCTION("REGEXREPLACE(REGEXEXTRACT(F40, ""б\)\s*(.*?)\s*в\)""), ""^\s*"", """")"),"В океанах")</f>
        <v>В океанах</v>
      </c>
      <c r="D40" s="6" t="str">
        <f>IFERROR(__xludf.DUMMYFUNCTION("REGEXREPLACE(REGEXEXTRACT(F40, ""в\)\s*(.*?)\s*г\)""), ""^\s*"", """")"),"В лесах")</f>
        <v>В лесах</v>
      </c>
      <c r="E40" s="6" t="str">
        <f>IFERROR(__xludf.DUMMYFUNCTION("REGEXREPLACE(REGEXEXTRACT(F40, ""г\)\s*(.*)""), ""^\s*"", """")"),"Везде")</f>
        <v>Везде</v>
      </c>
      <c r="F40" s="7" t="s">
        <v>44</v>
      </c>
      <c r="V40" s="6"/>
      <c r="W40" s="8"/>
    </row>
    <row r="41" ht="14.25" customHeight="1">
      <c r="A41" s="6" t="str">
        <f>IFERROR(__xludf.DUMMYFUNCTION("REGEXEXTRACT(F41, ""s*(.*?)\s*а\)"")"),"Какой минерал самый прочный в игре для создания инструментов и брони?")</f>
        <v>Какой минерал самый прочный в игре для создания инструментов и брони?</v>
      </c>
      <c r="B41" s="6" t="str">
        <f>IFERROR(__xludf.DUMMYFUNCTION("REGEXREPLACE(REGEXEXTRACT(F41, ""а\)\s*(.*?)\s*б\)""), ""^\s*"", """")"),"Незерит")</f>
        <v>Незерит</v>
      </c>
      <c r="C41" s="6" t="str">
        <f>IFERROR(__xludf.DUMMYFUNCTION("REGEXREPLACE(REGEXEXTRACT(F41, ""б\)\s*(.*?)\s*в\)""), ""^\s*"", """")"),"Золото")</f>
        <v>Золото</v>
      </c>
      <c r="D41" s="6" t="str">
        <f>IFERROR(__xludf.DUMMYFUNCTION("REGEXREPLACE(REGEXEXTRACT(F41, ""в\)\s*(.*?)\s*г\)""), ""^\s*"", """")"),"Железо")</f>
        <v>Железо</v>
      </c>
      <c r="E41" s="6" t="str">
        <f>IFERROR(__xludf.DUMMYFUNCTION("REGEXREPLACE(REGEXEXTRACT(F41, ""г\)\s*(.*)""), ""^\s*"", """")"),"Алмаз")</f>
        <v>Алмаз</v>
      </c>
      <c r="F41" s="7" t="s">
        <v>45</v>
      </c>
      <c r="V41" s="6"/>
      <c r="W41" s="8"/>
    </row>
    <row r="42" ht="14.25" customHeight="1">
      <c r="A42" s="6" t="str">
        <f>IFERROR(__xludf.DUMMYFUNCTION("REGEXEXTRACT(F42, ""s*(.*?)\s*а\)"")"),"На каком мобе могут летать до 4 игроков?")</f>
        <v>На каком мобе могут летать до 4 игроков?</v>
      </c>
      <c r="B42" s="6" t="str">
        <f>IFERROR(__xludf.DUMMYFUNCTION("REGEXREPLACE(REGEXEXTRACT(F42, ""а\)\s*(.*?)\s*б\)""), ""^\s*"", """")"),"Счастливый гаст")</f>
        <v>Счастливый гаст</v>
      </c>
      <c r="C42" s="6" t="str">
        <f>IFERROR(__xludf.DUMMYFUNCTION("REGEXREPLACE(REGEXEXTRACT(F42, ""б\)\s*(.*?)\s*в\)""), ""^\s*"", """")"),"Блейз")</f>
        <v>Блейз</v>
      </c>
      <c r="D42" s="6" t="str">
        <f>IFERROR(__xludf.DUMMYFUNCTION("REGEXREPLACE(REGEXEXTRACT(F42, ""в\)\s*(.*?)\s*г\)""), ""^\s*"", """")"),"Обычный гаст")</f>
        <v>Обычный гаст</v>
      </c>
      <c r="E42" s="6" t="str">
        <f>IFERROR(__xludf.DUMMYFUNCTION("REGEXREPLACE(REGEXEXTRACT(F42, ""г\)\s*(.*)""), ""^\s*"", """")"),"Такого моба нет")</f>
        <v>Такого моба нет</v>
      </c>
      <c r="F42" s="7" t="s">
        <v>46</v>
      </c>
      <c r="V42" s="6"/>
      <c r="W42" s="8"/>
    </row>
    <row r="43" ht="14.25" customHeight="1">
      <c r="A43" s="6" t="str">
        <f>IFERROR(__xludf.DUMMYFUNCTION("REGEXEXTRACT(F43, ""s*(.*?)\s*а\)"")"),"Какой моб боится кошек?")</f>
        <v>Какой моб боится кошек?</v>
      </c>
      <c r="B43" s="6" t="str">
        <f>IFERROR(__xludf.DUMMYFUNCTION("REGEXREPLACE(REGEXEXTRACT(F43, ""а\)\s*(.*?)\s*б\)""), ""^\s*"", """")"),"Крипер")</f>
        <v>Крипер</v>
      </c>
      <c r="C43" s="6" t="str">
        <f>IFERROR(__xludf.DUMMYFUNCTION("REGEXREPLACE(REGEXEXTRACT(F43, ""б\)\s*(.*?)\s*в\)""), ""^\s*"", """")"),"Свинья")</f>
        <v>Свинья</v>
      </c>
      <c r="D43" s="6" t="str">
        <f>IFERROR(__xludf.DUMMYFUNCTION("REGEXREPLACE(REGEXEXTRACT(F43, ""в\)\s*(.*?)\s*г\)""), ""^\s*"", """")"),"Зомби")</f>
        <v>Зомби</v>
      </c>
      <c r="E43" s="6" t="str">
        <f>IFERROR(__xludf.DUMMYFUNCTION("REGEXREPLACE(REGEXEXTRACT(F43, ""г\)\s*(.*)""), ""^\s*"", """")"),"Корова")</f>
        <v>Корова</v>
      </c>
      <c r="F43" s="7" t="s">
        <v>47</v>
      </c>
      <c r="V43" s="6"/>
      <c r="W43" s="8"/>
    </row>
    <row r="44" ht="14.25" customHeight="1">
      <c r="A44" s="6" t="str">
        <f>IFERROR(__xludf.DUMMYFUNCTION("REGEXEXTRACT(F44, ""s*(.*?)\s*а\)"")"),"Что делает Эндермен, если посмотреть ему в глаза?")</f>
        <v>Что делает Эндермен, если посмотреть ему в глаза?</v>
      </c>
      <c r="B44" s="6" t="str">
        <f>IFERROR(__xludf.DUMMYFUNCTION("REGEXREPLACE(REGEXEXTRACT(F44, ""а\)\s*(.*?)\s*б\)""), ""^\s*"", """")"),"Становится агрессивным и атакует")</f>
        <v>Становится агрессивным и атакует</v>
      </c>
      <c r="C44" s="6" t="str">
        <f>IFERROR(__xludf.DUMMYFUNCTION("REGEXREPLACE(REGEXEXTRACT(F44, ""б\)\s*(.*?)\s*в\)""), ""^\s*"", """")"),"Ничего")</f>
        <v>Ничего</v>
      </c>
      <c r="D44" s="6" t="str">
        <f>IFERROR(__xludf.DUMMYFUNCTION("REGEXREPLACE(REGEXEXTRACT(F44, ""в\)\s*(.*?)\s*г\)""), ""^\s*"", """")"),"Телепортируется")</f>
        <v>Телепортируется</v>
      </c>
      <c r="E44" s="6" t="str">
        <f>IFERROR(__xludf.DUMMYFUNCTION("REGEXREPLACE(REGEXEXTRACT(F44, ""г\)\s*(.*)""), ""^\s*"", """")"),"Издает громкий звук")</f>
        <v>Издает громкий звук</v>
      </c>
      <c r="F44" s="7" t="s">
        <v>48</v>
      </c>
      <c r="V44" s="6"/>
      <c r="W44" s="8"/>
    </row>
    <row r="45" ht="14.25" customHeight="1">
      <c r="A45" s="6" t="str">
        <f>IFERROR(__xludf.DUMMYFUNCTION("REGEXEXTRACT(F45, ""s*(.*?)\s*а\)"")"),"Как называется враждебный моб, летающий в небе и атакующий не спавших игроков?")</f>
        <v>Как называется враждебный моб, летающий в небе и атакующий не спавших игроков?</v>
      </c>
      <c r="B45" s="6" t="str">
        <f>IFERROR(__xludf.DUMMYFUNCTION("REGEXREPLACE(REGEXEXTRACT(F45, ""а\)\s*(.*?)\s*б\)""), ""^\s*"", """")"),"Фантом")</f>
        <v>Фантом</v>
      </c>
      <c r="C45" s="6" t="str">
        <f>IFERROR(__xludf.DUMMYFUNCTION("REGEXREPLACE(REGEXEXTRACT(F45, ""б\)\s*(.*?)\s*в\)""), ""^\s*"", """")"),"Летучая мышь")</f>
        <v>Летучая мышь</v>
      </c>
      <c r="D45" s="6" t="str">
        <f>IFERROR(__xludf.DUMMYFUNCTION("REGEXREPLACE(REGEXEXTRACT(F45, ""в\)\s*(.*?)\s*г\)""), ""^\s*"", """")"),"Гаст")</f>
        <v>Гаст</v>
      </c>
      <c r="E45" s="6" t="str">
        <f>IFERROR(__xludf.DUMMYFUNCTION("REGEXREPLACE(REGEXEXTRACT(F45, ""г\)\s*(.*)""), ""^\s*"", """")"),"Ифрит")</f>
        <v>Ифрит</v>
      </c>
      <c r="F45" s="7" t="s">
        <v>49</v>
      </c>
      <c r="V45" s="6"/>
      <c r="W45" s="8"/>
    </row>
    <row r="46" ht="14.25" customHeight="1">
      <c r="A46" s="6" t="str">
        <f>IFERROR(__xludf.DUMMYFUNCTION("REGEXEXTRACT(F46, ""s*(.*?)\s*а\)"")"),"Какой моб является пассивным и дает молоко?")</f>
        <v>Какой моб является пассивным и дает молоко?</v>
      </c>
      <c r="B46" s="6" t="str">
        <f>IFERROR(__xludf.DUMMYFUNCTION("REGEXREPLACE(REGEXEXTRACT(F46, ""а\)\s*(.*?)\s*б\)""), ""^\s*"", """")"),"Корова")</f>
        <v>Корова</v>
      </c>
      <c r="C46" s="6" t="str">
        <f>IFERROR(__xludf.DUMMYFUNCTION("REGEXREPLACE(REGEXEXTRACT(F46, ""б\)\s*(.*?)\s*в\)""), ""^\s*"", """")"),"Свинья")</f>
        <v>Свинья</v>
      </c>
      <c r="D46" s="6" t="str">
        <f>IFERROR(__xludf.DUMMYFUNCTION("REGEXREPLACE(REGEXEXTRACT(F46, ""в\)\s*(.*?)\s*г\)""), ""^\s*"", """")"),"Курица")</f>
        <v>Курица</v>
      </c>
      <c r="E46" s="6" t="str">
        <f>IFERROR(__xludf.DUMMYFUNCTION("REGEXREPLACE(REGEXEXTRACT(F46, ""г\)\s*(.*)""), ""^\s*"", """")"),"Овца")</f>
        <v>Овца</v>
      </c>
      <c r="F46" s="7" t="s">
        <v>50</v>
      </c>
      <c r="V46" s="6"/>
      <c r="W46" s="8"/>
    </row>
    <row r="47" ht="14.25" customHeight="1">
      <c r="A47" s="6" t="str">
        <f>IFERROR(__xludf.DUMMYFUNCTION("REGEXEXTRACT(F47, ""s*(.*?)\s*а\)"")"),"Какой моб атакует со спины, когда на него не смотрят?")</f>
        <v>Какой моб атакует со спины, когда на него не смотрят?</v>
      </c>
      <c r="B47" s="6" t="str">
        <f>IFERROR(__xludf.DUMMYFUNCTION("REGEXREPLACE(REGEXEXTRACT(F47, ""а\)\s*(.*?)\s*б\)""), ""^\s*"", """")"),"Скрипун")</f>
        <v>Скрипун</v>
      </c>
      <c r="C47" s="6" t="str">
        <f>IFERROR(__xludf.DUMMYFUNCTION("REGEXREPLACE(REGEXEXTRACT(F47, ""б\)\s*(.*?)\s*в\)""), ""^\s*"", """")"),"Древний страж")</f>
        <v>Древний страж</v>
      </c>
      <c r="D47" s="6" t="str">
        <f>IFERROR(__xludf.DUMMYFUNCTION("REGEXREPLACE(REGEXEXTRACT(F47, ""в\)\s*(.*?)\s*г\)""), ""^\s*"", """")"),"Хранитель")</f>
        <v>Хранитель</v>
      </c>
      <c r="E47" s="6" t="str">
        <f>IFERROR(__xludf.DUMMYFUNCTION("REGEXREPLACE(REGEXEXTRACT(F47, ""г\)\s*(.*)""), ""^\s*"", """")"),"Гаст")</f>
        <v>Гаст</v>
      </c>
      <c r="F47" s="7" t="s">
        <v>51</v>
      </c>
      <c r="V47" s="6"/>
      <c r="W47" s="8"/>
    </row>
    <row r="48" ht="14.25" customHeight="1">
      <c r="A48" s="6" t="str">
        <f>IFERROR(__xludf.DUMMYFUNCTION("REGEXEXTRACT(F48, ""s*(.*?)\s*а\)"")"),"Что делает медный голем?")</f>
        <v>Что делает медный голем?</v>
      </c>
      <c r="B48" s="6" t="str">
        <f>IFERROR(__xludf.DUMMYFUNCTION("REGEXREPLACE(REGEXEXTRACT(F48, ""а\)\s*(.*?)\s*б\)""), ""^\s*"", """")"),"Сортирует предметы по сундукам")</f>
        <v>Сортирует предметы по сундукам</v>
      </c>
      <c r="C48" s="6" t="str">
        <f>IFERROR(__xludf.DUMMYFUNCTION("REGEXREPLACE(REGEXEXTRACT(F48, ""б\)\s*(.*?)\s*в\)""), ""^\s*"", """")"),"Случайно нажимает на кнопки")</f>
        <v>Случайно нажимает на кнопки</v>
      </c>
      <c r="D48" s="6" t="str">
        <f>IFERROR(__xludf.DUMMYFUNCTION("REGEXREPLACE(REGEXEXTRACT(F48, ""в\)\s*(.*?)\s*г\)""), ""^\s*"", """")"),"Держит предметы в руках")</f>
        <v>Держит предметы в руках</v>
      </c>
      <c r="E48" s="6" t="str">
        <f>IFERROR(__xludf.DUMMYFUNCTION("REGEXREPLACE(REGEXEXTRACT(F48, ""г\)\s*(.*)""), ""^\s*"", """")"),"Ничего")</f>
        <v>Ничего</v>
      </c>
      <c r="F48" s="7" t="s">
        <v>52</v>
      </c>
      <c r="V48" s="6"/>
      <c r="W48" s="8"/>
    </row>
    <row r="49" ht="14.25" customHeight="1">
      <c r="A49" s="6" t="str">
        <f>IFERROR(__xludf.DUMMYFUNCTION("REGEXEXTRACT(F49, ""s*(.*?)\s*а\)"")"),"Что выпадает из зомби-наездника?")</f>
        <v>Что выпадает из зомби-наездника?</v>
      </c>
      <c r="B49" s="6" t="str">
        <f>IFERROR(__xludf.DUMMYFUNCTION("REGEXREPLACE(REGEXEXTRACT(F49, ""а\)\s*(.*?)\s*б\)""), ""^\s*"", """")"),"Особая пластинка")</f>
        <v>Особая пластинка</v>
      </c>
      <c r="C49" s="6" t="str">
        <f>IFERROR(__xludf.DUMMYFUNCTION("REGEXREPLACE(REGEXEXTRACT(F49, ""б\)\s*(.*?)\s*в\)""), ""^\s*"", """")"),"Перья")</f>
        <v>Перья</v>
      </c>
      <c r="D49" s="6" t="str">
        <f>IFERROR(__xludf.DUMMYFUNCTION("REGEXREPLACE(REGEXEXTRACT(F49, ""в\)\s*(.*?)\s*г\)""), ""^\s*"", """")"),"Кости")</f>
        <v>Кости</v>
      </c>
      <c r="E49" s="6" t="str">
        <f>IFERROR(__xludf.DUMMYFUNCTION("REGEXREPLACE(REGEXEXTRACT(F49, ""г\)\s*(.*)""), ""^\s*"", """")"),"Порох")</f>
        <v>Порох</v>
      </c>
      <c r="F49" s="7" t="s">
        <v>53</v>
      </c>
      <c r="V49" s="6"/>
      <c r="W49" s="8"/>
    </row>
    <row r="50" ht="14.25" customHeight="1">
      <c r="A50" s="6" t="str">
        <f>IFERROR(__xludf.DUMMYFUNCTION("REGEXEXTRACT(F50, ""s*(.*?)\s*а\)"")"),"Какой предмет используется для переплавки руды?")</f>
        <v>Какой предмет используется для переплавки руды?</v>
      </c>
      <c r="B50" s="6" t="str">
        <f>IFERROR(__xludf.DUMMYFUNCTION("REGEXREPLACE(REGEXEXTRACT(F50, ""а\)\s*(.*?)\s*б\)""), ""^\s*"", """")"),"Печь")</f>
        <v>Печь</v>
      </c>
      <c r="C50" s="6" t="str">
        <f>IFERROR(__xludf.DUMMYFUNCTION("REGEXREPLACE(REGEXEXTRACT(F50, ""б\)\s*(.*?)\s*в\)""), ""^\s*"", """")"),"Сундук")</f>
        <v>Сундук</v>
      </c>
      <c r="D50" s="6" t="str">
        <f>IFERROR(__xludf.DUMMYFUNCTION("REGEXREPLACE(REGEXEXTRACT(F50, ""в\)\s*(.*?)\s*г\)""), ""^\s*"", """")"),"Верстак")</f>
        <v>Верстак</v>
      </c>
      <c r="E50" s="6" t="str">
        <f>IFERROR(__xludf.DUMMYFUNCTION("REGEXREPLACE(REGEXEXTRACT(F50, ""г\)\s*(.*)""), ""^\s*"", """")"),"Наковальня")</f>
        <v>Наковальня</v>
      </c>
      <c r="F50" s="7" t="s">
        <v>54</v>
      </c>
      <c r="V50" s="6"/>
      <c r="W50" s="8"/>
    </row>
    <row r="51" ht="14.25" customHeight="1">
      <c r="A51" s="6" t="str">
        <f>IFERROR(__xludf.DUMMYFUNCTION("REGEXEXTRACT(F51, ""s*(.*?)\s*а\)"")"),"Как называется основной мир, в котором игрок появляется?")</f>
        <v>Как называется основной мир, в котором игрок появляется?</v>
      </c>
      <c r="B51" s="6" t="str">
        <f>IFERROR(__xludf.DUMMYFUNCTION("REGEXREPLACE(REGEXEXTRACT(F51, ""а\)\s*(.*?)\s*б\)""), ""^\s*"", """")"),"Верхний мир")</f>
        <v>Верхний мир</v>
      </c>
      <c r="C51" s="6" t="str">
        <f>IFERROR(__xludf.DUMMYFUNCTION("REGEXREPLACE(REGEXEXTRACT(F51, ""б\)\s*(.*?)\s*в\)""), ""^\s*"", """")"),"Нижний мир")</f>
        <v>Нижний мир</v>
      </c>
      <c r="D51" s="6" t="str">
        <f>IFERROR(__xludf.DUMMYFUNCTION("REGEXREPLACE(REGEXEXTRACT(F51, ""в\)\s*(.*?)\s*г\)""), ""^\s*"", """")"),"Край")</f>
        <v>Край</v>
      </c>
      <c r="E51" s="6" t="str">
        <f>IFERROR(__xludf.DUMMYFUNCTION("REGEXREPLACE(REGEXEXTRACT(F51, ""г\)\s*(.*)""), ""^\s*"", """")"),"Небесный мир")</f>
        <v>Небесный мир</v>
      </c>
      <c r="F51" s="7" t="s">
        <v>55</v>
      </c>
      <c r="V51" s="6"/>
      <c r="W51" s="8"/>
    </row>
    <row r="52" ht="14.25" customHeight="1">
      <c r="A52" s="6" t="str">
        <f>IFERROR(__xludf.DUMMYFUNCTION("REGEXEXTRACT(F52, ""s*(.*?)\s*а\)"")"),"Какой биом состоит в основном из песка и кактусов?")</f>
        <v>Какой биом состоит в основном из песка и кактусов?</v>
      </c>
      <c r="B52" s="6" t="str">
        <f>IFERROR(__xludf.DUMMYFUNCTION("REGEXREPLACE(REGEXEXTRACT(F52, ""а\)\s*(.*?)\s*б\)""), ""^\s*"", """")"),"Пустыня")</f>
        <v>Пустыня</v>
      </c>
      <c r="C52" s="6" t="str">
        <f>IFERROR(__xludf.DUMMYFUNCTION("REGEXREPLACE(REGEXEXTRACT(F52, ""б\)\s*(.*?)\s*в\)""), ""^\s*"", """")"),"Лес")</f>
        <v>Лес</v>
      </c>
      <c r="D52" s="6" t="str">
        <f>IFERROR(__xludf.DUMMYFUNCTION("REGEXREPLACE(REGEXEXTRACT(F52, ""в\)\s*(.*?)\s*г\)""), ""^\s*"", """")"),"Равнина")</f>
        <v>Равнина</v>
      </c>
      <c r="E52" s="6" t="str">
        <f>IFERROR(__xludf.DUMMYFUNCTION("REGEXREPLACE(REGEXEXTRACT(F52, ""г\)\s*(.*)""), ""^\s*"", """")"),"Джунгли")</f>
        <v>Джунгли</v>
      </c>
      <c r="F52" s="7" t="s">
        <v>56</v>
      </c>
      <c r="V52" s="6"/>
      <c r="W52" s="8"/>
    </row>
    <row r="53" ht="14.25" customHeight="1">
      <c r="A53" s="6" t="str">
        <f>IFERROR(__xludf.DUMMYFUNCTION("REGEXEXTRACT(F53, ""s*(.*?)\s*а\)"")"),"Из чего делается компостер?")</f>
        <v>Из чего делается компостер?</v>
      </c>
      <c r="B53" s="6" t="str">
        <f>IFERROR(__xludf.DUMMYFUNCTION("REGEXREPLACE(REGEXEXTRACT(F53, ""а\)\s*(.*?)\s*б\)""), ""^\s*"", """")"),"Из 7 полублоков")</f>
        <v>Из 7 полублоков</v>
      </c>
      <c r="C53" s="6" t="str">
        <f>IFERROR(__xludf.DUMMYFUNCTION("REGEXREPLACE(REGEXEXTRACT(F53, ""б\)\s*(.*?)\s*в\)""), ""^\s*"", """")"),"Из 7 досок")</f>
        <v>Из 7 досок</v>
      </c>
      <c r="D53" s="6" t="str">
        <f>IFERROR(__xludf.DUMMYFUNCTION("REGEXREPLACE(REGEXEXTRACT(F53, ""в\)\s*(.*?)\s*г\)""), ""^\s*"", """")"),"Из 7 палок")</f>
        <v>Из 7 палок</v>
      </c>
      <c r="E53" s="6" t="str">
        <f>IFERROR(__xludf.DUMMYFUNCTION("REGEXREPLACE(REGEXEXTRACT(F53, ""г\)\s*(.*)""), ""^\s*"", """")"),"Из 7 бревен")</f>
        <v>Из 7 бревен</v>
      </c>
      <c r="F53" s="7" t="s">
        <v>57</v>
      </c>
      <c r="V53" s="6"/>
      <c r="W53" s="8"/>
    </row>
    <row r="54" ht="14.25" customHeight="1">
      <c r="A54" s="6" t="str">
        <f>IFERROR(__xludf.DUMMYFUNCTION("REGEXEXTRACT(F54, ""s*(.*?)\s*а\)"")"),"Какие семена может выкопать нюхач?")</f>
        <v>Какие семена может выкопать нюхач?</v>
      </c>
      <c r="B54" s="6" t="str">
        <f>IFERROR(__xludf.DUMMYFUNCTION("REGEXREPLACE(REGEXEXTRACT(F54, ""а\)\s*(.*?)\s*б\)""), ""^\s*"", """")"),"семена факельника и кувшинницы")</f>
        <v>семена факельника и кувшинницы</v>
      </c>
      <c r="C54" s="6" t="str">
        <f>IFERROR(__xludf.DUMMYFUNCTION("REGEXREPLACE(REGEXEXTRACT(F54, ""б\)\s*(.*?)\s*в\)""), ""^\s*"", """")"),"семена пшеницы")</f>
        <v>семена пшеницы</v>
      </c>
      <c r="D54" s="6" t="str">
        <f>IFERROR(__xludf.DUMMYFUNCTION("REGEXREPLACE(REGEXEXTRACT(F54, ""в\)\s*(.*?)\s*г\)""), ""^\s*"", """")"),"ничего из перечисленного")</f>
        <v>ничего из перечисленного</v>
      </c>
      <c r="E54" s="6" t="str">
        <f>IFERROR(__xludf.DUMMYFUNCTION("REGEXREPLACE(REGEXEXTRACT(F54, ""г\)\s*(.*)""), ""^\s*"", """")"),"он выкапывает не семена")</f>
        <v>он выкапывает не семена</v>
      </c>
      <c r="F54" s="7" t="s">
        <v>58</v>
      </c>
      <c r="V54" s="6"/>
      <c r="W54" s="8"/>
    </row>
    <row r="55" ht="14.25" customHeight="1">
      <c r="A55" s="6" t="str">
        <f>IFERROR(__xludf.DUMMYFUNCTION("REGEXEXTRACT(F55, ""s*(.*?)\s*а\)"")"),"Какой блок не висит в воздухе?")</f>
        <v>Какой блок не висит в воздухе?</v>
      </c>
      <c r="B55" s="6" t="str">
        <f>IFERROR(__xludf.DUMMYFUNCTION("REGEXREPLACE(REGEXEXTRACT(F55, ""а\)\s*(.*?)\s*б\)""), ""^\s*"", """")"),"Гравий")</f>
        <v>Гравий</v>
      </c>
      <c r="C55" s="6" t="str">
        <f>IFERROR(__xludf.DUMMYFUNCTION("REGEXREPLACE(REGEXEXTRACT(F55, ""б\)\s*(.*?)\s*в\)""), ""^\s*"", """")"),"Камень")</f>
        <v>Камень</v>
      </c>
      <c r="D55" s="6" t="str">
        <f>IFERROR(__xludf.DUMMYFUNCTION("REGEXREPLACE(REGEXEXTRACT(F55, ""в\)\s*(.*?)\s*г\)""), ""^\s*"", """")"),"Земля")</f>
        <v>Земля</v>
      </c>
      <c r="E55" s="6" t="str">
        <f>IFERROR(__xludf.DUMMYFUNCTION("REGEXREPLACE(REGEXEXTRACT(F55, ""г\)\s*(.*)""), ""^\s*"", """")"),"Дерево")</f>
        <v>Дерево</v>
      </c>
      <c r="F55" s="7" t="s">
        <v>59</v>
      </c>
      <c r="V55" s="6"/>
      <c r="W55" s="8"/>
    </row>
    <row r="56" ht="14.25" customHeight="1">
      <c r="A56" s="6" t="str">
        <f>IFERROR(__xludf.DUMMYFUNCTION("REGEXEXTRACT(F56, ""s*(.*?)\s*а\)"")"),"Где можно встретить высушенного гаста?")</f>
        <v>Где можно встретить высушенного гаста?</v>
      </c>
      <c r="B56" s="6" t="str">
        <f>IFERROR(__xludf.DUMMYFUNCTION("REGEXREPLACE(REGEXEXTRACT(F56, ""а\)\s*(.*?)\s*б\)""), ""^\s*"", """")"),"Нижний мир")</f>
        <v>Нижний мир</v>
      </c>
      <c r="C56" s="6" t="str">
        <f>IFERROR(__xludf.DUMMYFUNCTION("REGEXREPLACE(REGEXEXTRACT(F56, ""б\)\s*(.*?)\s*в\)""), ""^\s*"", """")"),"Край")</f>
        <v>Край</v>
      </c>
      <c r="D56" s="6" t="str">
        <f>IFERROR(__xludf.DUMMYFUNCTION("REGEXREPLACE(REGEXEXTRACT(F56, ""в\)\s*(.*?)\s*г\)""), ""^\s*"", """")"),"Верхний мир")</f>
        <v>Верхний мир</v>
      </c>
      <c r="E56" s="6" t="str">
        <f>IFERROR(__xludf.DUMMYFUNCTION("REGEXREPLACE(REGEXEXTRACT(F56, ""г\)\s*(.*)""), ""^\s*"", """")"),"Нигде")</f>
        <v>Нигде</v>
      </c>
      <c r="F56" s="7" t="s">
        <v>60</v>
      </c>
      <c r="V56" s="6"/>
      <c r="W56" s="8"/>
    </row>
    <row r="57" ht="14.25" customHeight="1">
      <c r="A57" s="6" t="str">
        <f>IFERROR(__xludf.DUMMYFUNCTION("REGEXEXTRACT(F57, ""s*(.*?)\s*а\)"")"),"Что делает булава?")</f>
        <v>Что делает булава?</v>
      </c>
      <c r="B57" s="6" t="str">
        <f>IFERROR(__xludf.DUMMYFUNCTION("REGEXREPLACE(REGEXEXTRACT(F57, ""а\)\s*(.*?)\s*б\)""), ""^\s*"", """")"),"Падая на моба наносит ему сокрушающий урон")</f>
        <v>Падая на моба наносит ему сокрушающий урон</v>
      </c>
      <c r="C57" s="6" t="str">
        <f>IFERROR(__xludf.DUMMYFUNCTION("REGEXREPLACE(REGEXEXTRACT(F57, ""б\)\s*(.*?)\s*в\)""), ""^\s*"", """")"),"Моментально ломает блоки")</f>
        <v>Моментально ломает блоки</v>
      </c>
      <c r="D57" s="6" t="str">
        <f>IFERROR(__xludf.DUMMYFUNCTION("REGEXREPLACE(REGEXEXTRACT(F57, ""в\)\s*(.*?)\s*г\)""), ""^\s*"", """")"),"Позволяет забивать болты в доски")</f>
        <v>Позволяет забивать болты в доски</v>
      </c>
      <c r="E57" s="6" t="str">
        <f>IFERROR(__xludf.DUMMYFUNCTION("REGEXREPLACE(REGEXEXTRACT(F57, ""г\)\s*(.*)""), ""^\s*"", """")"),"Ничего")</f>
        <v>Ничего</v>
      </c>
      <c r="F57" s="7" t="s">
        <v>61</v>
      </c>
      <c r="V57" s="6"/>
      <c r="W57" s="8"/>
    </row>
    <row r="58" ht="14.25" customHeight="1">
      <c r="A58" s="6" t="str">
        <f>IFERROR(__xludf.DUMMYFUNCTION("REGEXEXTRACT(F58, ""s*(.*?)\s*а\)"")"),"Как называется зачарование, которое автоматически чинит предмет за счет опыта?")</f>
        <v>Как называется зачарование, которое автоматически чинит предмет за счет опыта?</v>
      </c>
      <c r="B58" s="6" t="str">
        <f>IFERROR(__xludf.DUMMYFUNCTION("REGEXREPLACE(REGEXEXTRACT(F58, ""а\)\s*(.*?)\s*б\)""), ""^\s*"", """")"),"Починка")</f>
        <v>Починка</v>
      </c>
      <c r="C58" s="6" t="str">
        <f>IFERROR(__xludf.DUMMYFUNCTION("REGEXREPLACE(REGEXEXTRACT(F58, ""б\)\s*(.*?)\s*в\)""), ""^\s*"", """")"),"Прочность")</f>
        <v>Прочность</v>
      </c>
      <c r="D58" s="6" t="str">
        <f>IFERROR(__xludf.DUMMYFUNCTION("REGEXREPLACE(REGEXEXTRACT(F58, ""в\)\s*(.*?)\s*г\)""), ""^\s*"", """")"),"Ремонт")</f>
        <v>Ремонт</v>
      </c>
      <c r="E58" s="6" t="str">
        <f>IFERROR(__xludf.DUMMYFUNCTION("REGEXREPLACE(REGEXEXTRACT(F58, ""г\)\s*(.*)""), ""^\s*"", """")"),"Восстановление")</f>
        <v>Восстановление</v>
      </c>
      <c r="F58" s="7" t="s">
        <v>62</v>
      </c>
      <c r="V58" s="6"/>
      <c r="W58" s="8"/>
    </row>
    <row r="59" ht="14.25" customHeight="1">
      <c r="A59" s="6" t="str">
        <f>IFERROR(__xludf.DUMMYFUNCTION("REGEXEXTRACT(F59, ""s*(.*?)\s*а\)"")"),"Что будет, если молния ударит в медного голема?")</f>
        <v>Что будет, если молния ударит в медного голема?</v>
      </c>
      <c r="B59" s="6" t="str">
        <f>IFERROR(__xludf.DUMMYFUNCTION("REGEXREPLACE(REGEXEXTRACT(F59, ""а\)\s*(.*?)\s*б\)""), ""^\s*"", """")"),"Ничего")</f>
        <v>Ничего</v>
      </c>
      <c r="C59" s="6" t="str">
        <f>IFERROR(__xludf.DUMMYFUNCTION("REGEXREPLACE(REGEXEXTRACT(F59, ""б\)\s*(.*?)\s*в\)""), ""^\s*"", """")"),"Он превратится в статую")</f>
        <v>Он превратится в статую</v>
      </c>
      <c r="D59" s="6" t="str">
        <f>IFERROR(__xludf.DUMMYFUNCTION("REGEXREPLACE(REGEXEXTRACT(F59, ""в\)\s*(.*?)\s*г\)""), ""^\s*"", """")"),"Он перейдёт в начальную стадию окисления")</f>
        <v>Он перейдёт в начальную стадию окисления</v>
      </c>
      <c r="E59" s="6" t="str">
        <f>IFERROR(__xludf.DUMMYFUNCTION("REGEXREPLACE(REGEXEXTRACT(F59, ""г\)\s*(.*)""), ""^\s*"", """")"),"Появится электричество")</f>
        <v>Появится электричество</v>
      </c>
      <c r="F59" s="7" t="s">
        <v>63</v>
      </c>
      <c r="V59" s="6"/>
      <c r="W59" s="8"/>
    </row>
    <row r="60" ht="14.25" customHeight="1">
      <c r="A60" s="6" t="str">
        <f>IFERROR(__xludf.DUMMYFUNCTION("REGEXEXTRACT(F60, ""s*(.*?)\s*а\)"")"),"Как приручить кошку?")</f>
        <v>Как приручить кошку?</v>
      </c>
      <c r="B60" s="6" t="str">
        <f>IFERROR(__xludf.DUMMYFUNCTION("REGEXREPLACE(REGEXEXTRACT(F60, ""а\)\s*(.*?)\s*б\)""), ""^\s*"", """")"),"Сырой треской или лососем")</f>
        <v>Сырой треской или лососем</v>
      </c>
      <c r="C60" s="6" t="str">
        <f>IFERROR(__xludf.DUMMYFUNCTION("REGEXREPLACE(REGEXEXTRACT(F60, ""б\)\s*(.*?)\s*в\)""), ""^\s*"", """")"),"Костью")</f>
        <v>Костью</v>
      </c>
      <c r="D60" s="6" t="str">
        <f>IFERROR(__xludf.DUMMYFUNCTION("REGEXREPLACE(REGEXEXTRACT(F60, ""в\)\s*(.*?)\s*г\)""), ""^\s*"", """")"),"Пшеницей")</f>
        <v>Пшеницей</v>
      </c>
      <c r="E60" s="6" t="str">
        <f>IFERROR(__xludf.DUMMYFUNCTION("REGEXREPLACE(REGEXEXTRACT(F60, ""г\)\s*(.*)""), ""^\s*"", """")"),"Морковью")</f>
        <v>Морковью</v>
      </c>
      <c r="F60" s="7" t="s">
        <v>64</v>
      </c>
      <c r="V60" s="6"/>
      <c r="W60" s="8"/>
    </row>
    <row r="61" ht="14.25" customHeight="1">
      <c r="A61" s="6" t="str">
        <f>IFERROR(__xludf.DUMMYFUNCTION("REGEXEXTRACT(F61, ""s*(.*?)\s*а\)"")"),"Какой эффект дает тотем бессмертия?")</f>
        <v>Какой эффект дает тотем бессмертия?</v>
      </c>
      <c r="B61" s="6" t="str">
        <f>IFERROR(__xludf.DUMMYFUNCTION("REGEXREPLACE(REGEXEXTRACT(F61, ""а\)\s*(.*?)\s*б\)""), ""^\s*"", """")"),"Спасает от смерти один раз")</f>
        <v>Спасает от смерти один раз</v>
      </c>
      <c r="C61" s="6" t="str">
        <f>IFERROR(__xludf.DUMMYFUNCTION("REGEXREPLACE(REGEXEXTRACT(F61, ""б\)\s*(.*?)\s*в\)""), ""^\s*"", """")"),"Увеличивает силу")</f>
        <v>Увеличивает силу</v>
      </c>
      <c r="D61" s="6" t="str">
        <f>IFERROR(__xludf.DUMMYFUNCTION("REGEXREPLACE(REGEXEXTRACT(F61, ""в\)\s*(.*?)\s*г\)""), ""^\s*"", """")"),"Дает невидимость")</f>
        <v>Дает невидимость</v>
      </c>
      <c r="E61" s="6" t="str">
        <f>IFERROR(__xludf.DUMMYFUNCTION("REGEXREPLACE(REGEXEXTRACT(F61, ""г\)\s*(.*)""), ""^\s*"", """")"),"Позволяет летать")</f>
        <v>Позволяет летать</v>
      </c>
      <c r="F61" s="7" t="s">
        <v>65</v>
      </c>
      <c r="V61" s="6"/>
      <c r="W61" s="8"/>
    </row>
    <row r="62" ht="14.25" customHeight="1">
      <c r="A62" s="6" t="str">
        <f>IFERROR(__xludf.DUMMYFUNCTION("REGEXEXTRACT(F62, ""s*(.*?)\s*а\)"")"),"Как называется стол для улучшения предметов с помощью книг?")</f>
        <v>Как называется стол для улучшения предметов с помощью книг?</v>
      </c>
      <c r="B62" s="6" t="str">
        <f>IFERROR(__xludf.DUMMYFUNCTION("REGEXREPLACE(REGEXEXTRACT(F62, ""а\)\s*(.*?)\s*б\)""), ""^\s*"", """")"),"Наковальня")</f>
        <v>Наковальня</v>
      </c>
      <c r="C62" s="6" t="str">
        <f>IFERROR(__xludf.DUMMYFUNCTION("REGEXREPLACE(REGEXEXTRACT(F62, ""б\)\s*(.*?)\s*в\)""), ""^\s*"", """")"),"Печь")</f>
        <v>Печь</v>
      </c>
      <c r="D62" s="6" t="str">
        <f>IFERROR(__xludf.DUMMYFUNCTION("REGEXREPLACE(REGEXEXTRACT(F62, ""в\)\s*(.*?)\s*г\)""), ""^\s*"", """")"),"Верстак")</f>
        <v>Верстак</v>
      </c>
      <c r="E62" s="6" t="str">
        <f>IFERROR(__xludf.DUMMYFUNCTION("REGEXREPLACE(REGEXEXTRACT(F62, ""г\)\s*(.*)""), ""^\s*"", """")"),"Стол зачарований")</f>
        <v>Стол зачарований</v>
      </c>
      <c r="F62" s="7" t="s">
        <v>66</v>
      </c>
      <c r="V62" s="6"/>
      <c r="W62" s="8"/>
    </row>
    <row r="63" ht="14.25" customHeight="1">
      <c r="A63" s="6" t="str">
        <f>IFERROR(__xludf.DUMMYFUNCTION("REGEXEXTRACT(F63, ""s*(.*?)\s*а\)"")"),"Что произойдет, если переименовать поборника в ""Johnny"" с помощью бирки?")</f>
        <v>Что произойдет, если переименовать поборника в "Johnny" с помощью бирки?</v>
      </c>
      <c r="B63" s="6" t="str">
        <f>IFERROR(__xludf.DUMMYFUNCTION("REGEXREPLACE(REGEXEXTRACT(F63, ""а\)\s*(.*?)\s*б\)""), ""^\s*"", """")"),"Он станет враждебным ко всем мобам")</f>
        <v>Он станет враждебным ко всем мобам</v>
      </c>
      <c r="C63" s="6" t="str">
        <f>IFERROR(__xludf.DUMMYFUNCTION("REGEXREPLACE(REGEXEXTRACT(F63, ""б\)\s*(.*?)\s*в\)""), ""^\s*"", """")"),"Он начнет танцевать")</f>
        <v>Он начнет танцевать</v>
      </c>
      <c r="D63" s="6" t="str">
        <f>IFERROR(__xludf.DUMMYFUNCTION("REGEXREPLACE(REGEXEXTRACT(F63, ""в\)\s*(.*?)\s*г\)""), ""^\s*"", """")"),"Он первевернется вниз головой")</f>
        <v>Он первевернется вниз головой</v>
      </c>
      <c r="E63" s="6" t="str">
        <f>IFERROR(__xludf.DUMMYFUNCTION("REGEXREPLACE(REGEXEXTRACT(F63, ""г\)\s*(.*)""), ""^\s*"", """")"),"Он станет пассивным")</f>
        <v>Он станет пассивным</v>
      </c>
      <c r="F63" s="7" t="s">
        <v>67</v>
      </c>
      <c r="V63" s="6"/>
      <c r="W63" s="8"/>
    </row>
    <row r="64" ht="14.25" customHeight="1">
      <c r="A64" s="6" t="str">
        <f>IFERROR(__xludf.DUMMYFUNCTION("REGEXEXTRACT(F64, ""s*(.*?)\s*а\)"")"),"Где в Нижнем мире появляются страйдеры?")</f>
        <v>Где в Нижнем мире появляются страйдеры?</v>
      </c>
      <c r="B64" s="6" t="str">
        <f>IFERROR(__xludf.DUMMYFUNCTION("REGEXREPLACE(REGEXEXTRACT(F64, ""а\)\s*(.*?)\s*б\)""), ""^\s*"", """")"),"В лавовых озерах")</f>
        <v>В лавовых озерах</v>
      </c>
      <c r="C64" s="6" t="str">
        <f>IFERROR(__xludf.DUMMYFUNCTION("REGEXREPLACE(REGEXEXTRACT(F64, ""б\)\s*(.*?)\s*в\)""), ""^\s*"", """")"),"В долине песка душ")</f>
        <v>В долине песка душ</v>
      </c>
      <c r="D64" s="6" t="str">
        <f>IFERROR(__xludf.DUMMYFUNCTION("REGEXREPLACE(REGEXEXTRACT(F64, ""в\)\s*(.*?)\s*г\)""), ""^\s*"", """")"),"В багровом лесу")</f>
        <v>В багровом лесу</v>
      </c>
      <c r="E64" s="6" t="str">
        <f>IFERROR(__xludf.DUMMYFUNCTION("REGEXREPLACE(REGEXEXTRACT(F64, ""г\)\s*(.*)""), ""^\s*"", """")"),"В искаженном лесу")</f>
        <v>В искаженном лесу</v>
      </c>
      <c r="F64" s="7" t="s">
        <v>68</v>
      </c>
      <c r="V64" s="6"/>
      <c r="W64" s="8"/>
    </row>
    <row r="65" ht="14.25" customHeight="1">
      <c r="A65" s="6" t="str">
        <f>IFERROR(__xludf.DUMMYFUNCTION("REGEXEXTRACT(F65, ""s*(.*?)\s*а\)"")"),"Какое зачарование несовместимо с зачарованием ""Верность"" на трезубце?")</f>
        <v>Какое зачарование несовместимо с зачарованием "Верность" на трезубце?</v>
      </c>
      <c r="B65" s="6" t="str">
        <f>IFERROR(__xludf.DUMMYFUNCTION("REGEXREPLACE(REGEXEXTRACT(F65, ""а\)\s*(.*?)\s*б\)""), ""^\s*"", """")"),"Тягун")</f>
        <v>Тягун</v>
      </c>
      <c r="C65" s="6" t="str">
        <f>IFERROR(__xludf.DUMMYFUNCTION("REGEXREPLACE(REGEXEXTRACT(F65, ""б\)\s*(.*?)\s*в\)""), ""^\s*"", """")"),"Пронзатель")</f>
        <v>Пронзатель</v>
      </c>
      <c r="D65" s="6" t="str">
        <f>IFERROR(__xludf.DUMMYFUNCTION("REGEXREPLACE(REGEXEXTRACT(F65, ""в\)\s*(.*?)\s*г\)""), ""^\s*"", """")"),"Громовержец")</f>
        <v>Громовержец</v>
      </c>
      <c r="E65" s="6" t="str">
        <f>IFERROR(__xludf.DUMMYFUNCTION("REGEXREPLACE(REGEXEXTRACT(F65, ""г\)\s*(.*)""), ""^\s*"", """")"),"Починка")</f>
        <v>Починка</v>
      </c>
      <c r="F65" s="7" t="s">
        <v>69</v>
      </c>
      <c r="V65" s="6"/>
      <c r="W65" s="8"/>
    </row>
    <row r="66" ht="14.25" customHeight="1">
      <c r="A66" s="6" t="str">
        <f>IFERROR(__xludf.DUMMYFUNCTION("REGEXEXTRACT(F66, ""s*(.*?)\s*а\)"")"),"Что используется в качестве ""топлива"" для стола кузнеца при создании незеритовых предметов?")</f>
        <v>Что используется в качестве "топлива" для стола кузнеца при создании незеритовых предметов?</v>
      </c>
      <c r="B66" s="6" t="str">
        <f>IFERROR(__xludf.DUMMYFUNCTION("REGEXREPLACE(REGEXEXTRACT(F66, ""а\)\s*(.*?)\s*б\)""), ""^\s*"", """")"),"Ничего")</f>
        <v>Ничего</v>
      </c>
      <c r="C66" s="6" t="str">
        <f>IFERROR(__xludf.DUMMYFUNCTION("REGEXREPLACE(REGEXEXTRACT(F66, ""б\)\s*(.*?)\s*в\)""), ""^\s*"", """")"),"Алмазы")</f>
        <v>Алмазы</v>
      </c>
      <c r="D66" s="6" t="str">
        <f>IFERROR(__xludf.DUMMYFUNCTION("REGEXREPLACE(REGEXEXTRACT(F66, ""в\)\s*(.*?)\s*г\)""), ""^\s*"", """")"),"Угольные блоки")</f>
        <v>Угольные блоки</v>
      </c>
      <c r="E66" s="6" t="str">
        <f>IFERROR(__xludf.DUMMYFUNCTION("REGEXREPLACE(REGEXEXTRACT(F66, ""г\)\s*(.*)""), ""^\s*"", """")"),"Огненные стержни")</f>
        <v>Огненные стержни</v>
      </c>
      <c r="F66" s="7" t="s">
        <v>70</v>
      </c>
      <c r="V66" s="6"/>
      <c r="W66" s="8"/>
    </row>
    <row r="67" ht="14.25" customHeight="1">
      <c r="A67" s="6" t="str">
        <f>IFERROR(__xludf.DUMMYFUNCTION("REGEXEXTRACT(F67, ""s*(.*?)\s*а\)"")"),"В каких чанках могут спауниться слизни под землей, независимо от биома?")</f>
        <v>В каких чанках могут спауниться слизни под землей, независимо от биома?</v>
      </c>
      <c r="B67" s="6" t="str">
        <f>IFERROR(__xludf.DUMMYFUNCTION("REGEXREPLACE(REGEXEXTRACT(F67, ""а\)\s*(.*?)\s*б\)""), ""^\s*"", """")"),"В ""слайм-чанках""")</f>
        <v>В "слайм-чанках"</v>
      </c>
      <c r="C67" s="6" t="str">
        <f>IFERROR(__xludf.DUMMYFUNCTION("REGEXREPLACE(REGEXEXTRACT(F67, ""б\)\s*(.*?)\s*в\)""), ""^\s*"", """")"),"Только на болоте")</f>
        <v>Только на болоте</v>
      </c>
      <c r="D67" s="6" t="str">
        <f>IFERROR(__xludf.DUMMYFUNCTION("REGEXREPLACE(REGEXEXTRACT(F67, ""в\)\s*(.*?)\s*г\)""), ""^\s*"", """")"),"В любых пещерах")</f>
        <v>В любых пещерах</v>
      </c>
      <c r="E67" s="6" t="str">
        <f>IFERROR(__xludf.DUMMYFUNCTION("REGEXREPLACE(REGEXEXTRACT(F67, ""г\)\s*(.*)""), ""^\s*"", """")"),"В чанках с большим количеством воды")</f>
        <v>В чанках с большим количеством воды</v>
      </c>
      <c r="F67" s="7" t="s">
        <v>71</v>
      </c>
      <c r="V67" s="6"/>
      <c r="W67" s="8"/>
    </row>
    <row r="68" ht="14.25" customHeight="1">
      <c r="A68" s="6" t="str">
        <f>IFERROR(__xludf.DUMMYFUNCTION("REGEXEXTRACT(F68, ""s*(.*?)\s*а\)"")"),"При каком условии железный голем, созданный жителями, может атаковать игрока?")</f>
        <v>При каком условии железный голем, созданный жителями, может атаковать игрока?</v>
      </c>
      <c r="B68" s="6" t="str">
        <f>IFERROR(__xludf.DUMMYFUNCTION("REGEXREPLACE(REGEXEXTRACT(F68, ""а\)\s*(.*?)\s*б\)""), ""^\s*"", """")"),"Игрок ударит жителя")</f>
        <v>Игрок ударит жителя</v>
      </c>
      <c r="C68" s="6" t="str">
        <f>IFERROR(__xludf.DUMMYFUNCTION("REGEXREPLACE(REGEXEXTRACT(F68, ""б\)\s*(.*?)\s*в\)""), ""^\s*"", """")"),"Игрок посмотрит ему в глаза")</f>
        <v>Игрок посмотрит ему в глаза</v>
      </c>
      <c r="D68" s="6" t="str">
        <f>IFERROR(__xludf.DUMMYFUNCTION("REGEXREPLACE(REGEXEXTRACT(F68, ""в\)\s*(.*?)\s*г\)""), ""^\s*"", """")"),"Игрок возьмет предметы из кузницы")</f>
        <v>Игрок возьмет предметы из кузницы</v>
      </c>
      <c r="E68" s="6" t="str">
        <f>IFERROR(__xludf.DUMMYFUNCTION("REGEXREPLACE(REGEXEXTRACT(F68, ""г\)\s*(.*)""), ""^\s*"", """")"),"Никогда")</f>
        <v>Никогда</v>
      </c>
      <c r="F68" s="7" t="s">
        <v>72</v>
      </c>
      <c r="V68" s="6"/>
      <c r="W68" s="8"/>
    </row>
    <row r="69" ht="14.25" customHeight="1">
      <c r="A69" s="6" t="str">
        <f>IFERROR(__xludf.DUMMYFUNCTION("REGEXEXTRACT(F69, ""s*(.*?)\s*а\)"")"),"Какой из этих эффектов можно получить от подозрительного рагу, приготовленного с одуванчиком?")</f>
        <v>Какой из этих эффектов можно получить от подозрительного рагу, приготовленного с одуванчиком?</v>
      </c>
      <c r="B69" s="6" t="str">
        <f>IFERROR(__xludf.DUMMYFUNCTION("REGEXREPLACE(REGEXEXTRACT(F69, ""а\)\s*(.*?)\s*б\)""), ""^\s*"", """")"),"Насыщение")</f>
        <v>Насыщение</v>
      </c>
      <c r="C69" s="6" t="str">
        <f>IFERROR(__xludf.DUMMYFUNCTION("REGEXREPLACE(REGEXEXTRACT(F69, ""б\)\s*(.*?)\s*в\)""), ""^\s*"", """")"),"Скорость")</f>
        <v>Скорость</v>
      </c>
      <c r="D69" s="6" t="str">
        <f>IFERROR(__xludf.DUMMYFUNCTION("REGEXREPLACE(REGEXEXTRACT(F69, ""в\)\s*(.*?)\s*г\)""), ""^\s*"", """")"),"Регенерация")</f>
        <v>Регенерация</v>
      </c>
      <c r="E69" s="6" t="str">
        <f>IFERROR(__xludf.DUMMYFUNCTION("REGEXREPLACE(REGEXEXTRACT(F69, ""г\)\s*(.*)""), ""^\s*"", """")"),"Прыгучесть")</f>
        <v>Прыгучесть</v>
      </c>
      <c r="F69" s="7" t="s">
        <v>73</v>
      </c>
      <c r="V69" s="6"/>
      <c r="W69" s="8"/>
    </row>
    <row r="70" ht="14.25" customHeight="1">
      <c r="A70" s="6" t="str">
        <f>IFERROR(__xludf.DUMMYFUNCTION("REGEXEXTRACT(F70, ""s*(.*?)\s*а\)"")"),"Какой блок необходим для привязки компаса к определенному месту?")</f>
        <v>Какой блок необходим для привязки компаса к определенному месту?</v>
      </c>
      <c r="B70" s="6" t="str">
        <f>IFERROR(__xludf.DUMMYFUNCTION("REGEXREPLACE(REGEXEXTRACT(F70, ""а\)\s*(.*?)\s*б\)""), ""^\s*"", """")"),"Магнетит (Lodestone)")</f>
        <v>Магнетит (Lodestone)</v>
      </c>
      <c r="C70" s="6" t="str">
        <f>IFERROR(__xludf.DUMMYFUNCTION("REGEXREPLACE(REGEXEXTRACT(F70, ""б\)\s*(.*?)\s*в\)""), ""^\s*"", """")"),"Алмазный блок")</f>
        <v>Алмазный блок</v>
      </c>
      <c r="D70" s="6" t="str">
        <f>IFERROR(__xludf.DUMMYFUNCTION("REGEXREPLACE(REGEXEXTRACT(F70, ""в\)\s*(.*?)\s*г\)""), ""^\s*"", """")"),"Редстоуновый блок")</f>
        <v>Редстоуновый блок</v>
      </c>
      <c r="E70" s="6" t="str">
        <f>IFERROR(__xludf.DUMMYFUNCTION("REGEXREPLACE(REGEXEXTRACT(F70, ""г\)\s*(.*)""), ""^\s*"", """")"),"Незеритовый блок")</f>
        <v>Незеритовый блок</v>
      </c>
      <c r="F70" s="7" t="s">
        <v>74</v>
      </c>
      <c r="V70" s="6"/>
      <c r="W70" s="8"/>
    </row>
    <row r="71" ht="14.25" customHeight="1">
      <c r="A71" s="6" t="str">
        <f>IFERROR(__xludf.DUMMYFUNCTION("REGEXEXTRACT(F71, ""s*(.*?)\s*а\)"")"),"Какой ингредиент необходим для создания зелья медленного падения?")</f>
        <v>Какой ингредиент необходим для создания зелья медленного падения?</v>
      </c>
      <c r="B71" s="6" t="str">
        <f>IFERROR(__xludf.DUMMYFUNCTION("REGEXREPLACE(REGEXEXTRACT(F71, ""а\)\s*(.*?)\s*б\)""), ""^\s*"", """")"),"Фантомная мембрана")</f>
        <v>Фантомная мембрана</v>
      </c>
      <c r="C71" s="6" t="str">
        <f>IFERROR(__xludf.DUMMYFUNCTION("REGEXREPLACE(REGEXEXTRACT(F71, ""б\)\s*(.*?)\s*в\)""), ""^\s*"", """")"),"Сахар")</f>
        <v>Сахар</v>
      </c>
      <c r="D71" s="6" t="str">
        <f>IFERROR(__xludf.DUMMYFUNCTION("REGEXREPLACE(REGEXEXTRACT(F71, ""в\)\s*(.*?)\s*г\)""), ""^\s*"", """")"),"Кроличья лапка")</f>
        <v>Кроличья лапка</v>
      </c>
      <c r="E71" s="6" t="str">
        <f>IFERROR(__xludf.DUMMYFUNCTION("REGEXREPLACE(REGEXEXTRACT(F71, ""г\)\s*(.*)""), ""^\s*"", """")"),"Слеза гаста")</f>
        <v>Слеза гаста</v>
      </c>
      <c r="F71" s="9" t="s">
        <v>75</v>
      </c>
      <c r="V71" s="6"/>
    </row>
    <row r="72" ht="14.25" customHeight="1">
      <c r="A72" s="6" t="str">
        <f>IFERROR(__xludf.DUMMYFUNCTION("REGEXEXTRACT(F72, ""s*(.*?)\s*а\)"")"),"С помощью какого блока можно снять зачарования с предмета, получив при этом опыт?")</f>
        <v>С помощью какого блока можно снять зачарования с предмета, получив при этом опыт?</v>
      </c>
      <c r="B72" s="6" t="str">
        <f>IFERROR(__xludf.DUMMYFUNCTION("REGEXREPLACE(REGEXEXTRACT(F72, ""а\)\s*(.*?)\s*б\)""), ""^\s*"", """")"),"Точило")</f>
        <v>Точило</v>
      </c>
      <c r="C72" s="6" t="str">
        <f>IFERROR(__xludf.DUMMYFUNCTION("REGEXREPLACE(REGEXEXTRACT(F72, ""б\)\s*(.*?)\s*в\)""), ""^\s*"", """")"),"Наковальня")</f>
        <v>Наковальня</v>
      </c>
      <c r="D72" s="6" t="str">
        <f>IFERROR(__xludf.DUMMYFUNCTION("REGEXREPLACE(REGEXEXTRACT(F72, ""в\)\s*(.*?)\s*г\)""), ""^\s*"", """")"),"Стол зачарований")</f>
        <v>Стол зачарований</v>
      </c>
      <c r="E72" s="6" t="str">
        <f>IFERROR(__xludf.DUMMYFUNCTION("REGEXREPLACE(REGEXEXTRACT(F72, ""г\)\s*(.*)""), ""^\s*"", """")"),"Верстак")</f>
        <v>Верстак</v>
      </c>
      <c r="F72" s="9" t="s">
        <v>76</v>
      </c>
      <c r="V72" s="6"/>
    </row>
    <row r="73" ht="14.25" customHeight="1">
      <c r="A73" s="6" t="str">
        <f>IFERROR(__xludf.DUMMYFUNCTION("REGEXEXTRACT(F73, ""s*(.*?)\s*а\)"")"),"Какое действие заставляет козла сбросить рог?")</f>
        <v>Какое действие заставляет козла сбросить рог?</v>
      </c>
      <c r="B73" s="6" t="str">
        <f>IFERROR(__xludf.DUMMYFUNCTION("REGEXREPLACE(REGEXEXTRACT(F73, ""а\)\s*(.*?)\s*б\)""), ""^\s*"", """")"),"Когда он атакует и ударяется о твердый блок")</f>
        <v>Когда он атакует и ударяется о твердый блок</v>
      </c>
      <c r="C73" s="6" t="str">
        <f>IFERROR(__xludf.DUMMYFUNCTION("REGEXREPLACE(REGEXEXTRACT(F73, ""б\)\s*(.*?)\s*в\)""), ""^\s*"", """")"),"Когда игрок его стрижет")</f>
        <v>Когда игрок его стрижет</v>
      </c>
      <c r="D73" s="6" t="str">
        <f>IFERROR(__xludf.DUMMYFUNCTION("REGEXREPLACE(REGEXEXTRACT(F73, ""в\)\s*(.*?)\s*г\)""), ""^\s*"", """")"),"Когда в него попадает молния")</f>
        <v>Когда в него попадает молния</v>
      </c>
      <c r="E73" s="6" t="str">
        <f>IFERROR(__xludf.DUMMYFUNCTION("REGEXREPLACE(REGEXEXTRACT(F73, ""г\)\s*(.*)""), ""^\s*"", """")"),"Это случайное событие")</f>
        <v>Это случайное событие</v>
      </c>
      <c r="F73" s="9" t="s">
        <v>77</v>
      </c>
      <c r="V73" s="6"/>
    </row>
    <row r="74" ht="14.25" customHeight="1">
      <c r="A74" s="6" t="str">
        <f>IFERROR(__xludf.DUMMYFUNCTION("REGEXEXTRACT(F74, ""s*(.*?)\s*а\)"")"),"Какой моб может быть призван, если на блок скалк-катализатора попадает опыт от умершего моба?")</f>
        <v>Какой моб может быть призван, если на блок скалк-катализатора попадает опыт от умершего моба?</v>
      </c>
      <c r="B74" s="6" t="str">
        <f>IFERROR(__xludf.DUMMYFUNCTION("REGEXREPLACE(REGEXEXTRACT(F74, ""а\)\s*(.*?)\s*б\)""), ""^\s*"", """")"),"Никакой")</f>
        <v>Никакой</v>
      </c>
      <c r="C74" s="6" t="str">
        <f>IFERROR(__xludf.DUMMYFUNCTION("REGEXREPLACE(REGEXEXTRACT(F74, ""б\)\s*(.*?)\s*в\)""), ""^\s*"", """")"),"Варден")</f>
        <v>Варден</v>
      </c>
      <c r="D74" s="6" t="str">
        <f>IFERROR(__xludf.DUMMYFUNCTION("REGEXREPLACE(REGEXEXTRACT(F74, ""в\)\s*(.*?)\s*г\)""), ""^\s*"", """")"),"Скалк-крикун")</f>
        <v>Скалк-крикун</v>
      </c>
      <c r="E74" s="6" t="str">
        <f>IFERROR(__xludf.DUMMYFUNCTION("REGEXREPLACE(REGEXEXTRACT(F74, ""г\)\s*(.*)""), ""^\s*"", """")"),"Скалк-сенсор")</f>
        <v>Скалк-сенсор</v>
      </c>
      <c r="F74" s="9" t="s">
        <v>78</v>
      </c>
      <c r="V74" s="6"/>
    </row>
    <row r="75" ht="14.25" customHeight="1">
      <c r="A75" s="6" t="str">
        <f>IFERROR(__xludf.DUMMYFUNCTION("REGEXEXTRACT(F75, ""s*(.*?)\s*а\)"")"),"Какая еда нужна для размножения панд?")</f>
        <v>Какая еда нужна для размножения панд?</v>
      </c>
      <c r="B75" s="6" t="str">
        <f>IFERROR(__xludf.DUMMYFUNCTION("REGEXREPLACE(REGEXEXTRACT(F75, ""а\)\s*(.*?)\s*б\)""), ""^\s*"", """")"),"Бамбук")</f>
        <v>Бамбук</v>
      </c>
      <c r="C75" s="6" t="str">
        <f>IFERROR(__xludf.DUMMYFUNCTION("REGEXREPLACE(REGEXEXTRACT(F75, ""б\)\s*(.*?)\s*в\)""), ""^\s*"", """")"),"Яблоки")</f>
        <v>Яблоки</v>
      </c>
      <c r="D75" s="6" t="str">
        <f>IFERROR(__xludf.DUMMYFUNCTION("REGEXREPLACE(REGEXEXTRACT(F75, ""в\)\s*(.*?)\s*г\)""), ""^\s*"", """")"),"Торт")</f>
        <v>Торт</v>
      </c>
      <c r="E75" s="6" t="str">
        <f>IFERROR(__xludf.DUMMYFUNCTION("REGEXREPLACE(REGEXEXTRACT(F75, ""г\)\s*(.*)""), ""^\s*"", """")"),"Сахарный тростник")</f>
        <v>Сахарный тростник</v>
      </c>
      <c r="F75" s="9" t="s">
        <v>79</v>
      </c>
      <c r="V75" s="6"/>
    </row>
    <row r="76" ht="14.25" customHeight="1">
      <c r="A76" s="6" t="str">
        <f>IFERROR(__xludf.DUMMYFUNCTION("REGEXEXTRACT(F76, ""s*(.*?)\s*а\)"")"),"Что будет, если во время рейда игрок ударит в колокол?")</f>
        <v>Что будет, если во время рейда игрок ударит в колокол?</v>
      </c>
      <c r="B76" s="6" t="str">
        <f>IFERROR(__xludf.DUMMYFUNCTION("REGEXREPLACE(REGEXEXTRACT(F76, ""а\)\s*(.*?)\s*б\)""), ""^\s*"", """")"),"Разбойники подсветятся")</f>
        <v>Разбойники подсветятся</v>
      </c>
      <c r="C76" s="6" t="str">
        <f>IFERROR(__xludf.DUMMYFUNCTION("REGEXREPLACE(REGEXEXTRACT(F76, ""б\)\s*(.*?)\s*в\)""), ""^\s*"", """")"),"Рейд прекратится")</f>
        <v>Рейд прекратится</v>
      </c>
      <c r="D76" s="6" t="str">
        <f>IFERROR(__xludf.DUMMYFUNCTION("REGEXREPLACE(REGEXEXTRACT(F76, ""в\)\s*(.*?)\s*г\)""), ""^\s*"", """")"),"Появится железный голем")</f>
        <v>Появится железный голем</v>
      </c>
      <c r="E76" s="6" t="str">
        <f>IFERROR(__xludf.DUMMYFUNCTION("REGEXREPLACE(REGEXEXTRACT(F76, ""г\)\s*(.*)""), ""^\s*"", """")"),"Жители прячутся еще быстрее")</f>
        <v>Жители прячутся еще быстрее</v>
      </c>
      <c r="F76" s="9" t="s">
        <v>80</v>
      </c>
      <c r="V76" s="6"/>
    </row>
    <row r="77" ht="14.25" customHeight="1">
      <c r="A77" s="6" t="str">
        <f>IFERROR(__xludf.DUMMYFUNCTION("REGEXEXTRACT(F77, ""s*(.*?)\s*а\)"")"),"Что нужно сделать, чтобы получить достижение ""Не дождётесь!""?")</f>
        <v>Что нужно сделать, чтобы получить достижение "Не дождётесь!"?</v>
      </c>
      <c r="B77" s="6" t="str">
        <f>IFERROR(__xludf.DUMMYFUNCTION("REGEXREPLACE(REGEXEXTRACT(F77, ""а\)\s*(.*?)\s*б\)""), ""^\s*"", """")"),"Отразить щитом любой снаряд.")</f>
        <v>Отразить щитом любой снаряд.</v>
      </c>
      <c r="C77" s="6" t="str">
        <f>IFERROR(__xludf.DUMMYFUNCTION("REGEXREPLACE(REGEXEXTRACT(F77, ""б\)\s*(.*?)\s*в\)""), ""^\s*"", """")"),"Войти в портал Нижнего мира")</f>
        <v>Войти в портал Нижнего мира</v>
      </c>
      <c r="D77" s="6" t="str">
        <f>IFERROR(__xludf.DUMMYFUNCTION("REGEXREPLACE(REGEXEXTRACT(F77, ""в\)\s*(.*?)\s*г\)""), ""^\s*"", """")"),"Выстрелить из арбалета")</f>
        <v>Выстрелить из арбалета</v>
      </c>
      <c r="E77" s="6" t="str">
        <f>IFERROR(__xludf.DUMMYFUNCTION("REGEXREPLACE(REGEXEXTRACT(F77, ""г\)\s*(.*)""), ""^\s*"", """")"),"Не дождаться")</f>
        <v>Не дождаться</v>
      </c>
      <c r="F77" s="9" t="s">
        <v>81</v>
      </c>
      <c r="V77" s="6"/>
    </row>
    <row r="78" ht="14.25" customHeight="1">
      <c r="A78" s="6" t="str">
        <f>IFERROR(__xludf.DUMMYFUNCTION("REGEXEXTRACT(F78, ""s*(.*?)\s*а\)"")"),"Какая структура является единственным местом, где можно найти осколки эха?")</f>
        <v>Какая структура является единственным местом, где можно найти осколки эха?</v>
      </c>
      <c r="B78" s="6" t="str">
        <f>IFERROR(__xludf.DUMMYFUNCTION("REGEXREPLACE(REGEXEXTRACT(F78, ""а\)\s*(.*?)\s*б\)""), ""^\s*"", """")"),"Древний город")</f>
        <v>Древний город</v>
      </c>
      <c r="C78" s="6" t="str">
        <f>IFERROR(__xludf.DUMMYFUNCTION("REGEXREPLACE(REGEXEXTRACT(F78, ""б\)\s*(.*?)\s*в\)""), ""^\s*"", """")"),"Лесной особняк")</f>
        <v>Лесной особняк</v>
      </c>
      <c r="D78" s="6" t="str">
        <f>IFERROR(__xludf.DUMMYFUNCTION("REGEXREPLACE(REGEXEXTRACT(F78, ""в\)\s*(.*?)\s*г\)""), ""^\s*"", """")"),"Адская крепость")</f>
        <v>Адская крепость</v>
      </c>
      <c r="E78" s="6" t="str">
        <f>IFERROR(__xludf.DUMMYFUNCTION("REGEXREPLACE(REGEXEXTRACT(F78, ""г\)\s*(.*)""), ""^\s*"", """")"),"Город Края")</f>
        <v>Город Края</v>
      </c>
      <c r="F78" s="9" t="s">
        <v>82</v>
      </c>
      <c r="V78" s="6"/>
    </row>
    <row r="79" ht="14.25" customHeight="1">
      <c r="A79" s="6" t="str">
        <f>IFERROR(__xludf.DUMMYFUNCTION("REGEXEXTRACT(F79, ""s*(.*?)\s*а\)"")"),"Какой из этих предметов нельзя положить в шалкеровый ящик?")</f>
        <v>Какой из этих предметов нельзя положить в шалкеровый ящик?</v>
      </c>
      <c r="B79" s="6" t="str">
        <f>IFERROR(__xludf.DUMMYFUNCTION("REGEXREPLACE(REGEXEXTRACT(F79, ""а\)\s*(.*?)\s*б\)""), ""^\s*"", """")"),"Другой шалкеровый ящик")</f>
        <v>Другой шалкеровый ящик</v>
      </c>
      <c r="C79" s="6" t="str">
        <f>IFERROR(__xludf.DUMMYFUNCTION("REGEXREPLACE(REGEXEXTRACT(F79, ""б\)\s*(.*?)\s*в\)""), ""^\s*"", """")"),"Сундук края")</f>
        <v>Сундук края</v>
      </c>
      <c r="D79" s="6" t="str">
        <f>IFERROR(__xludf.DUMMYFUNCTION("REGEXREPLACE(REGEXEXTRACT(F79, ""в\)\s*(.*?)\s*г\)""), ""^\s*"", """")"),"Незеритовый слиток")</f>
        <v>Незеритовый слиток</v>
      </c>
      <c r="E79" s="6" t="str">
        <f>IFERROR(__xludf.DUMMYFUNCTION("REGEXREPLACE(REGEXEXTRACT(F79, ""г\)\s*(.*)""), ""^\s*"", """")"),"Голову дракона")</f>
        <v>Голову дракона</v>
      </c>
      <c r="F79" s="9" t="s">
        <v>83</v>
      </c>
      <c r="V79" s="6"/>
    </row>
    <row r="80" ht="14.25" customHeight="1">
      <c r="A80" s="6" t="str">
        <f>IFERROR(__xludf.DUMMYFUNCTION("REGEXEXTRACT(F80, ""s*(.*?)\s*а\)"")"),"Какое растение в Нижнем мире отпугивает хоглинов?")</f>
        <v>Какое растение в Нижнем мире отпугивает хоглинов?</v>
      </c>
      <c r="B80" s="6" t="str">
        <f>IFERROR(__xludf.DUMMYFUNCTION("REGEXREPLACE(REGEXEXTRACT(F80, ""а\)\s*(.*?)\s*б\)""), ""^\s*"", """")"),"Искаженные грибы")</f>
        <v>Искаженные грибы</v>
      </c>
      <c r="C80" s="6" t="str">
        <f>IFERROR(__xludf.DUMMYFUNCTION("REGEXREPLACE(REGEXEXTRACT(F80, ""б\)\s*(.*?)\s*в\)""), ""^\s*"", """")"),"Багровые грибы")</f>
        <v>Багровые грибы</v>
      </c>
      <c r="D80" s="6" t="str">
        <f>IFERROR(__xludf.DUMMYFUNCTION("REGEXREPLACE(REGEXEXTRACT(F80, ""в\)\s*(.*?)\s*г\)""), ""^\s*"", """")"),"Адский нарост")</f>
        <v>Адский нарост</v>
      </c>
      <c r="E80" s="6" t="str">
        <f>IFERROR(__xludf.DUMMYFUNCTION("REGEXREPLACE(REGEXEXTRACT(F80, ""г\)\s*(.*)""), ""^\s*"", """")"),"Адские корни")</f>
        <v>Адские корни</v>
      </c>
      <c r="F80" s="9" t="s">
        <v>84</v>
      </c>
      <c r="V80" s="6"/>
    </row>
    <row r="81" ht="14.25" customHeight="1">
      <c r="A81" s="6" t="str">
        <f>IFERROR(__xludf.DUMMYFUNCTION("REGEXEXTRACT(F81, ""s*(.*?)\s*а\)"")"),"Какой предмет является основным при торговле с пиглинами?")</f>
        <v>Какой предмет является основным при торговле с пиглинами?</v>
      </c>
      <c r="B81" s="6" t="str">
        <f>IFERROR(__xludf.DUMMYFUNCTION("REGEXREPLACE(REGEXEXTRACT(F81, ""а\)\s*(.*?)\s*б\)""), ""^\s*"", """")"),"Золотой слиток")</f>
        <v>Золотой слиток</v>
      </c>
      <c r="C81" s="6" t="str">
        <f>IFERROR(__xludf.DUMMYFUNCTION("REGEXREPLACE(REGEXEXTRACT(F81, ""б\)\s*(.*?)\s*в\)""), ""^\s*"", """")"),"Золотой самородок")</f>
        <v>Золотой самородок</v>
      </c>
      <c r="D81" s="6" t="str">
        <f>IFERROR(__xludf.DUMMYFUNCTION("REGEXREPLACE(REGEXEXTRACT(F81, ""в\)\s*(.*?)\s*г\)""), ""^\s*"", """")"),"Позолоченный чернокамень")</f>
        <v>Позолоченный чернокамень</v>
      </c>
      <c r="E81" s="6" t="str">
        <f>IFERROR(__xludf.DUMMYFUNCTION("REGEXREPLACE(REGEXEXTRACT(F81, ""г\)\s*(.*)""), ""^\s*"", """")"),"Золотой блок")</f>
        <v>Золотой блок</v>
      </c>
      <c r="F81" s="9" t="s">
        <v>85</v>
      </c>
      <c r="V81" s="6"/>
    </row>
    <row r="82" ht="14.25" customHeight="1">
      <c r="A82" s="6" t="str">
        <f>IFERROR(__xludf.DUMMYFUNCTION("REGEXEXTRACT(F82, ""s*(.*?)\s*а\)"")"),"Какое зачарование для трезубца работает только во время дождя или в воде?")</f>
        <v>Какое зачарование для трезубца работает только во время дождя или в воде?</v>
      </c>
      <c r="B82" s="6" t="str">
        <f>IFERROR(__xludf.DUMMYFUNCTION("REGEXREPLACE(REGEXEXTRACT(F82, ""а\)\s*(.*?)\s*б\)""), ""^\s*"", """")"),"Тягун")</f>
        <v>Тягун</v>
      </c>
      <c r="C82" s="6" t="str">
        <f>IFERROR(__xludf.DUMMYFUNCTION("REGEXREPLACE(REGEXEXTRACT(F82, ""б\)\s*(.*?)\s*в\)""), ""^\s*"", """")"),"Громовержец")</f>
        <v>Громовержец</v>
      </c>
      <c r="D82" s="6" t="str">
        <f>IFERROR(__xludf.DUMMYFUNCTION("REGEXREPLACE(REGEXEXTRACT(F82, ""в\)\s*(.*?)\s*г\)""), ""^\s*"", """")"),"Верность")</f>
        <v>Верность</v>
      </c>
      <c r="E82" s="6" t="str">
        <f>IFERROR(__xludf.DUMMYFUNCTION("REGEXREPLACE(REGEXEXTRACT(F82, ""г\)\s*(.*)""), ""^\s*"", """")"),"Пронзатель")</f>
        <v>Пронзатель</v>
      </c>
      <c r="F82" s="9" t="s">
        <v>86</v>
      </c>
      <c r="V82" s="6"/>
    </row>
    <row r="83" ht="14.25" customHeight="1">
      <c r="A83" s="6" t="str">
        <f>IFERROR(__xludf.DUMMYFUNCTION("REGEXEXTRACT(F83, ""s*(.*?)\s*а\)"")"),"Что происходит с пчелой после того, как она ужалит игрока?")</f>
        <v>Что происходит с пчелой после того, как она ужалит игрока?</v>
      </c>
      <c r="B83" s="6" t="str">
        <f>IFERROR(__xludf.DUMMYFUNCTION("REGEXREPLACE(REGEXEXTRACT(F83, ""а\)\s*(.*?)\s*б\)""), ""^\s*"", """")"),"Теряет жало и через время умирает")</f>
        <v>Теряет жало и через время умирает</v>
      </c>
      <c r="C83" s="6" t="str">
        <f>IFERROR(__xludf.DUMMYFUNCTION("REGEXREPLACE(REGEXEXTRACT(F83, ""б\)\s*(.*?)\s*в\)""), ""^\s*"", """")"),"Становится нейтральной")</f>
        <v>Становится нейтральной</v>
      </c>
      <c r="D83" s="6" t="str">
        <f>IFERROR(__xludf.DUMMYFUNCTION("REGEXREPLACE(REGEXEXTRACT(F83, ""в\)\s*(.*?)\s*г\)""), ""^\s*"", """")"),"Возвращается в улей за новым жалом")</f>
        <v>Возвращается в улей за новым жалом</v>
      </c>
      <c r="E83" s="6" t="str">
        <f>IFERROR(__xludf.DUMMYFUNCTION("REGEXREPLACE(REGEXEXTRACT(F83, ""г\)\s*(.*)""), ""^\s*"", """")"),"Ничего")</f>
        <v>Ничего</v>
      </c>
      <c r="F83" s="9" t="s">
        <v>87</v>
      </c>
      <c r="V83" s="6"/>
    </row>
    <row r="84" ht="14.25" customHeight="1">
      <c r="A84" s="6" t="str">
        <f>IFERROR(__xludf.DUMMYFUNCTION("REGEXEXTRACT(F84, ""s*(.*?)\s*а\)"")"),"Какой моб является единственным источником фантомных мембран?")</f>
        <v>Какой моб является единственным источником фантомных мембран?</v>
      </c>
      <c r="B84" s="6" t="str">
        <f>IFERROR(__xludf.DUMMYFUNCTION("REGEXREPLACE(REGEXEXTRACT(F84, ""а\)\s*(.*?)\s*б\)""), ""^\s*"", """")"),"Фантом")</f>
        <v>Фантом</v>
      </c>
      <c r="C84" s="6" t="str">
        <f>IFERROR(__xludf.DUMMYFUNCTION("REGEXREPLACE(REGEXEXTRACT(F84, ""б\)\s*(.*?)\s*в\)""), ""^\s*"", """")"),"Летучая мышь")</f>
        <v>Летучая мышь</v>
      </c>
      <c r="D84" s="6" t="str">
        <f>IFERROR(__xludf.DUMMYFUNCTION("REGEXREPLACE(REGEXEXTRACT(F84, ""в\)\s*(.*?)\s*г\)""), ""^\s*"", """")"),"Гаст")</f>
        <v>Гаст</v>
      </c>
      <c r="E84" s="6" t="str">
        <f>IFERROR(__xludf.DUMMYFUNCTION("REGEXREPLACE(REGEXEXTRACT(F84, ""г\)\s*(.*)""), ""^\s*"", """")"),"Ведьма")</f>
        <v>Ведьма</v>
      </c>
      <c r="F84" s="9" t="s">
        <v>88</v>
      </c>
      <c r="V84" s="6"/>
    </row>
    <row r="85" ht="14.25" customHeight="1">
      <c r="A85" s="6" t="str">
        <f>IFERROR(__xludf.DUMMYFUNCTION("REGEXEXTRACT(F85, ""s*(.*?)\s*а\)"")"),"Что делает эффект ""Плетения""?")</f>
        <v>Что делает эффект "Плетения"?</v>
      </c>
      <c r="B85" s="6" t="str">
        <f>IFERROR(__xludf.DUMMYFUNCTION("REGEXREPLACE(REGEXEXTRACT(F85, ""а\)\s*(.*?)\s*б\)""), ""^\s*"", """")"),"После смерти моба распространяет блоки паутины")</f>
        <v>После смерти моба распространяет блоки паутины</v>
      </c>
      <c r="C85" s="6" t="str">
        <f>IFERROR(__xludf.DUMMYFUNCTION("REGEXREPLACE(REGEXEXTRACT(F85, ""б\)\s*(.*?)\s*в\)""), ""^\s*"", """")"),"Восстанавливает голод")</f>
        <v>Восстанавливает голод</v>
      </c>
      <c r="D85" s="6" t="str">
        <f>IFERROR(__xludf.DUMMYFUNCTION("REGEXREPLACE(REGEXEXTRACT(F85, ""в\)\s*(.*?)\s*г\)""), ""^\s*"", """")"),"Ранит живых сущностей")</f>
        <v>Ранит живых сущностей</v>
      </c>
      <c r="E85" s="6" t="str">
        <f>IFERROR(__xludf.DUMMYFUNCTION("REGEXREPLACE(REGEXEXTRACT(F85, ""г\)\s*(.*)""), ""^\s*"", """")"),"Искажает зрение игрока")</f>
        <v>Искажает зрение игрока</v>
      </c>
      <c r="F85" s="9" t="s">
        <v>89</v>
      </c>
      <c r="V85" s="6"/>
    </row>
    <row r="86" ht="14.25" customHeight="1">
      <c r="A86" s="6" t="str">
        <f>IFERROR(__xludf.DUMMYFUNCTION("REGEXEXTRACT(F86, ""s*(.*?)\s*а\)"")"),"Что делает команда ""/time""?")</f>
        <v>Что делает команда "/time"?</v>
      </c>
      <c r="B86" s="6" t="str">
        <f>IFERROR(__xludf.DUMMYFUNCTION("REGEXREPLACE(REGEXEXTRACT(F86, ""а\)\s*(.*?)\s*б\)""), ""^\s*"", """")"),"Меняет время суток")</f>
        <v>Меняет время суток</v>
      </c>
      <c r="C86" s="6" t="str">
        <f>IFERROR(__xludf.DUMMYFUNCTION("REGEXREPLACE(REGEXEXTRACT(F86, ""б\)\s*(.*?)\s*в\)""), ""^\s*"", """")"),"Призывает часы")</f>
        <v>Призывает часы</v>
      </c>
      <c r="D86" s="6" t="str">
        <f>IFERROR(__xludf.DUMMYFUNCTION("REGEXREPLACE(REGEXEXTRACT(F86, ""в\)\s*(.*?)\s*г\)""), ""^\s*"", """")"),"Показывает время суток")</f>
        <v>Показывает время суток</v>
      </c>
      <c r="E86" s="6" t="str">
        <f>IFERROR(__xludf.DUMMYFUNCTION("REGEXREPLACE(REGEXEXTRACT(F86, ""г\)\s*(.*)""), ""^\s*"", """")"),"Что это я не знаю английский")</f>
        <v>Что это я не знаю английский</v>
      </c>
      <c r="F86" s="9" t="s">
        <v>90</v>
      </c>
      <c r="V86" s="6"/>
    </row>
    <row r="87" ht="14.25" customHeight="1">
      <c r="A87" s="6" t="str">
        <f>IFERROR(__xludf.DUMMYFUNCTION("REGEXEXTRACT(F87, ""s*(.*?)\s*а\)"")"),"Какие ингредиенты нужны для зелья ""черепашьей мощи""?")</f>
        <v>Какие ингредиенты нужны для зелья "черепашьей мощи"?</v>
      </c>
      <c r="B87" s="6" t="str">
        <f>IFERROR(__xludf.DUMMYFUNCTION("REGEXREPLACE(REGEXEXTRACT(F87, ""а\)\s*(.*?)\s*б\)""), ""^\s*"", """")"),"Грубое зелье + Черепаший панцирь")</f>
        <v>Грубое зелье + Черепаший панцирь</v>
      </c>
      <c r="C87" s="6" t="str">
        <f>IFERROR(__xludf.DUMMYFUNCTION("REGEXREPLACE(REGEXEXTRACT(F87, ""б\)\s*(.*?)\s*в\)""), ""^\s*"", """")"),"Грубое зелье + Иглобрюх")</f>
        <v>Грубое зелье + Иглобрюх</v>
      </c>
      <c r="D87" s="6" t="str">
        <f>IFERROR(__xludf.DUMMYFUNCTION("REGEXREPLACE(REGEXEXTRACT(F87, ""в\)\s*(.*?)\s*г\)""), ""^\s*"", """")"),"Грубое зелье + Сахар")</f>
        <v>Грубое зелье + Сахар</v>
      </c>
      <c r="E87" s="6" t="str">
        <f>IFERROR(__xludf.DUMMYFUNCTION("REGEXREPLACE(REGEXEXTRACT(F87, ""г\)\s*(.*)""), ""^\s*"", """")"),"Грубое зелье + Черепаший щиток")</f>
        <v>Грубое зелье + Черепаший щиток</v>
      </c>
      <c r="F87" s="9" t="s">
        <v>91</v>
      </c>
      <c r="V87" s="6"/>
    </row>
    <row r="88" ht="14.25" customHeight="1">
      <c r="A88" s="6" t="str">
        <f>IFERROR(__xludf.DUMMYFUNCTION("REGEXEXTRACT(F88, ""s*(.*?)\s*а\)"")"),"Какой эффект дает зачарование ""Скорость души""?")</f>
        <v>Какой эффект дает зачарование "Скорость души"?</v>
      </c>
      <c r="B88" s="6" t="str">
        <f>IFERROR(__xludf.DUMMYFUNCTION("REGEXREPLACE(REGEXEXTRACT(F88, ""а\)\s*(.*?)\s*б\)""), ""^\s*"", """")"),"Ускоряет передвижение по песку душ и земле душ")</f>
        <v>Ускоряет передвижение по песку душ и земле душ</v>
      </c>
      <c r="C88" s="6" t="str">
        <f>IFERROR(__xludf.DUMMYFUNCTION("REGEXREPLACE(REGEXEXTRACT(F88, ""б\)\s*(.*?)\s*в\)""), ""^\s*"", """")"),"Позволяет бегать по воде")</f>
        <v>Позволяет бегать по воде</v>
      </c>
      <c r="D88" s="6" t="str">
        <f>IFERROR(__xludf.DUMMYFUNCTION("REGEXREPLACE(REGEXEXTRACT(F88, ""в\)\s*(.*?)\s*г\)""), ""^\s*"", """")"),"Увеличивает общую скорость бега")</f>
        <v>Увеличивает общую скорость бега</v>
      </c>
      <c r="E88" s="6" t="str">
        <f>IFERROR(__xludf.DUMMYFUNCTION("REGEXREPLACE(REGEXEXTRACT(F88, ""г\)\s*(.*)""), ""^\s*"", """")"),"Ускоряет душу")</f>
        <v>Ускоряет душу</v>
      </c>
      <c r="F88" s="9" t="s">
        <v>92</v>
      </c>
      <c r="V88" s="6"/>
    </row>
    <row r="89" ht="14.25" customHeight="1">
      <c r="A89" s="6" t="str">
        <f>IFERROR(__xludf.DUMMYFUNCTION("REGEXEXTRACT(F89, ""s*(.*?)\s*а\)"")"),"Что произойдет, если заряженный крипер убьет зомби, скелета или другого крипера?")</f>
        <v>Что произойдет, если заряженный крипер убьет зомби, скелета или другого крипера?</v>
      </c>
      <c r="B89" s="6" t="str">
        <f>IFERROR(__xludf.DUMMYFUNCTION("REGEXREPLACE(REGEXEXTRACT(F89, ""а\)\s*(.*?)\s*б\)""), ""^\s*"", """")"),"С убитого моба выпадет голова")</f>
        <v>С убитого моба выпадет голова</v>
      </c>
      <c r="C89" s="6" t="str">
        <f>IFERROR(__xludf.DUMMYFUNCTION("REGEXREPLACE(REGEXEXTRACT(F89, ""б\)\s*(.*?)\s*в\)""), ""^\s*"", """")"),"Моб просто умрет")</f>
        <v>Моб просто умрет</v>
      </c>
      <c r="D89" s="6" t="str">
        <f>IFERROR(__xludf.DUMMYFUNCTION("REGEXREPLACE(REGEXEXTRACT(F89, ""в\)\s*(.*?)\s*г\)""), ""^\s*"", """")"),"Моб станет заряженным")</f>
        <v>Моб станет заряженным</v>
      </c>
      <c r="E89" s="6" t="str">
        <f>IFERROR(__xludf.DUMMYFUNCTION("REGEXREPLACE(REGEXEXTRACT(F89, ""г\)\s*(.*)""), ""^\s*"", """")"),"Произойдет взрыв")</f>
        <v>Произойдет взрыв</v>
      </c>
      <c r="F89" s="9" t="s">
        <v>93</v>
      </c>
      <c r="V89" s="6"/>
    </row>
    <row r="90" ht="14.25" customHeight="1">
      <c r="A90" s="6" t="str">
        <f>IFERROR(__xludf.DUMMYFUNCTION("REGEXEXTRACT(F90, ""s*(.*?)\s*а\)"")"),"Какое зелье имеет противоположный эффект зелью силы?")</f>
        <v>Какое зелье имеет противоположный эффект зелью силы?</v>
      </c>
      <c r="B90" s="6" t="str">
        <f>IFERROR(__xludf.DUMMYFUNCTION("REGEXREPLACE(REGEXEXTRACT(F90, ""а\)\s*(.*?)\s*б\)""), ""^\s*"", """")"),"Зелье слабости")</f>
        <v>Зелье слабости</v>
      </c>
      <c r="C90" s="6" t="str">
        <f>IFERROR(__xludf.DUMMYFUNCTION("REGEXREPLACE(REGEXEXTRACT(F90, ""б\)\s*(.*?)\s*в\)""), ""^\s*"", """")"),"Зелье медлительности")</f>
        <v>Зелье медлительности</v>
      </c>
      <c r="D90" s="6" t="str">
        <f>IFERROR(__xludf.DUMMYFUNCTION("REGEXREPLACE(REGEXEXTRACT(F90, ""в\)\s*(.*?)\s*г\)""), ""^\s*"", """")"),"Зелье отравления")</f>
        <v>Зелье отравления</v>
      </c>
      <c r="E90" s="6" t="str">
        <f>IFERROR(__xludf.DUMMYFUNCTION("REGEXREPLACE(REGEXEXTRACT(F90, ""г\)\s*(.*)""), ""^\s*"", """")"),"Зелье вреда")</f>
        <v>Зелье вреда</v>
      </c>
      <c r="F90" s="9" t="s">
        <v>94</v>
      </c>
      <c r="V90" s="6"/>
    </row>
    <row r="91" ht="14.25" customHeight="1">
      <c r="A91" s="6" t="str">
        <f>IFERROR(__xludf.DUMMYFUNCTION("REGEXEXTRACT(F91, ""s*(.*?)\s*а\)"")"),"Какой блок может быть использован для создания ""лифта""?")</f>
        <v>Какой блок может быть использован для создания "лифта"?</v>
      </c>
      <c r="B91" s="6" t="str">
        <f>IFERROR(__xludf.DUMMYFUNCTION("REGEXREPLACE(REGEXEXTRACT(F91, ""а\)\s*(.*?)\s*б\)""), ""^\s*"", """")"),"Вода + Песок душ/Магма")</f>
        <v>Вода + Песок душ/Магма</v>
      </c>
      <c r="C91" s="6" t="str">
        <f>IFERROR(__xludf.DUMMYFUNCTION("REGEXREPLACE(REGEXEXTRACT(F91, ""б\)\s*(.*?)\s*в\)""), ""^\s*"", """")"),"Воздух")</f>
        <v>Воздух</v>
      </c>
      <c r="D91" s="6" t="str">
        <f>IFERROR(__xludf.DUMMYFUNCTION("REGEXREPLACE(REGEXEXTRACT(F91, ""в\)\s*(.*?)\s*г\)""), ""^\s*"", """")"),"Паутина")</f>
        <v>Паутина</v>
      </c>
      <c r="E91" s="6" t="str">
        <f>IFERROR(__xludf.DUMMYFUNCTION("REGEXREPLACE(REGEXEXTRACT(F91, ""г\)\s*(.*)""), ""^\s*"", """")"),"Лед")</f>
        <v>Лед</v>
      </c>
      <c r="F91" s="9" t="s">
        <v>95</v>
      </c>
      <c r="V91" s="6"/>
    </row>
    <row r="92" ht="14.25" customHeight="1">
      <c r="A92" s="6" t="str">
        <f>IFERROR(__xludf.DUMMYFUNCTION("REGEXEXTRACT(F92, ""s*(.*?)\s*а\)"")"),"Какой враждебный моб, атакует игрока зарядами ветра?")</f>
        <v>Какой враждебный моб, атакует игрока зарядами ветра?</v>
      </c>
      <c r="B92" s="6" t="str">
        <f>IFERROR(__xludf.DUMMYFUNCTION("REGEXREPLACE(REGEXEXTRACT(F92, ""а\)\s*(.*?)\s*б\)""), ""^\s*"", """")"),"Вихрь")</f>
        <v>Вихрь</v>
      </c>
      <c r="C92" s="6" t="str">
        <f>IFERROR(__xludf.DUMMYFUNCTION("REGEXREPLACE(REGEXEXTRACT(F92, ""б\)\s*(.*?)\s*в\)""), ""^\s*"", """")"),"Буря")</f>
        <v>Буря</v>
      </c>
      <c r="D92" s="6" t="str">
        <f>IFERROR(__xludf.DUMMYFUNCTION("REGEXREPLACE(REGEXEXTRACT(F92, ""в\)\s*(.*?)\s*г\)""), ""^\s*"", """")"),"Шторм")</f>
        <v>Шторм</v>
      </c>
      <c r="E92" s="6" t="str">
        <f>IFERROR(__xludf.DUMMYFUNCTION("REGEXREPLACE(REGEXEXTRACT(F92, ""г\)\s*(.*)""), ""^\s*"", """")"),"Дух ветра")</f>
        <v>Дух ветра</v>
      </c>
      <c r="F92" s="9" t="s">
        <v>96</v>
      </c>
      <c r="V92" s="6"/>
    </row>
    <row r="93" ht="14.25" customHeight="1">
      <c r="A93" s="6" t="str">
        <f>IFERROR(__xludf.DUMMYFUNCTION("REGEXEXTRACT(F93, ""s*(.*?)\s*а\)"")"),"Какой блок позволяет автоматизировать процесс крафта?")</f>
        <v>Какой блок позволяет автоматизировать процесс крафта?</v>
      </c>
      <c r="B93" s="6" t="str">
        <f>IFERROR(__xludf.DUMMYFUNCTION("REGEXREPLACE(REGEXEXTRACT(F93, ""а\)\s*(.*?)\s*б\)""), ""^\s*"", """")"),"Сборщик")</f>
        <v>Сборщик</v>
      </c>
      <c r="C93" s="6" t="str">
        <f>IFERROR(__xludf.DUMMYFUNCTION("REGEXREPLACE(REGEXEXTRACT(F93, ""б\)\s*(.*?)\s*в\)""), ""^\s*"", """")"),"Раздатчик")</f>
        <v>Раздатчик</v>
      </c>
      <c r="D93" s="6" t="str">
        <f>IFERROR(__xludf.DUMMYFUNCTION("REGEXREPLACE(REGEXEXTRACT(F93, ""в\)\s*(.*?)\s*г\)""), ""^\s*"", """")"),"Выбрасыватель")</f>
        <v>Выбрасыватель</v>
      </c>
      <c r="E93" s="6" t="str">
        <f>IFERROR(__xludf.DUMMYFUNCTION("REGEXREPLACE(REGEXEXTRACT(F93, ""г\)\s*(.*)""), ""^\s*"", """")"),"Фабрикатор")</f>
        <v>Фабрикатор</v>
      </c>
      <c r="F93" s="9" t="s">
        <v>97</v>
      </c>
      <c r="V93" s="6"/>
    </row>
    <row r="94" ht="14.25" customHeight="1">
      <c r="A94" s="6" t="str">
        <f>IFERROR(__xludf.DUMMYFUNCTION("REGEXEXTRACT(F94, ""s*(.*?)\s*а\)"")"),"Как называется структура, где можно найти подозрительный гравий и глиняные черепки?")</f>
        <v>Как называется структура, где можно найти подозрительный гравий и глиняные черепки?</v>
      </c>
      <c r="B94" s="6" t="str">
        <f>IFERROR(__xludf.DUMMYFUNCTION("REGEXREPLACE(REGEXEXTRACT(F94, ""а\)\s*(.*?)\s*б\)""), ""^\s*"", """")"),"Руины троп")</f>
        <v>Руины троп</v>
      </c>
      <c r="C94" s="6" t="str">
        <f>IFERROR(__xludf.DUMMYFUNCTION("REGEXREPLACE(REGEXEXTRACT(F94, ""б\)\s*(.*?)\s*в\)""), ""^\s*"", """")"),"Древний город")</f>
        <v>Древний город</v>
      </c>
      <c r="D94" s="6" t="str">
        <f>IFERROR(__xludf.DUMMYFUNCTION("REGEXREPLACE(REGEXEXTRACT(F94, ""в\)\s*(.*?)\s*г\)""), ""^\s*"", """")"),"Древний комплекс")</f>
        <v>Древний комплекс</v>
      </c>
      <c r="E94" s="6" t="str">
        <f>IFERROR(__xludf.DUMMYFUNCTION("REGEXREPLACE(REGEXEXTRACT(F94, ""г\)\s*(.*)""), ""^\s*"", """")"),"Погребенный город")</f>
        <v>Погребенный город</v>
      </c>
      <c r="F94" s="9" t="s">
        <v>98</v>
      </c>
      <c r="V94" s="6"/>
    </row>
    <row r="95" ht="14.25" customHeight="1">
      <c r="A95" s="6" t="str">
        <f>IFERROR(__xludf.DUMMYFUNCTION("REGEXEXTRACT(F95, ""s*(.*?)\s*а\)"")"),"Какой инструмент нужно использовать на блоках подозрительного песка, чтобы добыть из них предметы?")</f>
        <v>Какой инструмент нужно использовать на блоках подозрительного песка, чтобы добыть из них предметы?</v>
      </c>
      <c r="B95" s="6" t="str">
        <f>IFERROR(__xludf.DUMMYFUNCTION("REGEXREPLACE(REGEXEXTRACT(F95, ""а\)\s*(.*?)\s*б\)""), ""^\s*"", """")"),"Кисточка")</f>
        <v>Кисточка</v>
      </c>
      <c r="C95" s="6" t="str">
        <f>IFERROR(__xludf.DUMMYFUNCTION("REGEXREPLACE(REGEXEXTRACT(F95, ""б\)\s*(.*?)\s*в\)""), ""^\s*"", """")"),"Лопата")</f>
        <v>Лопата</v>
      </c>
      <c r="D95" s="6" t="str">
        <f>IFERROR(__xludf.DUMMYFUNCTION("REGEXREPLACE(REGEXEXTRACT(F95, ""в\)\s*(.*?)\s*г\)""), ""^\s*"", """")"),"Мотыга")</f>
        <v>Мотыга</v>
      </c>
      <c r="E95" s="6" t="str">
        <f>IFERROR(__xludf.DUMMYFUNCTION("REGEXREPLACE(REGEXEXTRACT(F95, ""г\)\s*(.*)""), ""^\s*"", """")"),"Рука")</f>
        <v>Рука</v>
      </c>
      <c r="F95" s="9" t="s">
        <v>99</v>
      </c>
      <c r="V95" s="6"/>
    </row>
    <row r="96" ht="14.25" customHeight="1">
      <c r="A96" s="6" t="str">
        <f>IFERROR(__xludf.DUMMYFUNCTION("REGEXEXTRACT(F96, ""s*(.*?)\s*а\)"")"),"Что можно найти и использовать для кастомизации своей брони, придавая ей уникальные узоры?")</f>
        <v>Что можно найти и использовать для кастомизации своей брони, придавая ей уникальные узоры?</v>
      </c>
      <c r="B96" s="6" t="str">
        <f>IFERROR(__xludf.DUMMYFUNCTION("REGEXREPLACE(REGEXEXTRACT(F96, ""а\)\s*(.*?)\s*б\)""), ""^\s*"", """")"),"Кузнечные шаблоны")</f>
        <v>Кузнечные шаблоны</v>
      </c>
      <c r="C96" s="6" t="str">
        <f>IFERROR(__xludf.DUMMYFUNCTION("REGEXREPLACE(REGEXEXTRACT(F96, ""б\)\s*(.*?)\s*в\)""), ""^\s*"", """")"),"Гравировальные станки")</f>
        <v>Гравировальные станки</v>
      </c>
      <c r="D96" s="6" t="str">
        <f>IFERROR(__xludf.DUMMYFUNCTION("REGEXREPLACE(REGEXEXTRACT(F96, ""в\)\s*(.*?)\s*г\)""), ""^\s*"", """")"),"Древние руны")</f>
        <v>Древние руны</v>
      </c>
      <c r="E96" s="6" t="str">
        <f>IFERROR(__xludf.DUMMYFUNCTION("REGEXREPLACE(REGEXEXTRACT(F96, ""г\)\s*(.*)""), ""^\s*"", """")"),"Наборы красителей")</f>
        <v>Наборы красителей</v>
      </c>
      <c r="F96" s="9" t="s">
        <v>100</v>
      </c>
      <c r="V96" s="6"/>
    </row>
    <row r="97" ht="14.25" customHeight="1">
      <c r="A97" s="6" t="str">
        <f>IFERROR(__xludf.DUMMYFUNCTION("REGEXEXTRACT(F97, ""s*(.*?)\s*а\)"")"),"Какой вид скелета, стреляет отравленными стрелами?")</f>
        <v>Какой вид скелета, стреляет отравленными стрелами?</v>
      </c>
      <c r="B97" s="6" t="str">
        <f>IFERROR(__xludf.DUMMYFUNCTION("REGEXREPLACE(REGEXEXTRACT(F97, ""а\)\s*(.*?)\s*б\)""), ""^\s*"", """")"),"Болотник")</f>
        <v>Болотник</v>
      </c>
      <c r="C97" s="6" t="str">
        <f>IFERROR(__xludf.DUMMYFUNCTION("REGEXREPLACE(REGEXEXTRACT(F97, ""б\)\s*(.*?)\s*в\)""), ""^\s*"", """")"),"Топчун")</f>
        <v>Топчун</v>
      </c>
      <c r="D97" s="6" t="str">
        <f>IFERROR(__xludf.DUMMYFUNCTION("REGEXREPLACE(REGEXEXTRACT(F97, ""в\)\s*(.*?)\s*г\)""), ""^\s*"", """")"),"Гнилой скелет")</f>
        <v>Гнилой скелет</v>
      </c>
      <c r="E97" s="6" t="str">
        <f>IFERROR(__xludf.DUMMYFUNCTION("REGEXREPLACE(REGEXEXTRACT(F97, ""г\)\s*(.*)""), ""^\s*"", """")"),"Моховой лучник")</f>
        <v>Моховой лучник</v>
      </c>
      <c r="F97" s="9" t="s">
        <v>101</v>
      </c>
      <c r="V97" s="6"/>
    </row>
    <row r="98" ht="14.25" customHeight="1">
      <c r="A98" s="6" t="str">
        <f>IFERROR(__xludf.DUMMYFUNCTION("REGEXEXTRACT(F98, ""s*(.*?)\s*а\)"")"),"Какой моб, может перевозить двух игроков одновременно?")</f>
        <v>Какой моб, может перевозить двух игроков одновременно?</v>
      </c>
      <c r="B98" s="6" t="str">
        <f>IFERROR(__xludf.DUMMYFUNCTION("REGEXREPLACE(REGEXEXTRACT(F98, ""а\)\s*(.*?)\s*б\)""), ""^\s*"", """")"),"Верблюд")</f>
        <v>Верблюд</v>
      </c>
      <c r="C98" s="6" t="str">
        <f>IFERROR(__xludf.DUMMYFUNCTION("REGEXREPLACE(REGEXEXTRACT(F98, ""б\)\s*(.*?)\s*в\)""), ""^\s*"", """")"),"Лошадь")</f>
        <v>Лошадь</v>
      </c>
      <c r="D98" s="6" t="str">
        <f>IFERROR(__xludf.DUMMYFUNCTION("REGEXREPLACE(REGEXEXTRACT(F98, ""в\)\s*(.*?)\s*г\)""), ""^\s*"", """")"),"Лама")</f>
        <v>Лама</v>
      </c>
      <c r="E98" s="6" t="str">
        <f>IFERROR(__xludf.DUMMYFUNCTION("REGEXREPLACE(REGEXEXTRACT(F98, ""г\)\s*(.*)""), ""^\s*"", """")"),"Страйдер")</f>
        <v>Страйдер</v>
      </c>
      <c r="F98" s="9" t="s">
        <v>102</v>
      </c>
      <c r="V98" s="6"/>
    </row>
    <row r="99" ht="14.25" customHeight="1">
      <c r="A99" s="6" t="str">
        <f>IFERROR(__xludf.DUMMYFUNCTION("REGEXEXTRACT(F99, ""s*(.*?)\s*а\)"")"),"Какой предмет используется для активации ""зловещих"" событий в Камерах испытаний?")</f>
        <v>Какой предмет используется для активации "зловещих" событий в Камерах испытаний?</v>
      </c>
      <c r="B99" s="6" t="str">
        <f>IFERROR(__xludf.DUMMYFUNCTION("REGEXREPLACE(REGEXEXTRACT(F99, ""а\)\s*(.*?)\s*б\)""), ""^\s*"", """")"),"Зловещая бутылочка")</f>
        <v>Зловещая бутылочка</v>
      </c>
      <c r="C99" s="6" t="str">
        <f>IFERROR(__xludf.DUMMYFUNCTION("REGEXREPLACE(REGEXEXTRACT(F99, ""б\)\s*(.*?)\s*в\)""), ""^\s*"", """")"),"Проклятый тотем")</f>
        <v>Проклятый тотем</v>
      </c>
      <c r="D99" s="6" t="str">
        <f>IFERROR(__xludf.DUMMYFUNCTION("REGEXREPLACE(REGEXEXTRACT(F99, ""в\)\s*(.*?)\s*г\)""), ""^\s*"", """")"),"Череп иссушителя")</f>
        <v>Череп иссушителя</v>
      </c>
      <c r="E99" s="6" t="str">
        <f>IFERROR(__xludf.DUMMYFUNCTION("REGEXREPLACE(REGEXEXTRACT(F99, ""г\)\s*(.*)""), ""^\s*"", """")"),"Око Края")</f>
        <v>Око Края</v>
      </c>
      <c r="F99" s="10" t="s">
        <v>103</v>
      </c>
      <c r="V99" s="6"/>
    </row>
    <row r="100" ht="14.25" customHeight="1">
      <c r="A100" s="6" t="str">
        <f>IFERROR(__xludf.DUMMYFUNCTION("REGEXEXTRACT(F100, ""s*(.*?)\s*а\)"")"),"Какое зачарование для булавы, создает порыв ветра при ударе?")</f>
        <v>Какое зачарование для булавы, создает порыв ветра при ударе?</v>
      </c>
      <c r="B100" s="6" t="str">
        <f>IFERROR(__xludf.DUMMYFUNCTION("REGEXREPLACE(REGEXEXTRACT(F100, ""а\)\s*(.*?)\s*б\)""), ""^\s*"", """")"),"Ветряной шквал")</f>
        <v>Ветряной шквал</v>
      </c>
      <c r="C100" s="6" t="str">
        <f>IFERROR(__xludf.DUMMYFUNCTION("REGEXREPLACE(REGEXEXTRACT(F100, ""б\)\s*(.*?)\s*в\)""), ""^\s*"", """")"),"Отбрасывание")</f>
        <v>Отбрасывание</v>
      </c>
      <c r="D100" s="6" t="str">
        <f>IFERROR(__xludf.DUMMYFUNCTION("REGEXREPLACE(REGEXEXTRACT(F100, ""в\)\s*(.*?)\s*г\)""), ""^\s*"", """")"),"Ударная волна")</f>
        <v>Ударная волна</v>
      </c>
      <c r="E100" s="6" t="str">
        <f>IFERROR(__xludf.DUMMYFUNCTION("REGEXREPLACE(REGEXEXTRACT(F100, ""г\)\s*(.*)""), ""^\s*"", """")"),"Порыв")</f>
        <v>Порыв</v>
      </c>
      <c r="F100" s="9" t="s">
        <v>104</v>
      </c>
      <c r="V100" s="6"/>
    </row>
    <row r="101" ht="14.25" customHeight="1">
      <c r="A101" s="6" t="str">
        <f>IFERROR(__xludf.DUMMYFUNCTION("REGEXEXTRACT(F101, ""s*(.*?)\s*а\)"")"),"Какого моба не существует в игре?")</f>
        <v>Какого моба не существует в игре?</v>
      </c>
      <c r="B101" s="6" t="str">
        <f>IFERROR(__xludf.DUMMYFUNCTION("REGEXREPLACE(REGEXEXTRACT(F101, ""а\)\s*(.*?)\s*б\)""), ""^\s*"", """")"),"Светлячок")</f>
        <v>Светлячок</v>
      </c>
      <c r="C101" s="6" t="str">
        <f>IFERROR(__xludf.DUMMYFUNCTION("REGEXREPLACE(REGEXEXTRACT(F101, ""б\)\s*(.*?)\s*в\)""), ""^\s*"", """")"),"Медный голем")</f>
        <v>Медный голем</v>
      </c>
      <c r="D101" s="6" t="str">
        <f>IFERROR(__xludf.DUMMYFUNCTION("REGEXREPLACE(REGEXEXTRACT(F101, ""в\)\s*(.*?)\s*г\)""), ""^\s*"", """")"),"Скрипун")</f>
        <v>Скрипун</v>
      </c>
      <c r="E101" s="6" t="str">
        <f>IFERROR(__xludf.DUMMYFUNCTION("REGEXREPLACE(REGEXEXTRACT(F101, ""г\)\s*(.*)""), ""^\s*"", """")"),"Досаждатель")</f>
        <v>Досаждатель</v>
      </c>
      <c r="F101" s="9" t="s">
        <v>105</v>
      </c>
      <c r="V101" s="6"/>
    </row>
    <row r="102" ht="14.25" customHeight="1">
      <c r="A102" s="6"/>
      <c r="B102" s="6"/>
      <c r="C102" s="6"/>
      <c r="D102" s="6"/>
      <c r="E102" s="6"/>
      <c r="F102" s="9"/>
      <c r="V102" s="6"/>
    </row>
    <row r="103" ht="14.25" customHeight="1">
      <c r="A103" s="6"/>
      <c r="B103" s="6"/>
      <c r="C103" s="6"/>
      <c r="D103" s="6"/>
      <c r="E103" s="6"/>
      <c r="F103" s="9"/>
      <c r="V103" s="6"/>
    </row>
    <row r="104" ht="14.25" customHeight="1">
      <c r="A104" s="6"/>
      <c r="B104" s="6"/>
      <c r="C104" s="6"/>
      <c r="D104" s="6"/>
      <c r="E104" s="6"/>
      <c r="F104" s="9"/>
      <c r="V104" s="6"/>
    </row>
    <row r="105" ht="14.25" customHeight="1">
      <c r="A105" s="6"/>
      <c r="B105" s="6"/>
      <c r="C105" s="6"/>
      <c r="D105" s="6"/>
      <c r="E105" s="6"/>
      <c r="F105" s="9"/>
      <c r="V105" s="6"/>
    </row>
    <row r="106" ht="14.25" customHeight="1">
      <c r="A106" s="6"/>
      <c r="B106" s="6"/>
      <c r="C106" s="6"/>
      <c r="D106" s="6"/>
      <c r="E106" s="6"/>
      <c r="F106" s="9"/>
      <c r="V106" s="6"/>
    </row>
    <row r="107" ht="14.25" customHeight="1">
      <c r="A107" s="6"/>
      <c r="B107" s="6"/>
      <c r="C107" s="6"/>
      <c r="D107" s="6"/>
      <c r="E107" s="6"/>
      <c r="F107" s="9"/>
      <c r="V107" s="6"/>
    </row>
    <row r="108" ht="14.25" customHeight="1">
      <c r="A108" s="6"/>
      <c r="B108" s="6"/>
      <c r="C108" s="6"/>
      <c r="D108" s="6"/>
      <c r="E108" s="6"/>
      <c r="F108" s="9"/>
      <c r="V108" s="6"/>
    </row>
    <row r="109" ht="14.25" customHeight="1">
      <c r="A109" s="6"/>
      <c r="B109" s="6"/>
      <c r="C109" s="6"/>
      <c r="D109" s="6"/>
      <c r="E109" s="6"/>
      <c r="F109" s="9"/>
      <c r="V109" s="6"/>
    </row>
    <row r="110" ht="14.25" customHeight="1">
      <c r="A110" s="6"/>
      <c r="B110" s="6"/>
      <c r="C110" s="6"/>
      <c r="D110" s="6"/>
      <c r="E110" s="6"/>
      <c r="F110" s="9"/>
      <c r="V110" s="6"/>
    </row>
    <row r="111" ht="14.25" customHeight="1">
      <c r="A111" s="6"/>
      <c r="B111" s="6"/>
      <c r="C111" s="6"/>
      <c r="D111" s="6"/>
      <c r="E111" s="6"/>
      <c r="F111" s="9"/>
      <c r="V111" s="6"/>
    </row>
    <row r="112" ht="14.25" customHeight="1">
      <c r="A112" s="6"/>
      <c r="B112" s="6"/>
      <c r="C112" s="6"/>
      <c r="D112" s="6"/>
      <c r="E112" s="6"/>
      <c r="F112" s="9"/>
      <c r="V112" s="6"/>
    </row>
    <row r="113" ht="14.25" customHeight="1">
      <c r="A113" s="6"/>
      <c r="B113" s="6"/>
      <c r="C113" s="6"/>
      <c r="D113" s="6"/>
      <c r="E113" s="6"/>
      <c r="F113" s="10"/>
      <c r="V113" s="6"/>
    </row>
    <row r="114" ht="14.25" customHeight="1">
      <c r="A114" s="6"/>
      <c r="B114" s="6"/>
      <c r="C114" s="6"/>
      <c r="D114" s="6"/>
      <c r="E114" s="6"/>
      <c r="F114" s="9"/>
      <c r="V114" s="6"/>
    </row>
    <row r="115" ht="14.25" customHeight="1">
      <c r="A115" s="6"/>
      <c r="B115" s="6"/>
      <c r="C115" s="6"/>
      <c r="D115" s="6"/>
      <c r="E115" s="6"/>
      <c r="F115" s="10"/>
      <c r="V115" s="6"/>
    </row>
    <row r="116" ht="14.25" customHeight="1">
      <c r="A116" s="6"/>
      <c r="B116" s="6"/>
      <c r="C116" s="6"/>
      <c r="D116" s="6"/>
      <c r="E116" s="6"/>
      <c r="F116" s="9"/>
      <c r="V116" s="6"/>
    </row>
    <row r="117" ht="14.25" customHeight="1">
      <c r="A117" s="6"/>
      <c r="B117" s="6"/>
      <c r="C117" s="6"/>
      <c r="D117" s="6"/>
      <c r="E117" s="6"/>
      <c r="F117" s="9"/>
      <c r="V117" s="6"/>
    </row>
    <row r="118" ht="14.25" customHeight="1">
      <c r="A118" s="6"/>
      <c r="B118" s="6"/>
      <c r="C118" s="6"/>
      <c r="D118" s="6"/>
      <c r="E118" s="6"/>
      <c r="F118" s="9"/>
      <c r="V118" s="6"/>
    </row>
    <row r="119" ht="14.25" customHeight="1">
      <c r="A119" s="6"/>
      <c r="B119" s="6"/>
      <c r="C119" s="6"/>
      <c r="D119" s="6"/>
      <c r="E119" s="6"/>
      <c r="F119" s="9"/>
      <c r="V119" s="6"/>
    </row>
    <row r="120" ht="14.25" customHeight="1">
      <c r="A120" s="6"/>
      <c r="B120" s="6"/>
      <c r="C120" s="6"/>
      <c r="D120" s="6"/>
      <c r="E120" s="6"/>
      <c r="F120" s="9"/>
      <c r="V120" s="6"/>
    </row>
    <row r="121" ht="14.25" customHeight="1">
      <c r="A121" s="6"/>
      <c r="B121" s="6"/>
      <c r="C121" s="6"/>
      <c r="D121" s="6"/>
      <c r="E121" s="6"/>
      <c r="F121" s="9"/>
      <c r="V121" s="6"/>
    </row>
    <row r="122" ht="14.25" customHeight="1">
      <c r="A122" s="6"/>
      <c r="B122" s="6"/>
      <c r="C122" s="6"/>
      <c r="D122" s="6"/>
      <c r="E122" s="6"/>
      <c r="F122" s="9"/>
      <c r="V122" s="6"/>
    </row>
    <row r="123" ht="14.25" customHeight="1">
      <c r="A123" s="6"/>
      <c r="B123" s="6"/>
      <c r="C123" s="6"/>
      <c r="D123" s="6"/>
      <c r="E123" s="6"/>
      <c r="F123" s="9"/>
      <c r="V123" s="6"/>
    </row>
    <row r="124" ht="14.25" customHeight="1">
      <c r="A124" s="6"/>
      <c r="B124" s="6"/>
      <c r="C124" s="6"/>
      <c r="D124" s="6"/>
      <c r="E124" s="6"/>
      <c r="F124" s="9"/>
      <c r="V124" s="6"/>
    </row>
    <row r="125" ht="14.25" customHeight="1">
      <c r="A125" s="6"/>
      <c r="B125" s="6"/>
      <c r="C125" s="6"/>
      <c r="D125" s="6"/>
      <c r="E125" s="6"/>
      <c r="F125" s="9"/>
      <c r="V125" s="6"/>
    </row>
    <row r="126" ht="14.25" customHeight="1">
      <c r="A126" s="6"/>
      <c r="B126" s="6"/>
      <c r="C126" s="6"/>
      <c r="D126" s="6"/>
      <c r="E126" s="6"/>
      <c r="F126" s="10"/>
      <c r="V126" s="6"/>
    </row>
    <row r="127" ht="14.25" customHeight="1">
      <c r="A127" s="6"/>
      <c r="B127" s="6"/>
      <c r="C127" s="6"/>
      <c r="D127" s="6"/>
      <c r="E127" s="6"/>
      <c r="F127" s="9"/>
      <c r="V127" s="6"/>
    </row>
    <row r="128" ht="14.25" customHeight="1">
      <c r="A128" s="6"/>
      <c r="B128" s="6"/>
      <c r="C128" s="6"/>
      <c r="D128" s="6"/>
      <c r="E128" s="6"/>
      <c r="F128" s="11"/>
      <c r="V128" s="6"/>
    </row>
    <row r="129" ht="14.25" customHeight="1">
      <c r="A129" s="6"/>
      <c r="B129" s="6"/>
      <c r="C129" s="6"/>
      <c r="D129" s="6"/>
      <c r="E129" s="6"/>
      <c r="F129" s="11"/>
      <c r="V129" s="6"/>
    </row>
    <row r="130" ht="14.25" customHeight="1">
      <c r="A130" s="6"/>
      <c r="B130" s="6"/>
      <c r="C130" s="6"/>
      <c r="D130" s="6"/>
      <c r="E130" s="6"/>
      <c r="F130" s="11"/>
      <c r="V130" s="6"/>
    </row>
    <row r="131" ht="14.25" customHeight="1">
      <c r="A131" s="6"/>
      <c r="B131" s="6"/>
      <c r="C131" s="6"/>
      <c r="D131" s="6"/>
      <c r="E131" s="6"/>
      <c r="F131" s="11"/>
    </row>
    <row r="132" ht="14.25" customHeight="1">
      <c r="A132" s="6"/>
      <c r="B132" s="6"/>
      <c r="C132" s="6"/>
      <c r="D132" s="6"/>
      <c r="E132" s="6"/>
      <c r="F132" s="11"/>
    </row>
    <row r="133" ht="14.25" customHeight="1">
      <c r="A133" s="6"/>
      <c r="B133" s="6"/>
      <c r="C133" s="6"/>
      <c r="D133" s="6"/>
      <c r="E133" s="6"/>
      <c r="F133" s="11"/>
    </row>
    <row r="134" ht="14.25" customHeight="1">
      <c r="A134" s="6"/>
      <c r="B134" s="6"/>
      <c r="C134" s="6"/>
      <c r="D134" s="6"/>
      <c r="E134" s="6"/>
      <c r="F134" s="11"/>
    </row>
    <row r="135" ht="14.25" customHeight="1">
      <c r="A135" s="6"/>
      <c r="B135" s="6"/>
      <c r="C135" s="6"/>
      <c r="D135" s="6"/>
      <c r="E135" s="6"/>
      <c r="F135" s="11"/>
    </row>
    <row r="136" ht="14.25" customHeight="1">
      <c r="A136" s="6"/>
      <c r="B136" s="6"/>
      <c r="C136" s="6"/>
      <c r="D136" s="6"/>
      <c r="E136" s="6"/>
      <c r="F136" s="11"/>
    </row>
    <row r="137" ht="14.25" customHeight="1">
      <c r="A137" s="6"/>
      <c r="B137" s="6"/>
      <c r="C137" s="6"/>
      <c r="D137" s="6"/>
      <c r="E137" s="6"/>
      <c r="F137" s="11"/>
    </row>
    <row r="138" ht="14.25" customHeight="1">
      <c r="A138" s="6"/>
      <c r="B138" s="6"/>
      <c r="C138" s="6"/>
      <c r="D138" s="6"/>
      <c r="E138" s="6"/>
      <c r="F138" s="11"/>
    </row>
    <row r="139" ht="14.25" customHeight="1">
      <c r="A139" s="6"/>
      <c r="B139" s="6"/>
      <c r="C139" s="6"/>
      <c r="D139" s="6"/>
      <c r="E139" s="6"/>
      <c r="F139" s="11"/>
    </row>
    <row r="140" ht="14.25" customHeight="1">
      <c r="A140" s="6"/>
      <c r="B140" s="6"/>
      <c r="C140" s="6"/>
      <c r="D140" s="6"/>
      <c r="E140" s="6"/>
      <c r="F140" s="11"/>
    </row>
    <row r="141" ht="14.25" customHeight="1">
      <c r="A141" s="6"/>
      <c r="B141" s="6"/>
      <c r="C141" s="6"/>
      <c r="D141" s="6"/>
      <c r="E141" s="6"/>
      <c r="F141" s="11"/>
    </row>
    <row r="142" ht="14.25" customHeight="1">
      <c r="A142" s="6"/>
      <c r="B142" s="6"/>
      <c r="C142" s="6"/>
      <c r="D142" s="6"/>
      <c r="E142" s="6"/>
      <c r="F142" s="11"/>
    </row>
    <row r="143" ht="14.25" customHeight="1">
      <c r="A143" s="6"/>
      <c r="B143" s="6"/>
      <c r="C143" s="6"/>
      <c r="D143" s="6"/>
      <c r="E143" s="6"/>
      <c r="F143" s="11"/>
    </row>
    <row r="144" ht="14.25" customHeight="1">
      <c r="A144" s="6"/>
      <c r="B144" s="6"/>
      <c r="C144" s="6"/>
      <c r="D144" s="6"/>
      <c r="E144" s="6"/>
      <c r="F144" s="11"/>
    </row>
    <row r="145" ht="14.25" customHeight="1">
      <c r="A145" s="6"/>
      <c r="B145" s="6"/>
      <c r="C145" s="6"/>
      <c r="D145" s="6"/>
      <c r="E145" s="6"/>
      <c r="F145" s="11"/>
    </row>
    <row r="146" ht="14.25" customHeight="1">
      <c r="A146" s="6"/>
      <c r="B146" s="6"/>
      <c r="C146" s="6"/>
      <c r="D146" s="6"/>
      <c r="E146" s="6"/>
      <c r="F146" s="11"/>
    </row>
    <row r="147" ht="14.25" customHeight="1">
      <c r="A147" s="6"/>
      <c r="B147" s="6"/>
      <c r="C147" s="6"/>
      <c r="D147" s="6"/>
      <c r="E147" s="6"/>
      <c r="F147" s="11"/>
    </row>
    <row r="148" ht="14.25" customHeight="1">
      <c r="A148" s="6"/>
      <c r="B148" s="6"/>
      <c r="C148" s="6"/>
      <c r="D148" s="6"/>
      <c r="E148" s="6"/>
      <c r="F148" s="11"/>
    </row>
    <row r="149" ht="14.25" customHeight="1">
      <c r="A149" s="6"/>
      <c r="B149" s="6"/>
      <c r="C149" s="6"/>
      <c r="D149" s="6"/>
      <c r="E149" s="6"/>
      <c r="F149" s="11"/>
    </row>
    <row r="150" ht="14.25" customHeight="1">
      <c r="A150" s="6"/>
      <c r="B150" s="6"/>
      <c r="C150" s="6"/>
      <c r="D150" s="6"/>
      <c r="E150" s="6"/>
      <c r="F150" s="11"/>
    </row>
    <row r="151" ht="14.25" customHeight="1">
      <c r="A151" s="6"/>
      <c r="B151" s="6"/>
      <c r="C151" s="6"/>
      <c r="D151" s="6"/>
      <c r="E151" s="6"/>
      <c r="F151" s="11"/>
    </row>
    <row r="152" ht="14.25" customHeight="1">
      <c r="A152" s="6"/>
      <c r="B152" s="6"/>
      <c r="C152" s="6"/>
      <c r="D152" s="6"/>
      <c r="E152" s="6"/>
      <c r="F152" s="11"/>
    </row>
    <row r="153" ht="14.25" customHeight="1">
      <c r="A153" s="6"/>
      <c r="B153" s="6"/>
      <c r="C153" s="6"/>
      <c r="D153" s="6"/>
      <c r="E153" s="6"/>
      <c r="F153" s="11"/>
    </row>
    <row r="154" ht="14.25" customHeight="1">
      <c r="A154" s="6"/>
      <c r="B154" s="6"/>
      <c r="C154" s="6"/>
      <c r="D154" s="6"/>
      <c r="E154" s="6"/>
      <c r="F154" s="11"/>
    </row>
    <row r="155" ht="14.25" customHeight="1">
      <c r="A155" s="6"/>
      <c r="B155" s="6"/>
      <c r="C155" s="6"/>
      <c r="D155" s="6"/>
      <c r="E155" s="6"/>
      <c r="F155" s="11"/>
    </row>
    <row r="156" ht="14.25" customHeight="1">
      <c r="A156" s="6"/>
      <c r="B156" s="6"/>
      <c r="C156" s="6"/>
      <c r="D156" s="6"/>
      <c r="E156" s="6"/>
      <c r="F156" s="11"/>
    </row>
    <row r="157" ht="14.25" customHeight="1">
      <c r="A157" s="6"/>
      <c r="B157" s="6"/>
      <c r="C157" s="6"/>
      <c r="D157" s="6"/>
      <c r="E157" s="6"/>
      <c r="F157" s="11"/>
    </row>
    <row r="158" ht="14.25" customHeight="1">
      <c r="A158" s="6"/>
      <c r="B158" s="6"/>
      <c r="C158" s="6"/>
      <c r="D158" s="6"/>
      <c r="E158" s="6"/>
      <c r="F158" s="11"/>
    </row>
    <row r="159" ht="14.25" customHeight="1">
      <c r="A159" s="6"/>
      <c r="B159" s="6"/>
      <c r="C159" s="6"/>
      <c r="D159" s="6"/>
      <c r="E159" s="6"/>
      <c r="F159" s="11"/>
    </row>
    <row r="160" ht="14.25" customHeight="1">
      <c r="A160" s="6"/>
      <c r="B160" s="6"/>
      <c r="C160" s="6"/>
      <c r="D160" s="6"/>
      <c r="E160" s="6"/>
      <c r="F160" s="11"/>
    </row>
    <row r="161" ht="14.25" customHeight="1">
      <c r="A161" s="6"/>
      <c r="B161" s="6"/>
      <c r="C161" s="6"/>
      <c r="D161" s="6"/>
      <c r="E161" s="6"/>
      <c r="F161" s="11"/>
    </row>
    <row r="162" ht="14.25" customHeight="1">
      <c r="A162" s="6"/>
      <c r="B162" s="6"/>
      <c r="C162" s="6"/>
      <c r="D162" s="6"/>
      <c r="E162" s="6"/>
      <c r="F162" s="11"/>
    </row>
    <row r="163" ht="14.25" customHeight="1">
      <c r="A163" s="6"/>
      <c r="B163" s="6"/>
      <c r="C163" s="6"/>
      <c r="D163" s="6"/>
      <c r="E163" s="6"/>
      <c r="F163" s="11"/>
    </row>
    <row r="164" ht="14.25" customHeight="1">
      <c r="A164" s="6"/>
      <c r="B164" s="6"/>
      <c r="C164" s="6"/>
      <c r="D164" s="6"/>
      <c r="E164" s="6"/>
      <c r="F164" s="11"/>
    </row>
    <row r="165" ht="14.25" customHeight="1">
      <c r="A165" s="6"/>
      <c r="B165" s="6"/>
      <c r="C165" s="6"/>
      <c r="D165" s="6"/>
      <c r="E165" s="6"/>
      <c r="F165" s="11"/>
    </row>
    <row r="166" ht="14.25" customHeight="1">
      <c r="A166" s="6"/>
      <c r="B166" s="6"/>
      <c r="C166" s="6"/>
      <c r="D166" s="6"/>
      <c r="E166" s="6"/>
      <c r="F166" s="11"/>
    </row>
    <row r="167" ht="14.25" customHeight="1">
      <c r="A167" s="6"/>
      <c r="B167" s="6"/>
      <c r="C167" s="6"/>
      <c r="D167" s="6"/>
      <c r="E167" s="6"/>
      <c r="F167" s="11"/>
    </row>
    <row r="168" ht="14.25" customHeight="1">
      <c r="A168" s="6"/>
      <c r="B168" s="6"/>
      <c r="C168" s="6"/>
      <c r="D168" s="6"/>
      <c r="E168" s="6"/>
      <c r="F168" s="11"/>
    </row>
    <row r="169" ht="14.25" customHeight="1">
      <c r="A169" s="6"/>
      <c r="B169" s="6"/>
      <c r="C169" s="6"/>
      <c r="D169" s="6"/>
      <c r="E169" s="6"/>
      <c r="F169" s="11"/>
    </row>
    <row r="170" ht="14.25" customHeight="1">
      <c r="A170" s="6"/>
      <c r="B170" s="6"/>
      <c r="C170" s="6"/>
      <c r="D170" s="6"/>
      <c r="E170" s="6"/>
      <c r="F170" s="11"/>
    </row>
    <row r="171" ht="14.25" customHeight="1">
      <c r="A171" s="6"/>
      <c r="B171" s="6"/>
      <c r="C171" s="6"/>
      <c r="D171" s="6"/>
      <c r="E171" s="6"/>
      <c r="F171" s="11"/>
    </row>
    <row r="172" ht="14.25" customHeight="1">
      <c r="A172" s="6"/>
      <c r="B172" s="6"/>
      <c r="C172" s="6"/>
      <c r="D172" s="6"/>
      <c r="E172" s="6"/>
      <c r="F172" s="11"/>
    </row>
    <row r="173" ht="14.25" customHeight="1">
      <c r="A173" s="6"/>
      <c r="B173" s="6"/>
      <c r="C173" s="6"/>
      <c r="D173" s="6"/>
      <c r="E173" s="6"/>
      <c r="F173" s="11"/>
    </row>
    <row r="174" ht="14.25" customHeight="1">
      <c r="A174" s="6"/>
      <c r="B174" s="6"/>
      <c r="C174" s="6"/>
      <c r="D174" s="6"/>
      <c r="E174" s="6"/>
      <c r="F174" s="11"/>
    </row>
    <row r="175" ht="14.25" customHeight="1">
      <c r="A175" s="6"/>
      <c r="B175" s="6"/>
      <c r="C175" s="6"/>
      <c r="D175" s="6"/>
      <c r="E175" s="6"/>
      <c r="F175" s="11"/>
    </row>
    <row r="176" ht="14.25" customHeight="1">
      <c r="A176" s="6"/>
      <c r="B176" s="6"/>
      <c r="C176" s="6"/>
      <c r="D176" s="6"/>
      <c r="E176" s="6"/>
      <c r="F176" s="11"/>
    </row>
    <row r="177" ht="14.25" customHeight="1">
      <c r="A177" s="6"/>
      <c r="B177" s="6"/>
      <c r="C177" s="6"/>
      <c r="D177" s="6"/>
      <c r="E177" s="6"/>
      <c r="F177" s="11"/>
    </row>
    <row r="178" ht="14.25" customHeight="1">
      <c r="A178" s="6"/>
      <c r="B178" s="6"/>
      <c r="C178" s="6"/>
      <c r="D178" s="6"/>
      <c r="E178" s="6"/>
      <c r="F178" s="11"/>
    </row>
    <row r="179" ht="14.25" customHeight="1">
      <c r="A179" s="6"/>
      <c r="B179" s="6"/>
      <c r="C179" s="6"/>
      <c r="D179" s="6"/>
      <c r="E179" s="6"/>
      <c r="F179" s="11"/>
    </row>
    <row r="180" ht="14.25" customHeight="1">
      <c r="A180" s="6"/>
      <c r="B180" s="6"/>
      <c r="C180" s="6"/>
      <c r="D180" s="6"/>
      <c r="E180" s="6"/>
      <c r="F180" s="11"/>
    </row>
    <row r="181" ht="14.25" customHeight="1">
      <c r="A181" s="6"/>
      <c r="B181" s="6"/>
      <c r="C181" s="6"/>
      <c r="D181" s="6"/>
      <c r="E181" s="6"/>
      <c r="F181" s="11"/>
    </row>
    <row r="182" ht="14.25" customHeight="1">
      <c r="A182" s="6"/>
      <c r="B182" s="6"/>
      <c r="C182" s="6"/>
      <c r="D182" s="6"/>
      <c r="E182" s="6"/>
      <c r="F182" s="11"/>
    </row>
    <row r="183" ht="14.25" customHeight="1">
      <c r="A183" s="6"/>
      <c r="B183" s="6"/>
      <c r="C183" s="6"/>
      <c r="D183" s="6"/>
      <c r="E183" s="6"/>
      <c r="F183" s="11"/>
    </row>
    <row r="184" ht="14.25" customHeight="1">
      <c r="A184" s="6"/>
      <c r="B184" s="6"/>
      <c r="C184" s="6"/>
      <c r="D184" s="6"/>
      <c r="E184" s="6"/>
      <c r="F184" s="11"/>
    </row>
    <row r="185" ht="14.25" customHeight="1">
      <c r="A185" s="6"/>
      <c r="B185" s="6"/>
      <c r="C185" s="6"/>
      <c r="D185" s="6"/>
      <c r="E185" s="6"/>
      <c r="F185" s="11"/>
    </row>
    <row r="186" ht="14.25" customHeight="1">
      <c r="A186" s="6"/>
      <c r="B186" s="6"/>
      <c r="C186" s="6"/>
      <c r="D186" s="6"/>
      <c r="E186" s="6"/>
      <c r="F186" s="11"/>
    </row>
    <row r="187" ht="14.25" customHeight="1">
      <c r="A187" s="6"/>
      <c r="B187" s="6"/>
      <c r="C187" s="6"/>
      <c r="D187" s="6"/>
      <c r="E187" s="6"/>
      <c r="F187" s="11"/>
    </row>
    <row r="188" ht="14.25" customHeight="1">
      <c r="A188" s="6"/>
      <c r="B188" s="6"/>
      <c r="C188" s="6"/>
      <c r="D188" s="6"/>
      <c r="E188" s="6"/>
      <c r="F188" s="11"/>
    </row>
    <row r="189" ht="14.25" customHeight="1">
      <c r="A189" s="6"/>
      <c r="B189" s="6"/>
      <c r="C189" s="6"/>
      <c r="D189" s="6"/>
      <c r="E189" s="6"/>
      <c r="F189" s="11"/>
    </row>
    <row r="190" ht="14.25" customHeight="1">
      <c r="A190" s="6"/>
      <c r="B190" s="6"/>
      <c r="C190" s="6"/>
      <c r="D190" s="6"/>
      <c r="E190" s="6"/>
      <c r="F190" s="11"/>
    </row>
    <row r="191" ht="14.25" customHeight="1">
      <c r="A191" s="6"/>
      <c r="B191" s="6"/>
      <c r="C191" s="6"/>
      <c r="D191" s="6"/>
      <c r="E191" s="6"/>
      <c r="F191" s="11"/>
    </row>
    <row r="192" ht="14.25" customHeight="1">
      <c r="A192" s="6"/>
      <c r="B192" s="6"/>
      <c r="C192" s="6"/>
      <c r="D192" s="6"/>
      <c r="E192" s="6"/>
      <c r="F192" s="11"/>
    </row>
    <row r="193" ht="14.25" customHeight="1">
      <c r="A193" s="6"/>
      <c r="B193" s="6"/>
      <c r="C193" s="6"/>
      <c r="D193" s="6"/>
      <c r="E193" s="6"/>
      <c r="F193" s="11"/>
    </row>
    <row r="194" ht="14.25" customHeight="1">
      <c r="A194" s="6"/>
      <c r="B194" s="6"/>
      <c r="C194" s="6"/>
      <c r="D194" s="6"/>
      <c r="E194" s="6"/>
      <c r="F194" s="11"/>
    </row>
    <row r="195" ht="14.25" customHeight="1">
      <c r="A195" s="6"/>
      <c r="B195" s="6"/>
      <c r="C195" s="6"/>
      <c r="D195" s="6"/>
      <c r="E195" s="6"/>
      <c r="F195" s="11"/>
    </row>
    <row r="196" ht="14.25" customHeight="1">
      <c r="A196" s="6"/>
      <c r="B196" s="6"/>
      <c r="C196" s="6"/>
      <c r="D196" s="6"/>
      <c r="E196" s="6"/>
      <c r="F196" s="11"/>
    </row>
    <row r="197" ht="14.25" customHeight="1">
      <c r="A197" s="6"/>
      <c r="B197" s="6"/>
      <c r="C197" s="6"/>
      <c r="D197" s="6"/>
      <c r="E197" s="6"/>
      <c r="F197" s="11"/>
    </row>
    <row r="198" ht="14.25" customHeight="1">
      <c r="A198" s="6"/>
      <c r="B198" s="6"/>
      <c r="C198" s="6"/>
      <c r="D198" s="6"/>
      <c r="E198" s="6"/>
      <c r="F198" s="11"/>
    </row>
    <row r="199" ht="14.25" customHeight="1">
      <c r="A199" s="6"/>
      <c r="B199" s="6"/>
      <c r="C199" s="6"/>
      <c r="D199" s="6"/>
      <c r="E199" s="6"/>
      <c r="F199" s="11"/>
    </row>
    <row r="200" ht="14.25" customHeight="1">
      <c r="A200" s="6"/>
      <c r="B200" s="6"/>
      <c r="C200" s="6"/>
      <c r="D200" s="6"/>
      <c r="E200" s="6"/>
      <c r="F200" s="11"/>
    </row>
    <row r="201" ht="14.25" customHeight="1">
      <c r="A201" s="6"/>
      <c r="B201" s="6"/>
      <c r="C201" s="6"/>
      <c r="D201" s="6"/>
      <c r="E201" s="6"/>
      <c r="F201" s="11"/>
    </row>
    <row r="202" ht="14.25" customHeight="1">
      <c r="A202" s="6"/>
      <c r="B202" s="6"/>
      <c r="C202" s="6"/>
      <c r="D202" s="6"/>
      <c r="E202" s="6"/>
      <c r="F202" s="11"/>
    </row>
    <row r="203" ht="14.25" customHeight="1">
      <c r="A203" s="6"/>
      <c r="B203" s="6"/>
      <c r="C203" s="6"/>
      <c r="D203" s="6"/>
      <c r="E203" s="6"/>
      <c r="F203" s="11"/>
    </row>
    <row r="204" ht="14.25" customHeight="1">
      <c r="A204" s="6"/>
      <c r="B204" s="6"/>
      <c r="C204" s="6"/>
      <c r="D204" s="6"/>
      <c r="E204" s="6"/>
      <c r="F204" s="11"/>
    </row>
    <row r="205" ht="14.25" customHeight="1">
      <c r="A205" s="6"/>
      <c r="B205" s="6"/>
      <c r="C205" s="6"/>
      <c r="D205" s="6"/>
      <c r="E205" s="6"/>
      <c r="F205" s="11"/>
    </row>
    <row r="206" ht="14.25" customHeight="1">
      <c r="A206" s="6"/>
      <c r="B206" s="6"/>
      <c r="C206" s="6"/>
      <c r="D206" s="6"/>
      <c r="E206" s="6"/>
      <c r="F206" s="11"/>
    </row>
    <row r="207" ht="14.25" customHeight="1">
      <c r="A207" s="6"/>
      <c r="B207" s="6"/>
      <c r="C207" s="6"/>
      <c r="D207" s="6"/>
      <c r="E207" s="6"/>
      <c r="F207" s="11"/>
    </row>
    <row r="208" ht="14.25" customHeight="1">
      <c r="A208" s="6"/>
      <c r="B208" s="6"/>
      <c r="C208" s="6"/>
      <c r="D208" s="6"/>
      <c r="E208" s="6"/>
      <c r="F208" s="11"/>
    </row>
    <row r="209" ht="14.25" customHeight="1">
      <c r="A209" s="6"/>
      <c r="B209" s="6"/>
      <c r="C209" s="6"/>
      <c r="D209" s="6"/>
      <c r="E209" s="6"/>
      <c r="F209" s="11"/>
    </row>
    <row r="210" ht="14.25" customHeight="1">
      <c r="A210" s="6"/>
      <c r="B210" s="6"/>
      <c r="C210" s="6"/>
      <c r="D210" s="6"/>
      <c r="E210" s="6"/>
      <c r="F210" s="11"/>
    </row>
    <row r="211" ht="14.25" customHeight="1">
      <c r="A211" s="6"/>
      <c r="B211" s="6"/>
      <c r="C211" s="6"/>
      <c r="D211" s="6"/>
      <c r="E211" s="6"/>
      <c r="F211" s="11"/>
    </row>
    <row r="212" ht="14.25" customHeight="1">
      <c r="A212" s="6"/>
      <c r="B212" s="6"/>
      <c r="C212" s="6"/>
      <c r="D212" s="6"/>
      <c r="E212" s="6"/>
      <c r="F212" s="11"/>
    </row>
    <row r="213" ht="14.25" customHeight="1">
      <c r="A213" s="6"/>
      <c r="B213" s="6"/>
      <c r="C213" s="6"/>
      <c r="D213" s="6"/>
      <c r="E213" s="6"/>
      <c r="F213" s="11"/>
    </row>
    <row r="214" ht="14.25" customHeight="1">
      <c r="A214" s="6"/>
      <c r="B214" s="6"/>
      <c r="C214" s="6"/>
      <c r="D214" s="6"/>
      <c r="E214" s="6"/>
      <c r="F214" s="11"/>
    </row>
    <row r="215" ht="14.25" customHeight="1">
      <c r="A215" s="6"/>
      <c r="B215" s="6"/>
      <c r="C215" s="6"/>
      <c r="D215" s="6"/>
      <c r="E215" s="6"/>
      <c r="F215" s="11"/>
    </row>
    <row r="216" ht="14.25" customHeight="1">
      <c r="A216" s="6"/>
      <c r="B216" s="6"/>
      <c r="C216" s="6"/>
      <c r="D216" s="6"/>
      <c r="E216" s="6"/>
      <c r="F216" s="11"/>
    </row>
    <row r="217" ht="14.25" customHeight="1">
      <c r="A217" s="6"/>
      <c r="B217" s="6"/>
      <c r="C217" s="6"/>
      <c r="D217" s="6"/>
      <c r="E217" s="6"/>
      <c r="F217" s="11"/>
    </row>
    <row r="218" ht="14.25" customHeight="1">
      <c r="A218" s="6"/>
      <c r="B218" s="6"/>
      <c r="C218" s="6"/>
      <c r="D218" s="6"/>
      <c r="E218" s="6"/>
      <c r="F218" s="11"/>
    </row>
    <row r="219" ht="14.25" customHeight="1">
      <c r="A219" s="6"/>
      <c r="B219" s="6"/>
      <c r="C219" s="6"/>
      <c r="D219" s="6"/>
      <c r="E219" s="6"/>
      <c r="F219" s="11"/>
    </row>
    <row r="220" ht="14.25" customHeight="1">
      <c r="A220" s="6"/>
      <c r="B220" s="6"/>
      <c r="C220" s="6"/>
      <c r="D220" s="6"/>
      <c r="E220" s="6"/>
      <c r="F220" s="11"/>
    </row>
    <row r="221" ht="14.25" customHeight="1">
      <c r="A221" s="6"/>
      <c r="B221" s="6"/>
      <c r="C221" s="6"/>
      <c r="D221" s="6"/>
      <c r="E221" s="6"/>
      <c r="F221" s="11"/>
    </row>
    <row r="222" ht="14.25" customHeight="1">
      <c r="A222" s="6"/>
      <c r="B222" s="6"/>
      <c r="C222" s="6"/>
      <c r="D222" s="6"/>
      <c r="E222" s="6"/>
      <c r="F222" s="11"/>
    </row>
    <row r="223" ht="14.25" customHeight="1">
      <c r="A223" s="6"/>
      <c r="B223" s="6"/>
      <c r="C223" s="6"/>
      <c r="D223" s="6"/>
      <c r="E223" s="6"/>
      <c r="F223" s="11"/>
    </row>
    <row r="224" ht="14.25" customHeight="1">
      <c r="A224" s="6"/>
      <c r="B224" s="6"/>
      <c r="C224" s="6"/>
      <c r="D224" s="6"/>
      <c r="E224" s="6"/>
      <c r="F224" s="11"/>
    </row>
    <row r="225" ht="14.25" customHeight="1">
      <c r="A225" s="6"/>
      <c r="B225" s="6"/>
      <c r="C225" s="6"/>
      <c r="D225" s="6"/>
      <c r="E225" s="6"/>
      <c r="F225" s="11"/>
    </row>
    <row r="226" ht="14.25" customHeight="1">
      <c r="A226" s="6"/>
      <c r="B226" s="6"/>
      <c r="C226" s="6"/>
      <c r="D226" s="6"/>
      <c r="E226" s="6"/>
      <c r="F226" s="11"/>
    </row>
    <row r="227" ht="14.25" customHeight="1">
      <c r="A227" s="6"/>
      <c r="B227" s="6"/>
      <c r="C227" s="6"/>
      <c r="D227" s="6"/>
      <c r="E227" s="6"/>
      <c r="F227" s="11"/>
    </row>
    <row r="228" ht="14.25" customHeight="1">
      <c r="A228" s="6"/>
      <c r="B228" s="6"/>
      <c r="C228" s="6"/>
      <c r="D228" s="6"/>
      <c r="E228" s="6"/>
      <c r="F228" s="11"/>
    </row>
    <row r="229" ht="14.25" customHeight="1">
      <c r="A229" s="6"/>
      <c r="B229" s="6"/>
      <c r="C229" s="6"/>
      <c r="D229" s="6"/>
      <c r="E229" s="6"/>
      <c r="F229" s="11"/>
    </row>
    <row r="230" ht="14.25" customHeight="1">
      <c r="A230" s="6"/>
      <c r="B230" s="6"/>
      <c r="C230" s="6"/>
      <c r="D230" s="6"/>
      <c r="E230" s="6"/>
      <c r="F230" s="11"/>
    </row>
    <row r="231" ht="14.25" customHeight="1">
      <c r="A231" s="6"/>
      <c r="B231" s="6"/>
      <c r="C231" s="6"/>
      <c r="D231" s="6"/>
      <c r="E231" s="6"/>
      <c r="F231" s="11"/>
    </row>
    <row r="232" ht="14.25" customHeight="1">
      <c r="A232" s="6"/>
      <c r="B232" s="6"/>
      <c r="C232" s="6"/>
      <c r="D232" s="6"/>
      <c r="E232" s="6"/>
      <c r="F232" s="11"/>
    </row>
    <row r="233" ht="14.25" customHeight="1">
      <c r="A233" s="6"/>
      <c r="B233" s="6"/>
      <c r="C233" s="6"/>
      <c r="D233" s="6"/>
      <c r="E233" s="6"/>
      <c r="F233" s="11"/>
    </row>
    <row r="234" ht="14.25" customHeight="1">
      <c r="A234" s="6"/>
      <c r="B234" s="6"/>
      <c r="C234" s="6"/>
      <c r="D234" s="6"/>
      <c r="E234" s="6"/>
      <c r="F234" s="11"/>
    </row>
    <row r="235" ht="14.25" customHeight="1">
      <c r="A235" s="6"/>
      <c r="B235" s="6"/>
      <c r="C235" s="6"/>
      <c r="D235" s="6"/>
      <c r="E235" s="6"/>
      <c r="F235" s="11"/>
    </row>
    <row r="236" ht="14.25" customHeight="1">
      <c r="A236" s="6"/>
      <c r="B236" s="6"/>
      <c r="C236" s="6"/>
      <c r="D236" s="6"/>
      <c r="E236" s="6"/>
      <c r="F236" s="11"/>
    </row>
    <row r="237" ht="14.25" customHeight="1">
      <c r="A237" s="6"/>
      <c r="B237" s="6"/>
      <c r="C237" s="6"/>
      <c r="D237" s="6"/>
      <c r="E237" s="6"/>
      <c r="F237" s="11"/>
    </row>
    <row r="238" ht="14.25" customHeight="1">
      <c r="A238" s="6"/>
      <c r="B238" s="6"/>
      <c r="C238" s="6"/>
      <c r="D238" s="6"/>
      <c r="E238" s="6"/>
      <c r="F238" s="11"/>
    </row>
    <row r="239" ht="14.25" customHeight="1">
      <c r="A239" s="6"/>
      <c r="B239" s="6"/>
      <c r="C239" s="6"/>
      <c r="D239" s="6"/>
      <c r="E239" s="6"/>
      <c r="F239" s="11"/>
    </row>
    <row r="240" ht="14.25" customHeight="1">
      <c r="A240" s="6"/>
      <c r="B240" s="6"/>
      <c r="C240" s="6"/>
      <c r="D240" s="6"/>
      <c r="E240" s="6"/>
      <c r="F240" s="11"/>
    </row>
    <row r="241" ht="14.25" customHeight="1">
      <c r="A241" s="6"/>
      <c r="B241" s="6"/>
      <c r="C241" s="6"/>
      <c r="D241" s="6"/>
      <c r="E241" s="6"/>
      <c r="F241" s="11"/>
    </row>
    <row r="242" ht="14.25" customHeight="1">
      <c r="A242" s="6"/>
      <c r="B242" s="6"/>
      <c r="C242" s="6"/>
      <c r="D242" s="6"/>
      <c r="E242" s="6"/>
      <c r="F242" s="11"/>
    </row>
    <row r="243" ht="14.25" customHeight="1">
      <c r="A243" s="6"/>
      <c r="B243" s="6"/>
      <c r="C243" s="6"/>
      <c r="D243" s="6"/>
      <c r="E243" s="6"/>
      <c r="F243" s="11"/>
    </row>
    <row r="244" ht="14.25" customHeight="1">
      <c r="A244" s="6"/>
      <c r="B244" s="6"/>
      <c r="C244" s="6"/>
      <c r="D244" s="6"/>
      <c r="E244" s="6"/>
      <c r="F244" s="11"/>
    </row>
    <row r="245" ht="14.25" customHeight="1">
      <c r="A245" s="6"/>
      <c r="B245" s="6"/>
      <c r="C245" s="6"/>
      <c r="D245" s="6"/>
      <c r="E245" s="6"/>
      <c r="F245" s="11"/>
    </row>
    <row r="246" ht="14.25" customHeight="1">
      <c r="A246" s="6"/>
      <c r="B246" s="6"/>
      <c r="C246" s="6"/>
      <c r="D246" s="6"/>
      <c r="E246" s="6"/>
      <c r="F246" s="11"/>
    </row>
    <row r="247" ht="14.25" customHeight="1">
      <c r="A247" s="6"/>
      <c r="B247" s="6"/>
      <c r="C247" s="6"/>
      <c r="D247" s="6"/>
      <c r="E247" s="6"/>
      <c r="F247" s="11"/>
    </row>
    <row r="248" ht="14.25" customHeight="1">
      <c r="A248" s="6"/>
      <c r="B248" s="6"/>
      <c r="C248" s="6"/>
      <c r="D248" s="6"/>
      <c r="E248" s="6"/>
      <c r="F248" s="11"/>
    </row>
    <row r="249" ht="14.25" customHeight="1">
      <c r="A249" s="6"/>
      <c r="B249" s="6"/>
      <c r="C249" s="6"/>
      <c r="D249" s="6"/>
      <c r="E249" s="6"/>
      <c r="F249" s="11"/>
    </row>
    <row r="250" ht="14.25" customHeight="1">
      <c r="A250" s="6"/>
      <c r="B250" s="6"/>
      <c r="C250" s="6"/>
      <c r="D250" s="6"/>
      <c r="E250" s="6"/>
      <c r="F250" s="11"/>
    </row>
    <row r="251" ht="14.25" customHeight="1">
      <c r="A251" s="6"/>
      <c r="B251" s="6"/>
      <c r="C251" s="6"/>
      <c r="D251" s="6"/>
      <c r="E251" s="6"/>
      <c r="F251" s="11"/>
    </row>
    <row r="252" ht="14.25" customHeight="1">
      <c r="A252" s="6"/>
      <c r="B252" s="6"/>
      <c r="C252" s="6"/>
      <c r="D252" s="6"/>
      <c r="E252" s="6"/>
      <c r="F252" s="11"/>
    </row>
    <row r="253" ht="14.25" customHeight="1">
      <c r="A253" s="6"/>
      <c r="B253" s="6"/>
      <c r="C253" s="6"/>
      <c r="D253" s="6"/>
      <c r="E253" s="6"/>
      <c r="F253" s="11"/>
    </row>
    <row r="254" ht="14.25" customHeight="1">
      <c r="A254" s="6"/>
      <c r="B254" s="6"/>
      <c r="C254" s="6"/>
      <c r="D254" s="6"/>
      <c r="E254" s="6"/>
      <c r="F254" s="11"/>
    </row>
    <row r="255" ht="14.25" customHeight="1">
      <c r="A255" s="6"/>
      <c r="B255" s="6"/>
      <c r="C255" s="6"/>
      <c r="D255" s="6"/>
      <c r="E255" s="6"/>
      <c r="F255" s="11"/>
    </row>
    <row r="256" ht="14.25" customHeight="1">
      <c r="A256" s="6"/>
      <c r="B256" s="6"/>
      <c r="C256" s="6"/>
      <c r="D256" s="6"/>
      <c r="E256" s="6"/>
      <c r="F256" s="11"/>
    </row>
    <row r="257" ht="14.25" customHeight="1">
      <c r="A257" s="6"/>
      <c r="B257" s="6"/>
      <c r="C257" s="6"/>
      <c r="D257" s="6"/>
      <c r="E257" s="6"/>
      <c r="F257" s="11"/>
    </row>
    <row r="258" ht="14.25" customHeight="1">
      <c r="A258" s="6"/>
      <c r="B258" s="6"/>
      <c r="C258" s="6"/>
      <c r="D258" s="6"/>
      <c r="E258" s="6"/>
      <c r="F258" s="11"/>
    </row>
    <row r="259" ht="14.25" customHeight="1">
      <c r="A259" s="6"/>
      <c r="B259" s="6"/>
      <c r="C259" s="6"/>
      <c r="D259" s="6"/>
      <c r="E259" s="6"/>
      <c r="F259" s="11"/>
    </row>
    <row r="260" ht="14.25" customHeight="1">
      <c r="A260" s="6"/>
      <c r="B260" s="6"/>
      <c r="C260" s="6"/>
      <c r="D260" s="6"/>
      <c r="E260" s="6"/>
      <c r="F260" s="11"/>
    </row>
    <row r="261" ht="14.25" customHeight="1">
      <c r="A261" s="6"/>
      <c r="B261" s="6"/>
      <c r="C261" s="6"/>
      <c r="D261" s="6"/>
      <c r="E261" s="6"/>
      <c r="F261" s="11"/>
    </row>
    <row r="262" ht="14.25" customHeight="1">
      <c r="A262" s="6"/>
      <c r="B262" s="6"/>
      <c r="C262" s="6"/>
      <c r="D262" s="6"/>
      <c r="E262" s="6"/>
      <c r="F262" s="11"/>
    </row>
    <row r="263" ht="14.25" customHeight="1">
      <c r="A263" s="6"/>
      <c r="B263" s="6"/>
      <c r="C263" s="6"/>
      <c r="D263" s="6"/>
      <c r="E263" s="6"/>
      <c r="F263" s="11"/>
    </row>
    <row r="264" ht="14.25" customHeight="1">
      <c r="A264" s="6"/>
      <c r="B264" s="6"/>
      <c r="C264" s="6"/>
      <c r="D264" s="6"/>
      <c r="E264" s="6"/>
      <c r="F264" s="11"/>
    </row>
    <row r="265" ht="14.25" customHeight="1">
      <c r="A265" s="6"/>
      <c r="B265" s="6"/>
      <c r="C265" s="6"/>
      <c r="D265" s="6"/>
      <c r="E265" s="6"/>
      <c r="F265" s="11"/>
    </row>
    <row r="266" ht="14.25" customHeight="1">
      <c r="A266" s="6"/>
      <c r="B266" s="6"/>
      <c r="C266" s="6"/>
      <c r="D266" s="6"/>
      <c r="E266" s="6"/>
      <c r="F266" s="11"/>
    </row>
    <row r="267" ht="14.25" customHeight="1">
      <c r="A267" s="6"/>
      <c r="B267" s="6"/>
      <c r="C267" s="6"/>
      <c r="D267" s="6"/>
      <c r="E267" s="6"/>
      <c r="F267" s="11"/>
    </row>
    <row r="268" ht="14.25" customHeight="1">
      <c r="A268" s="6"/>
      <c r="B268" s="6"/>
      <c r="C268" s="6"/>
      <c r="D268" s="6"/>
      <c r="E268" s="6"/>
      <c r="F268" s="11"/>
    </row>
    <row r="269" ht="14.25" customHeight="1">
      <c r="A269" s="6"/>
      <c r="B269" s="6"/>
      <c r="C269" s="6"/>
      <c r="D269" s="6"/>
      <c r="E269" s="6"/>
      <c r="F269" s="11"/>
    </row>
    <row r="270" ht="14.25" customHeight="1">
      <c r="A270" s="6"/>
      <c r="B270" s="6"/>
      <c r="C270" s="6"/>
      <c r="D270" s="6"/>
      <c r="E270" s="6"/>
      <c r="F270" s="11"/>
    </row>
    <row r="271" ht="14.25" customHeight="1">
      <c r="A271" s="6"/>
      <c r="B271" s="6"/>
      <c r="C271" s="6"/>
      <c r="D271" s="6"/>
      <c r="E271" s="6"/>
      <c r="F271" s="11"/>
    </row>
    <row r="272" ht="14.25" customHeight="1">
      <c r="A272" s="6"/>
      <c r="F272" s="11"/>
    </row>
    <row r="273" ht="14.25" customHeight="1">
      <c r="A273" s="6"/>
      <c r="B273" s="6"/>
      <c r="C273" s="6"/>
      <c r="D273" s="6"/>
      <c r="E273" s="6"/>
      <c r="F273" s="11"/>
    </row>
    <row r="274" ht="14.25" customHeight="1">
      <c r="A274" s="6"/>
      <c r="F274" s="11"/>
    </row>
    <row r="275" ht="14.25" customHeight="1">
      <c r="A275" s="6"/>
      <c r="B275" s="6"/>
      <c r="C275" s="6"/>
      <c r="D275" s="6"/>
      <c r="E275" s="6"/>
      <c r="F275" s="11"/>
    </row>
    <row r="276" ht="14.25" customHeight="1">
      <c r="F276" s="11"/>
    </row>
    <row r="277" ht="14.25" customHeight="1">
      <c r="A277" s="6"/>
      <c r="B277" s="6"/>
      <c r="C277" s="6"/>
      <c r="D277" s="6"/>
      <c r="E277" s="6"/>
      <c r="F277" s="11"/>
    </row>
    <row r="278" ht="14.25" customHeight="1">
      <c r="F278" s="11"/>
    </row>
    <row r="279" ht="14.25" customHeight="1">
      <c r="A279" s="6"/>
      <c r="B279" s="6"/>
      <c r="C279" s="6"/>
      <c r="D279" s="6"/>
      <c r="E279" s="6"/>
      <c r="F279" s="11"/>
    </row>
    <row r="280" ht="14.25" customHeight="1">
      <c r="F280" s="11"/>
    </row>
    <row r="281" ht="14.25" customHeight="1">
      <c r="A281" s="6"/>
      <c r="B281" s="6"/>
      <c r="C281" s="6"/>
      <c r="D281" s="6"/>
      <c r="E281" s="6"/>
      <c r="F281" s="11"/>
    </row>
    <row r="282" ht="14.25" customHeight="1">
      <c r="F282" s="11"/>
    </row>
    <row r="283" ht="14.25" customHeight="1">
      <c r="A283" s="6"/>
      <c r="B283" s="6"/>
      <c r="C283" s="6"/>
      <c r="D283" s="6"/>
      <c r="E283" s="6"/>
      <c r="F283" s="11"/>
    </row>
    <row r="284" ht="14.25" customHeight="1">
      <c r="F284" s="11"/>
    </row>
    <row r="285" ht="14.25" customHeight="1">
      <c r="A285" s="6"/>
      <c r="B285" s="6"/>
      <c r="C285" s="6"/>
      <c r="D285" s="6"/>
      <c r="E285" s="6"/>
      <c r="F285" s="11"/>
    </row>
    <row r="286" ht="14.25" customHeight="1">
      <c r="F286" s="11"/>
    </row>
    <row r="287" ht="14.25" customHeight="1">
      <c r="A287" s="6"/>
      <c r="B287" s="6"/>
      <c r="C287" s="6"/>
      <c r="D287" s="6"/>
      <c r="E287" s="6"/>
      <c r="F287" s="11"/>
    </row>
    <row r="288" ht="14.25" customHeight="1">
      <c r="F288" s="11"/>
    </row>
    <row r="289" ht="14.25" customHeight="1">
      <c r="A289" s="6"/>
      <c r="B289" s="6"/>
      <c r="C289" s="6"/>
      <c r="D289" s="6"/>
      <c r="E289" s="6"/>
      <c r="F289" s="11"/>
    </row>
    <row r="290" ht="14.25" customHeight="1">
      <c r="F290" s="11"/>
    </row>
    <row r="291" ht="14.25" customHeight="1">
      <c r="A291" s="6"/>
      <c r="B291" s="6"/>
      <c r="C291" s="6"/>
      <c r="D291" s="6"/>
      <c r="E291" s="6"/>
      <c r="F291" s="11"/>
    </row>
    <row r="292" ht="14.25" customHeight="1">
      <c r="F292" s="11"/>
    </row>
    <row r="293" ht="14.25" customHeight="1">
      <c r="A293" s="6"/>
      <c r="B293" s="6"/>
      <c r="C293" s="6"/>
      <c r="D293" s="6"/>
      <c r="E293" s="6"/>
      <c r="F293" s="11"/>
    </row>
    <row r="294" ht="14.25" customHeight="1">
      <c r="F294" s="11"/>
    </row>
    <row r="295" ht="14.25" customHeight="1">
      <c r="A295" s="6"/>
      <c r="B295" s="6"/>
      <c r="C295" s="6"/>
      <c r="D295" s="6"/>
      <c r="E295" s="6"/>
      <c r="F295" s="11"/>
    </row>
    <row r="296" ht="14.25" customHeight="1">
      <c r="F296" s="11"/>
    </row>
    <row r="297" ht="14.25" customHeight="1">
      <c r="A297" s="6"/>
      <c r="B297" s="6"/>
      <c r="C297" s="6"/>
      <c r="D297" s="6"/>
      <c r="E297" s="6"/>
      <c r="F297" s="11"/>
    </row>
    <row r="298" ht="14.25" customHeight="1">
      <c r="F298" s="11"/>
    </row>
    <row r="299" ht="14.25" customHeight="1">
      <c r="A299" s="6"/>
      <c r="B299" s="6"/>
      <c r="C299" s="6"/>
      <c r="D299" s="6"/>
      <c r="E299" s="6"/>
      <c r="F299" s="11"/>
    </row>
    <row r="300" ht="14.25" customHeight="1">
      <c r="F300" s="11"/>
    </row>
    <row r="301" ht="14.25" customHeight="1">
      <c r="A301" s="6"/>
      <c r="B301" s="6"/>
      <c r="C301" s="6"/>
      <c r="D301" s="6"/>
      <c r="E301" s="6"/>
      <c r="F301" s="11"/>
    </row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4.63"/>
    <col customWidth="1" min="2" max="2" width="38.88"/>
    <col customWidth="1" min="3" max="5" width="25.88"/>
  </cols>
  <sheetData>
    <row r="1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 t="s">
        <v>106</v>
      </c>
      <c r="B2" s="16" t="s">
        <v>107</v>
      </c>
      <c r="C2" s="16" t="s">
        <v>108</v>
      </c>
      <c r="D2" s="16" t="s">
        <v>109</v>
      </c>
      <c r="E2" s="16" t="s">
        <v>110</v>
      </c>
    </row>
    <row r="3">
      <c r="A3" s="15" t="s">
        <v>111</v>
      </c>
      <c r="B3" s="16" t="s">
        <v>112</v>
      </c>
      <c r="C3" s="16" t="s">
        <v>113</v>
      </c>
      <c r="D3" s="16" t="s">
        <v>114</v>
      </c>
      <c r="E3" s="16" t="s">
        <v>115</v>
      </c>
    </row>
    <row r="4">
      <c r="A4" s="15" t="s">
        <v>116</v>
      </c>
      <c r="B4" s="16" t="s">
        <v>117</v>
      </c>
      <c r="C4" s="16" t="s">
        <v>118</v>
      </c>
      <c r="D4" s="16" t="s">
        <v>119</v>
      </c>
      <c r="E4" s="16" t="s">
        <v>120</v>
      </c>
    </row>
    <row r="5">
      <c r="A5" s="15" t="s">
        <v>121</v>
      </c>
      <c r="B5" s="16" t="s">
        <v>122</v>
      </c>
      <c r="C5" s="16" t="s">
        <v>123</v>
      </c>
      <c r="D5" s="16" t="s">
        <v>124</v>
      </c>
      <c r="E5" s="16" t="s">
        <v>125</v>
      </c>
    </row>
    <row r="6">
      <c r="A6" s="15" t="s">
        <v>126</v>
      </c>
      <c r="B6" s="16" t="s">
        <v>127</v>
      </c>
      <c r="C6" s="16" t="s">
        <v>128</v>
      </c>
      <c r="D6" s="16" t="s">
        <v>129</v>
      </c>
      <c r="E6" s="16" t="s">
        <v>130</v>
      </c>
    </row>
    <row r="7">
      <c r="A7" s="15" t="s">
        <v>131</v>
      </c>
      <c r="B7" s="16" t="s">
        <v>112</v>
      </c>
      <c r="C7" s="16" t="s">
        <v>132</v>
      </c>
      <c r="D7" s="16" t="s">
        <v>115</v>
      </c>
      <c r="E7" s="16" t="s">
        <v>133</v>
      </c>
    </row>
    <row r="8">
      <c r="A8" s="15" t="s">
        <v>134</v>
      </c>
      <c r="B8" s="16" t="s">
        <v>135</v>
      </c>
      <c r="C8" s="16" t="s">
        <v>136</v>
      </c>
      <c r="D8" s="16" t="s">
        <v>137</v>
      </c>
      <c r="E8" s="16" t="s">
        <v>138</v>
      </c>
    </row>
    <row r="9">
      <c r="A9" s="15" t="s">
        <v>139</v>
      </c>
      <c r="B9" s="16" t="s">
        <v>140</v>
      </c>
      <c r="C9" s="16" t="s">
        <v>141</v>
      </c>
      <c r="D9" s="16" t="s">
        <v>142</v>
      </c>
      <c r="E9" s="16" t="s">
        <v>143</v>
      </c>
    </row>
    <row r="10">
      <c r="A10" s="15" t="s">
        <v>144</v>
      </c>
      <c r="B10" s="16" t="s">
        <v>145</v>
      </c>
      <c r="C10" s="16" t="s">
        <v>146</v>
      </c>
      <c r="D10" s="16" t="s">
        <v>147</v>
      </c>
      <c r="E10" s="16" t="s">
        <v>148</v>
      </c>
    </row>
    <row r="11">
      <c r="A11" s="15" t="s">
        <v>149</v>
      </c>
      <c r="B11" s="16" t="s">
        <v>135</v>
      </c>
      <c r="C11" s="16" t="s">
        <v>136</v>
      </c>
      <c r="D11" s="16" t="s">
        <v>137</v>
      </c>
      <c r="E11" s="16" t="s">
        <v>115</v>
      </c>
    </row>
    <row r="12">
      <c r="A12" s="15" t="s">
        <v>150</v>
      </c>
      <c r="B12" s="16" t="s">
        <v>151</v>
      </c>
      <c r="C12" s="16" t="s">
        <v>117</v>
      </c>
      <c r="D12" s="16" t="s">
        <v>152</v>
      </c>
      <c r="E12" s="16" t="s">
        <v>153</v>
      </c>
    </row>
    <row r="13">
      <c r="A13" s="15" t="s">
        <v>154</v>
      </c>
      <c r="B13" s="16" t="s">
        <v>155</v>
      </c>
      <c r="C13" s="16" t="s">
        <v>156</v>
      </c>
      <c r="D13" s="16" t="s">
        <v>157</v>
      </c>
      <c r="E13" s="16" t="s">
        <v>158</v>
      </c>
    </row>
    <row r="14">
      <c r="A14" s="15" t="s">
        <v>159</v>
      </c>
      <c r="B14" s="16" t="s">
        <v>160</v>
      </c>
      <c r="C14" s="16" t="s">
        <v>161</v>
      </c>
      <c r="D14" s="16" t="s">
        <v>162</v>
      </c>
      <c r="E14" s="16" t="s">
        <v>163</v>
      </c>
    </row>
    <row r="15">
      <c r="A15" s="15" t="s">
        <v>164</v>
      </c>
      <c r="B15" s="16" t="s">
        <v>165</v>
      </c>
      <c r="C15" s="16" t="s">
        <v>166</v>
      </c>
      <c r="D15" s="16" t="s">
        <v>167</v>
      </c>
      <c r="E15" s="16" t="s">
        <v>168</v>
      </c>
    </row>
    <row r="16">
      <c r="A16" s="15" t="s">
        <v>169</v>
      </c>
      <c r="B16" s="16" t="s">
        <v>138</v>
      </c>
      <c r="C16" s="16" t="s">
        <v>137</v>
      </c>
      <c r="D16" s="16" t="s">
        <v>115</v>
      </c>
      <c r="E16" s="16" t="s">
        <v>135</v>
      </c>
    </row>
    <row r="17">
      <c r="A17" s="15" t="s">
        <v>170</v>
      </c>
      <c r="B17" s="16" t="s">
        <v>171</v>
      </c>
      <c r="C17" s="16" t="s">
        <v>172</v>
      </c>
      <c r="D17" s="16" t="s">
        <v>173</v>
      </c>
      <c r="E17" s="16" t="s">
        <v>174</v>
      </c>
    </row>
    <row r="18">
      <c r="A18" s="15" t="s">
        <v>175</v>
      </c>
      <c r="B18" s="16" t="s">
        <v>176</v>
      </c>
      <c r="C18" s="16" t="s">
        <v>177</v>
      </c>
      <c r="D18" s="16" t="s">
        <v>178</v>
      </c>
      <c r="E18" s="16" t="s">
        <v>179</v>
      </c>
    </row>
    <row r="19">
      <c r="A19" s="15" t="s">
        <v>180</v>
      </c>
      <c r="B19" s="16" t="s">
        <v>181</v>
      </c>
      <c r="C19" s="16" t="s">
        <v>182</v>
      </c>
      <c r="D19" s="16" t="s">
        <v>183</v>
      </c>
      <c r="E19" s="16" t="s">
        <v>184</v>
      </c>
    </row>
    <row r="20">
      <c r="A20" s="15" t="s">
        <v>185</v>
      </c>
      <c r="B20" s="16" t="s">
        <v>133</v>
      </c>
      <c r="C20" s="16" t="s">
        <v>186</v>
      </c>
      <c r="D20" s="16" t="s">
        <v>114</v>
      </c>
      <c r="E20" s="16" t="s">
        <v>187</v>
      </c>
    </row>
    <row r="21">
      <c r="A21" s="15" t="s">
        <v>188</v>
      </c>
      <c r="B21" s="16" t="s">
        <v>132</v>
      </c>
      <c r="C21" s="16" t="s">
        <v>112</v>
      </c>
      <c r="D21" s="16" t="s">
        <v>114</v>
      </c>
      <c r="E21" s="16" t="s">
        <v>133</v>
      </c>
    </row>
    <row r="22">
      <c r="A22" s="15" t="s">
        <v>189</v>
      </c>
      <c r="B22" s="16" t="s">
        <v>190</v>
      </c>
      <c r="C22" s="16" t="s">
        <v>191</v>
      </c>
      <c r="D22" s="16" t="s">
        <v>192</v>
      </c>
      <c r="E22" s="16" t="s">
        <v>193</v>
      </c>
    </row>
    <row r="23">
      <c r="A23" s="15" t="s">
        <v>194</v>
      </c>
      <c r="B23" s="16" t="s">
        <v>133</v>
      </c>
      <c r="C23" s="16" t="s">
        <v>113</v>
      </c>
      <c r="D23" s="16" t="s">
        <v>114</v>
      </c>
      <c r="E23" s="16" t="s">
        <v>187</v>
      </c>
    </row>
    <row r="24">
      <c r="A24" s="15" t="s">
        <v>195</v>
      </c>
      <c r="B24" s="16" t="s">
        <v>196</v>
      </c>
      <c r="C24" s="16" t="s">
        <v>197</v>
      </c>
      <c r="D24" s="16" t="s">
        <v>198</v>
      </c>
      <c r="E24" s="16" t="s">
        <v>199</v>
      </c>
    </row>
    <row r="25">
      <c r="A25" s="15" t="s">
        <v>200</v>
      </c>
      <c r="B25" s="16" t="s">
        <v>201</v>
      </c>
      <c r="C25" s="16" t="s">
        <v>202</v>
      </c>
      <c r="D25" s="16" t="s">
        <v>203</v>
      </c>
      <c r="E25" s="16" t="s">
        <v>204</v>
      </c>
    </row>
    <row r="26">
      <c r="A26" s="15" t="s">
        <v>205</v>
      </c>
      <c r="B26" s="16" t="s">
        <v>206</v>
      </c>
      <c r="C26" s="16" t="s">
        <v>207</v>
      </c>
      <c r="D26" s="16" t="s">
        <v>208</v>
      </c>
      <c r="E26" s="16" t="s">
        <v>209</v>
      </c>
    </row>
    <row r="27">
      <c r="A27" s="15" t="s">
        <v>210</v>
      </c>
      <c r="B27" s="16" t="s">
        <v>211</v>
      </c>
      <c r="C27" s="16" t="s">
        <v>212</v>
      </c>
      <c r="D27" s="16" t="s">
        <v>213</v>
      </c>
      <c r="E27" s="16" t="s">
        <v>214</v>
      </c>
    </row>
    <row r="28">
      <c r="A28" s="15" t="s">
        <v>215</v>
      </c>
      <c r="B28" s="16" t="s">
        <v>216</v>
      </c>
      <c r="C28" s="16" t="s">
        <v>217</v>
      </c>
      <c r="D28" s="16" t="s">
        <v>218</v>
      </c>
      <c r="E28" s="16" t="s">
        <v>219</v>
      </c>
    </row>
    <row r="29">
      <c r="A29" s="15" t="s">
        <v>220</v>
      </c>
      <c r="B29" s="16" t="s">
        <v>112</v>
      </c>
      <c r="C29" s="16" t="s">
        <v>113</v>
      </c>
      <c r="D29" s="16" t="s">
        <v>114</v>
      </c>
      <c r="E29" s="16" t="s">
        <v>115</v>
      </c>
    </row>
    <row r="30">
      <c r="A30" s="15" t="s">
        <v>221</v>
      </c>
      <c r="B30" s="16" t="s">
        <v>222</v>
      </c>
      <c r="C30" s="16" t="s">
        <v>223</v>
      </c>
      <c r="D30" s="16" t="s">
        <v>224</v>
      </c>
      <c r="E30" s="16" t="s">
        <v>225</v>
      </c>
    </row>
    <row r="31">
      <c r="A31" s="15" t="s">
        <v>226</v>
      </c>
      <c r="B31" s="16" t="s">
        <v>227</v>
      </c>
      <c r="C31" s="16" t="s">
        <v>181</v>
      </c>
      <c r="D31" s="16" t="s">
        <v>182</v>
      </c>
      <c r="E31" s="16" t="s">
        <v>228</v>
      </c>
    </row>
    <row r="32">
      <c r="A32" s="15" t="s">
        <v>229</v>
      </c>
      <c r="B32" s="16" t="s">
        <v>230</v>
      </c>
      <c r="C32" s="16" t="s">
        <v>168</v>
      </c>
      <c r="D32" s="16" t="s">
        <v>231</v>
      </c>
      <c r="E32" s="16" t="s">
        <v>165</v>
      </c>
    </row>
    <row r="33">
      <c r="A33" s="15" t="s">
        <v>232</v>
      </c>
      <c r="B33" s="16" t="s">
        <v>186</v>
      </c>
      <c r="C33" s="16" t="s">
        <v>233</v>
      </c>
      <c r="D33" s="16" t="s">
        <v>234</v>
      </c>
      <c r="E33" s="16" t="s">
        <v>235</v>
      </c>
    </row>
    <row r="34">
      <c r="A34" s="15" t="s">
        <v>236</v>
      </c>
      <c r="B34" s="16" t="s">
        <v>237</v>
      </c>
      <c r="C34" s="16" t="s">
        <v>238</v>
      </c>
      <c r="D34" s="16" t="s">
        <v>239</v>
      </c>
      <c r="E34" s="16" t="s">
        <v>240</v>
      </c>
    </row>
    <row r="35">
      <c r="A35" s="15" t="s">
        <v>241</v>
      </c>
      <c r="B35" s="16" t="s">
        <v>242</v>
      </c>
      <c r="C35" s="16" t="s">
        <v>243</v>
      </c>
      <c r="D35" s="16" t="s">
        <v>244</v>
      </c>
      <c r="E35" s="16" t="s">
        <v>245</v>
      </c>
    </row>
    <row r="36">
      <c r="A36" s="15" t="s">
        <v>246</v>
      </c>
      <c r="B36" s="16" t="s">
        <v>247</v>
      </c>
      <c r="C36" s="16" t="s">
        <v>248</v>
      </c>
      <c r="D36" s="16" t="s">
        <v>186</v>
      </c>
      <c r="E36" s="16" t="s">
        <v>249</v>
      </c>
    </row>
    <row r="37">
      <c r="A37" s="15" t="s">
        <v>250</v>
      </c>
      <c r="B37" s="16" t="s">
        <v>128</v>
      </c>
      <c r="C37" s="16" t="s">
        <v>127</v>
      </c>
      <c r="D37" s="16" t="s">
        <v>129</v>
      </c>
      <c r="E37" s="16" t="s">
        <v>130</v>
      </c>
    </row>
    <row r="38">
      <c r="A38" s="15" t="s">
        <v>251</v>
      </c>
      <c r="B38" s="16" t="s">
        <v>233</v>
      </c>
      <c r="C38" s="16" t="s">
        <v>186</v>
      </c>
      <c r="D38" s="16" t="s">
        <v>234</v>
      </c>
      <c r="E38" s="16" t="s">
        <v>235</v>
      </c>
    </row>
    <row r="39">
      <c r="A39" s="15" t="s">
        <v>252</v>
      </c>
      <c r="B39" s="16" t="s">
        <v>253</v>
      </c>
      <c r="C39" s="16" t="s">
        <v>254</v>
      </c>
      <c r="D39" s="16" t="s">
        <v>255</v>
      </c>
      <c r="E39" s="16" t="s">
        <v>256</v>
      </c>
    </row>
    <row r="40">
      <c r="A40" s="15" t="s">
        <v>257</v>
      </c>
      <c r="B40" s="16" t="s">
        <v>258</v>
      </c>
      <c r="C40" s="16" t="s">
        <v>259</v>
      </c>
      <c r="D40" s="16" t="s">
        <v>260</v>
      </c>
      <c r="E40" s="16" t="s">
        <v>235</v>
      </c>
    </row>
    <row r="41">
      <c r="A41" s="15" t="s">
        <v>261</v>
      </c>
      <c r="B41" s="16" t="s">
        <v>109</v>
      </c>
      <c r="C41" s="16" t="s">
        <v>107</v>
      </c>
      <c r="D41" s="16" t="s">
        <v>108</v>
      </c>
      <c r="E41" s="16" t="s">
        <v>110</v>
      </c>
    </row>
    <row r="42">
      <c r="A42" s="15" t="s">
        <v>262</v>
      </c>
      <c r="B42" s="16" t="s">
        <v>263</v>
      </c>
      <c r="C42" s="16" t="s">
        <v>264</v>
      </c>
      <c r="D42" s="16" t="s">
        <v>265</v>
      </c>
      <c r="E42" s="16" t="s">
        <v>266</v>
      </c>
    </row>
    <row r="43">
      <c r="A43" s="15" t="s">
        <v>267</v>
      </c>
      <c r="B43" s="16" t="s">
        <v>268</v>
      </c>
      <c r="C43" s="16" t="s">
        <v>147</v>
      </c>
      <c r="D43" s="16" t="s">
        <v>269</v>
      </c>
      <c r="E43" s="16" t="s">
        <v>145</v>
      </c>
    </row>
    <row r="44">
      <c r="A44" s="15" t="s">
        <v>270</v>
      </c>
      <c r="B44" s="16" t="s">
        <v>271</v>
      </c>
      <c r="C44" s="16" t="s">
        <v>272</v>
      </c>
      <c r="D44" s="16" t="s">
        <v>273</v>
      </c>
      <c r="E44" s="16" t="s">
        <v>274</v>
      </c>
    </row>
    <row r="45">
      <c r="A45" s="15" t="s">
        <v>275</v>
      </c>
      <c r="B45" s="16" t="s">
        <v>135</v>
      </c>
      <c r="C45" s="16" t="s">
        <v>137</v>
      </c>
      <c r="D45" s="16" t="s">
        <v>136</v>
      </c>
      <c r="E45" s="16" t="s">
        <v>138</v>
      </c>
    </row>
    <row r="46">
      <c r="A46" s="17" t="s">
        <v>276</v>
      </c>
      <c r="B46" s="17" t="s">
        <v>277</v>
      </c>
      <c r="C46" s="17" t="s">
        <v>278</v>
      </c>
      <c r="D46" s="17" t="s">
        <v>279</v>
      </c>
      <c r="E46" s="17" t="s">
        <v>280</v>
      </c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>
      <c r="A47" s="15" t="s">
        <v>281</v>
      </c>
      <c r="B47" s="16" t="s">
        <v>282</v>
      </c>
      <c r="C47" s="16" t="s">
        <v>283</v>
      </c>
      <c r="D47" s="16" t="s">
        <v>284</v>
      </c>
      <c r="E47" s="16" t="s">
        <v>285</v>
      </c>
    </row>
    <row r="48">
      <c r="A48" s="15" t="s">
        <v>286</v>
      </c>
      <c r="B48" s="16" t="s">
        <v>287</v>
      </c>
      <c r="C48" s="16" t="s">
        <v>288</v>
      </c>
      <c r="D48" s="16" t="s">
        <v>289</v>
      </c>
      <c r="E48" s="16" t="s">
        <v>290</v>
      </c>
    </row>
    <row r="49">
      <c r="A49" s="15" t="s">
        <v>291</v>
      </c>
      <c r="B49" s="16" t="s">
        <v>292</v>
      </c>
      <c r="C49" s="16" t="s">
        <v>293</v>
      </c>
      <c r="D49" s="16" t="s">
        <v>294</v>
      </c>
      <c r="E49" s="16" t="s">
        <v>295</v>
      </c>
    </row>
    <row r="50">
      <c r="A50" s="15" t="s">
        <v>296</v>
      </c>
      <c r="B50" s="16" t="s">
        <v>115</v>
      </c>
      <c r="C50" s="16" t="s">
        <v>137</v>
      </c>
      <c r="D50" s="16" t="s">
        <v>112</v>
      </c>
      <c r="E50" s="16" t="s">
        <v>138</v>
      </c>
    </row>
    <row r="51">
      <c r="A51" s="15" t="s">
        <v>297</v>
      </c>
      <c r="B51" s="16" t="s">
        <v>298</v>
      </c>
      <c r="C51" s="16" t="s">
        <v>240</v>
      </c>
      <c r="D51" s="16" t="s">
        <v>299</v>
      </c>
      <c r="E51" s="16" t="s">
        <v>300</v>
      </c>
    </row>
    <row r="52">
      <c r="A52" s="15" t="s">
        <v>301</v>
      </c>
      <c r="B52" s="16" t="s">
        <v>302</v>
      </c>
      <c r="C52" s="16" t="s">
        <v>303</v>
      </c>
      <c r="D52" s="16" t="s">
        <v>304</v>
      </c>
      <c r="E52" s="16" t="s">
        <v>305</v>
      </c>
    </row>
    <row r="53">
      <c r="A53" s="15" t="s">
        <v>306</v>
      </c>
      <c r="B53" s="16" t="s">
        <v>307</v>
      </c>
      <c r="C53" s="16" t="s">
        <v>308</v>
      </c>
      <c r="D53" s="16" t="s">
        <v>309</v>
      </c>
      <c r="E53" s="16" t="s">
        <v>310</v>
      </c>
    </row>
    <row r="54">
      <c r="A54" s="15" t="s">
        <v>311</v>
      </c>
      <c r="B54" s="16" t="s">
        <v>145</v>
      </c>
      <c r="C54" s="16" t="s">
        <v>269</v>
      </c>
      <c r="D54" s="16" t="s">
        <v>312</v>
      </c>
      <c r="E54" s="16" t="s">
        <v>147</v>
      </c>
    </row>
    <row r="55">
      <c r="A55" s="15" t="s">
        <v>313</v>
      </c>
      <c r="B55" s="16" t="s">
        <v>138</v>
      </c>
      <c r="C55" s="16" t="s">
        <v>137</v>
      </c>
      <c r="D55" s="16" t="s">
        <v>115</v>
      </c>
      <c r="E55" s="16" t="s">
        <v>113</v>
      </c>
    </row>
    <row r="56">
      <c r="A56" s="15" t="s">
        <v>314</v>
      </c>
      <c r="B56" s="16" t="s">
        <v>315</v>
      </c>
      <c r="C56" s="16" t="s">
        <v>316</v>
      </c>
      <c r="D56" s="16" t="s">
        <v>148</v>
      </c>
      <c r="E56" s="16" t="s">
        <v>317</v>
      </c>
    </row>
    <row r="57">
      <c r="A57" s="15" t="s">
        <v>318</v>
      </c>
      <c r="B57" s="16" t="s">
        <v>238</v>
      </c>
      <c r="C57" s="16" t="s">
        <v>237</v>
      </c>
      <c r="D57" s="16" t="s">
        <v>319</v>
      </c>
      <c r="E57" s="16" t="s">
        <v>320</v>
      </c>
    </row>
    <row r="58">
      <c r="A58" s="15" t="s">
        <v>321</v>
      </c>
      <c r="B58" s="16" t="s">
        <v>322</v>
      </c>
      <c r="C58" s="16" t="s">
        <v>323</v>
      </c>
      <c r="D58" s="16" t="s">
        <v>324</v>
      </c>
      <c r="E58" s="16" t="s">
        <v>325</v>
      </c>
    </row>
    <row r="59">
      <c r="A59" s="15" t="s">
        <v>326</v>
      </c>
      <c r="B59" s="16" t="s">
        <v>327</v>
      </c>
      <c r="C59" s="16" t="s">
        <v>307</v>
      </c>
      <c r="D59" s="16" t="s">
        <v>310</v>
      </c>
      <c r="E59" s="16" t="s">
        <v>309</v>
      </c>
    </row>
    <row r="60">
      <c r="A60" s="15" t="s">
        <v>328</v>
      </c>
      <c r="B60" s="16" t="s">
        <v>329</v>
      </c>
      <c r="C60" s="16" t="s">
        <v>259</v>
      </c>
      <c r="D60" s="16" t="s">
        <v>260</v>
      </c>
      <c r="E60" s="16" t="s">
        <v>330</v>
      </c>
    </row>
    <row r="61">
      <c r="A61" s="15" t="s">
        <v>331</v>
      </c>
      <c r="B61" s="16" t="s">
        <v>332</v>
      </c>
      <c r="C61" s="16" t="s">
        <v>333</v>
      </c>
      <c r="D61" s="16" t="s">
        <v>334</v>
      </c>
      <c r="E61" s="16" t="s">
        <v>335</v>
      </c>
    </row>
    <row r="62">
      <c r="A62" s="15" t="s">
        <v>336</v>
      </c>
      <c r="B62" s="16" t="s">
        <v>337</v>
      </c>
      <c r="C62" s="16" t="s">
        <v>146</v>
      </c>
      <c r="D62" s="16" t="s">
        <v>160</v>
      </c>
      <c r="E62" s="16" t="s">
        <v>147</v>
      </c>
    </row>
    <row r="63">
      <c r="A63" s="15" t="s">
        <v>338</v>
      </c>
      <c r="B63" s="16" t="s">
        <v>339</v>
      </c>
      <c r="C63" s="16" t="s">
        <v>340</v>
      </c>
      <c r="D63" s="16" t="s">
        <v>341</v>
      </c>
      <c r="E63" s="16" t="s">
        <v>136</v>
      </c>
    </row>
    <row r="64">
      <c r="A64" s="19" t="s">
        <v>342</v>
      </c>
      <c r="B64" s="17" t="s">
        <v>343</v>
      </c>
      <c r="C64" s="17" t="s">
        <v>227</v>
      </c>
      <c r="D64" s="17" t="s">
        <v>344</v>
      </c>
      <c r="E64" s="17" t="s">
        <v>181</v>
      </c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>
      <c r="A65" s="15" t="s">
        <v>345</v>
      </c>
      <c r="B65" s="16" t="s">
        <v>161</v>
      </c>
      <c r="C65" s="16" t="s">
        <v>346</v>
      </c>
      <c r="D65" s="16" t="s">
        <v>146</v>
      </c>
      <c r="E65" s="16" t="s">
        <v>347</v>
      </c>
    </row>
    <row r="66">
      <c r="A66" s="19" t="s">
        <v>348</v>
      </c>
      <c r="B66" s="17" t="s">
        <v>349</v>
      </c>
      <c r="C66" s="17" t="s">
        <v>173</v>
      </c>
      <c r="D66" s="17" t="s">
        <v>350</v>
      </c>
      <c r="E66" s="17" t="s">
        <v>351</v>
      </c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>
      <c r="A67" s="19" t="s">
        <v>352</v>
      </c>
      <c r="B67" s="17" t="s">
        <v>271</v>
      </c>
      <c r="C67" s="17" t="s">
        <v>353</v>
      </c>
      <c r="D67" s="17" t="s">
        <v>354</v>
      </c>
      <c r="E67" s="17" t="s">
        <v>355</v>
      </c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>
      <c r="A68" s="19" t="s">
        <v>356</v>
      </c>
      <c r="B68" s="17" t="s">
        <v>225</v>
      </c>
      <c r="C68" s="17" t="s">
        <v>223</v>
      </c>
      <c r="D68" s="17" t="s">
        <v>214</v>
      </c>
      <c r="E68" s="17" t="s">
        <v>224</v>
      </c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>
      <c r="A69" s="19" t="s">
        <v>357</v>
      </c>
      <c r="B69" s="17" t="s">
        <v>358</v>
      </c>
      <c r="C69" s="17" t="s">
        <v>359</v>
      </c>
      <c r="D69" s="17" t="s">
        <v>360</v>
      </c>
      <c r="E69" s="17" t="s">
        <v>361</v>
      </c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>
      <c r="A70" s="19" t="s">
        <v>362</v>
      </c>
      <c r="B70" s="17" t="s">
        <v>363</v>
      </c>
      <c r="C70" s="17" t="s">
        <v>364</v>
      </c>
      <c r="D70" s="17" t="s">
        <v>365</v>
      </c>
      <c r="E70" s="17" t="s">
        <v>366</v>
      </c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>
      <c r="A71" s="19" t="s">
        <v>367</v>
      </c>
      <c r="B71" s="17" t="s">
        <v>368</v>
      </c>
      <c r="C71" s="17" t="s">
        <v>369</v>
      </c>
      <c r="D71" s="17" t="s">
        <v>359</v>
      </c>
      <c r="E71" s="17" t="s">
        <v>370</v>
      </c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>
      <c r="A72" s="15" t="s">
        <v>371</v>
      </c>
      <c r="B72" s="16" t="s">
        <v>372</v>
      </c>
      <c r="C72" s="16" t="s">
        <v>373</v>
      </c>
      <c r="D72" s="16" t="s">
        <v>374</v>
      </c>
      <c r="E72" s="16" t="s">
        <v>375</v>
      </c>
    </row>
    <row r="73">
      <c r="A73" s="15" t="s">
        <v>376</v>
      </c>
      <c r="B73" s="16" t="s">
        <v>377</v>
      </c>
      <c r="C73" s="16" t="s">
        <v>147</v>
      </c>
      <c r="D73" s="16" t="s">
        <v>347</v>
      </c>
      <c r="E73" s="16" t="s">
        <v>146</v>
      </c>
    </row>
    <row r="74">
      <c r="A74" s="19" t="s">
        <v>378</v>
      </c>
      <c r="B74" s="17" t="s">
        <v>379</v>
      </c>
      <c r="C74" s="17" t="s">
        <v>350</v>
      </c>
      <c r="D74" s="17" t="s">
        <v>167</v>
      </c>
      <c r="E74" s="17" t="s">
        <v>280</v>
      </c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>
      <c r="A75" s="19" t="s">
        <v>380</v>
      </c>
      <c r="B75" s="17" t="s">
        <v>381</v>
      </c>
      <c r="C75" s="17" t="s">
        <v>186</v>
      </c>
      <c r="D75" s="17" t="s">
        <v>382</v>
      </c>
      <c r="E75" s="17" t="s">
        <v>187</v>
      </c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>
      <c r="A76" s="15" t="s">
        <v>383</v>
      </c>
      <c r="B76" s="16" t="s">
        <v>384</v>
      </c>
      <c r="C76" s="16" t="s">
        <v>385</v>
      </c>
      <c r="D76" s="16" t="s">
        <v>386</v>
      </c>
      <c r="E76" s="16" t="s">
        <v>387</v>
      </c>
    </row>
    <row r="77">
      <c r="A77" s="15" t="s">
        <v>388</v>
      </c>
      <c r="B77" s="16" t="s">
        <v>324</v>
      </c>
      <c r="C77" s="16" t="s">
        <v>322</v>
      </c>
      <c r="D77" s="16" t="s">
        <v>389</v>
      </c>
      <c r="E77" s="16" t="s">
        <v>308</v>
      </c>
    </row>
    <row r="78">
      <c r="A78" s="15" t="s">
        <v>390</v>
      </c>
      <c r="B78" s="16" t="s">
        <v>391</v>
      </c>
      <c r="C78" s="16" t="s">
        <v>392</v>
      </c>
      <c r="D78" s="16" t="s">
        <v>393</v>
      </c>
      <c r="E78" s="16" t="s">
        <v>394</v>
      </c>
    </row>
    <row r="79">
      <c r="A79" s="15" t="s">
        <v>395</v>
      </c>
      <c r="B79" s="16" t="s">
        <v>396</v>
      </c>
      <c r="C79" s="16" t="s">
        <v>397</v>
      </c>
      <c r="D79" s="16" t="s">
        <v>398</v>
      </c>
      <c r="E79" s="16" t="s">
        <v>399</v>
      </c>
    </row>
    <row r="80">
      <c r="A80" s="15" t="s">
        <v>400</v>
      </c>
      <c r="B80" s="16" t="s">
        <v>401</v>
      </c>
      <c r="C80" s="16" t="s">
        <v>402</v>
      </c>
      <c r="D80" s="16" t="s">
        <v>403</v>
      </c>
      <c r="E80" s="16" t="s">
        <v>404</v>
      </c>
    </row>
    <row r="81">
      <c r="A81" s="15" t="s">
        <v>405</v>
      </c>
      <c r="B81" s="16" t="s">
        <v>406</v>
      </c>
      <c r="C81" s="16" t="s">
        <v>407</v>
      </c>
      <c r="D81" s="16" t="s">
        <v>408</v>
      </c>
      <c r="E81" s="16" t="s">
        <v>409</v>
      </c>
    </row>
    <row r="82">
      <c r="A82" s="15" t="s">
        <v>410</v>
      </c>
      <c r="B82" s="16" t="s">
        <v>411</v>
      </c>
      <c r="C82" s="16" t="s">
        <v>412</v>
      </c>
      <c r="D82" s="16" t="s">
        <v>413</v>
      </c>
      <c r="E82" s="16" t="s">
        <v>414</v>
      </c>
    </row>
    <row r="83">
      <c r="A83" s="15" t="s">
        <v>415</v>
      </c>
      <c r="B83" s="16" t="s">
        <v>416</v>
      </c>
      <c r="C83" s="16" t="s">
        <v>417</v>
      </c>
      <c r="D83" s="16" t="s">
        <v>418</v>
      </c>
      <c r="E83" s="16" t="s">
        <v>419</v>
      </c>
    </row>
    <row r="84">
      <c r="A84" s="15" t="s">
        <v>420</v>
      </c>
      <c r="B84" s="16" t="s">
        <v>421</v>
      </c>
      <c r="C84" s="16" t="s">
        <v>422</v>
      </c>
      <c r="D84" s="16" t="s">
        <v>423</v>
      </c>
      <c r="E84" s="16" t="s">
        <v>424</v>
      </c>
    </row>
    <row r="85">
      <c r="A85" s="15" t="s">
        <v>425</v>
      </c>
      <c r="B85" s="16" t="s">
        <v>426</v>
      </c>
      <c r="C85" s="16" t="s">
        <v>427</v>
      </c>
      <c r="D85" s="16" t="s">
        <v>428</v>
      </c>
      <c r="E85" s="16" t="s">
        <v>429</v>
      </c>
    </row>
    <row r="86">
      <c r="A86" s="15" t="s">
        <v>430</v>
      </c>
      <c r="B86" s="16" t="s">
        <v>426</v>
      </c>
      <c r="C86" s="16" t="s">
        <v>427</v>
      </c>
      <c r="D86" s="16" t="s">
        <v>428</v>
      </c>
      <c r="E86" s="16" t="s">
        <v>429</v>
      </c>
    </row>
    <row r="87">
      <c r="A87" s="15" t="s">
        <v>431</v>
      </c>
      <c r="B87" s="16" t="s">
        <v>179</v>
      </c>
      <c r="C87" s="16" t="s">
        <v>178</v>
      </c>
      <c r="D87" s="16" t="s">
        <v>177</v>
      </c>
      <c r="E87" s="16" t="s">
        <v>176</v>
      </c>
    </row>
    <row r="88">
      <c r="A88" s="15" t="s">
        <v>432</v>
      </c>
      <c r="B88" s="16" t="s">
        <v>177</v>
      </c>
      <c r="C88" s="16" t="s">
        <v>179</v>
      </c>
      <c r="D88" s="16" t="s">
        <v>178</v>
      </c>
      <c r="E88" s="16" t="s">
        <v>176</v>
      </c>
    </row>
    <row r="89">
      <c r="A89" s="15" t="s">
        <v>433</v>
      </c>
      <c r="B89" s="16" t="s">
        <v>129</v>
      </c>
      <c r="C89" s="16" t="s">
        <v>128</v>
      </c>
      <c r="D89" s="16" t="s">
        <v>127</v>
      </c>
      <c r="E89" s="16" t="s">
        <v>434</v>
      </c>
    </row>
    <row r="90">
      <c r="A90" s="15" t="s">
        <v>435</v>
      </c>
      <c r="B90" s="16" t="s">
        <v>436</v>
      </c>
      <c r="C90" s="16" t="s">
        <v>130</v>
      </c>
      <c r="D90" s="16" t="s">
        <v>437</v>
      </c>
      <c r="E90" s="16" t="s">
        <v>128</v>
      </c>
    </row>
    <row r="91">
      <c r="A91" s="15" t="s">
        <v>438</v>
      </c>
      <c r="B91" s="16" t="s">
        <v>130</v>
      </c>
      <c r="C91" s="16" t="s">
        <v>436</v>
      </c>
      <c r="D91" s="16" t="s">
        <v>127</v>
      </c>
      <c r="E91" s="16" t="s">
        <v>437</v>
      </c>
    </row>
    <row r="92">
      <c r="A92" s="15" t="s">
        <v>439</v>
      </c>
      <c r="B92" s="16" t="s">
        <v>235</v>
      </c>
      <c r="C92" s="16" t="s">
        <v>233</v>
      </c>
      <c r="D92" s="16" t="s">
        <v>161</v>
      </c>
      <c r="E92" s="16" t="s">
        <v>160</v>
      </c>
    </row>
    <row r="93">
      <c r="A93" s="15" t="s">
        <v>440</v>
      </c>
      <c r="B93" s="16" t="s">
        <v>161</v>
      </c>
      <c r="C93" s="16" t="s">
        <v>235</v>
      </c>
      <c r="D93" s="16" t="s">
        <v>160</v>
      </c>
      <c r="E93" s="16" t="s">
        <v>162</v>
      </c>
    </row>
    <row r="94">
      <c r="A94" s="15" t="s">
        <v>441</v>
      </c>
      <c r="B94" s="16" t="s">
        <v>162</v>
      </c>
      <c r="C94" s="16" t="s">
        <v>160</v>
      </c>
      <c r="D94" s="16" t="s">
        <v>163</v>
      </c>
      <c r="E94" s="16" t="s">
        <v>161</v>
      </c>
    </row>
    <row r="95">
      <c r="A95" s="15" t="s">
        <v>442</v>
      </c>
      <c r="B95" s="16" t="s">
        <v>443</v>
      </c>
      <c r="C95" s="16" t="s">
        <v>444</v>
      </c>
      <c r="D95" s="16" t="s">
        <v>445</v>
      </c>
      <c r="E95" s="16" t="s">
        <v>446</v>
      </c>
    </row>
    <row r="96">
      <c r="A96" s="19" t="s">
        <v>447</v>
      </c>
      <c r="B96" s="17" t="s">
        <v>448</v>
      </c>
      <c r="C96" s="17" t="s">
        <v>449</v>
      </c>
      <c r="D96" s="17" t="s">
        <v>450</v>
      </c>
      <c r="E96" s="17" t="s">
        <v>451</v>
      </c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>
      <c r="A97" s="19" t="s">
        <v>452</v>
      </c>
      <c r="B97" s="17" t="s">
        <v>453</v>
      </c>
      <c r="C97" s="17" t="s">
        <v>454</v>
      </c>
      <c r="D97" s="17" t="s">
        <v>455</v>
      </c>
      <c r="E97" s="17" t="s">
        <v>456</v>
      </c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>
      <c r="A98" s="15" t="s">
        <v>457</v>
      </c>
      <c r="B98" s="16" t="s">
        <v>458</v>
      </c>
      <c r="C98" s="16" t="s">
        <v>459</v>
      </c>
      <c r="D98" s="16" t="s">
        <v>460</v>
      </c>
      <c r="E98" s="16" t="s">
        <v>461</v>
      </c>
    </row>
    <row r="99">
      <c r="A99" s="15" t="s">
        <v>462</v>
      </c>
      <c r="B99" s="16" t="s">
        <v>463</v>
      </c>
      <c r="C99" s="16" t="s">
        <v>464</v>
      </c>
      <c r="D99" s="16" t="s">
        <v>465</v>
      </c>
      <c r="E99" s="16" t="s">
        <v>466</v>
      </c>
    </row>
    <row r="100">
      <c r="A100" s="15" t="s">
        <v>467</v>
      </c>
      <c r="B100" s="16" t="s">
        <v>468</v>
      </c>
      <c r="C100" s="16" t="s">
        <v>469</v>
      </c>
      <c r="D100" s="16" t="s">
        <v>470</v>
      </c>
      <c r="E100" s="16" t="s">
        <v>471</v>
      </c>
    </row>
    <row r="101">
      <c r="A101" s="15" t="s">
        <v>472</v>
      </c>
      <c r="B101" s="16" t="s">
        <v>473</v>
      </c>
      <c r="C101" s="16" t="s">
        <v>474</v>
      </c>
      <c r="D101" s="16" t="s">
        <v>475</v>
      </c>
      <c r="E101" s="16" t="s">
        <v>476</v>
      </c>
    </row>
    <row r="102">
      <c r="A102" s="15" t="s">
        <v>477</v>
      </c>
      <c r="B102" s="16" t="s">
        <v>478</v>
      </c>
      <c r="C102" s="16" t="s">
        <v>479</v>
      </c>
      <c r="D102" s="16" t="s">
        <v>480</v>
      </c>
      <c r="E102" s="16" t="s">
        <v>481</v>
      </c>
    </row>
    <row r="103">
      <c r="A103" s="15" t="s">
        <v>482</v>
      </c>
      <c r="B103" s="16" t="s">
        <v>483</v>
      </c>
      <c r="C103" s="16" t="s">
        <v>484</v>
      </c>
      <c r="D103" s="16" t="s">
        <v>485</v>
      </c>
      <c r="E103" s="16" t="s">
        <v>486</v>
      </c>
    </row>
    <row r="104">
      <c r="A104" s="15" t="s">
        <v>487</v>
      </c>
      <c r="B104" s="16" t="s">
        <v>488</v>
      </c>
      <c r="C104" s="16" t="s">
        <v>157</v>
      </c>
      <c r="D104" s="16" t="s">
        <v>156</v>
      </c>
      <c r="E104" s="16" t="s">
        <v>107</v>
      </c>
    </row>
    <row r="105">
      <c r="A105" s="15" t="s">
        <v>489</v>
      </c>
      <c r="B105" s="16" t="s">
        <v>490</v>
      </c>
      <c r="C105" s="16" t="s">
        <v>488</v>
      </c>
      <c r="D105" s="16" t="s">
        <v>108</v>
      </c>
      <c r="E105" s="16" t="s">
        <v>157</v>
      </c>
    </row>
    <row r="106">
      <c r="A106" s="15" t="s">
        <v>491</v>
      </c>
      <c r="B106" s="16" t="s">
        <v>492</v>
      </c>
      <c r="C106" s="16" t="s">
        <v>493</v>
      </c>
      <c r="D106" s="16" t="s">
        <v>494</v>
      </c>
      <c r="E106" s="16" t="s">
        <v>495</v>
      </c>
    </row>
    <row r="107">
      <c r="B107" s="20"/>
      <c r="C107" s="20"/>
      <c r="D107" s="20"/>
      <c r="E107" s="20"/>
    </row>
    <row r="108">
      <c r="B108" s="20"/>
      <c r="C108" s="20"/>
      <c r="D108" s="20"/>
      <c r="E108" s="20"/>
    </row>
    <row r="109">
      <c r="B109" s="20"/>
      <c r="C109" s="20"/>
      <c r="D109" s="20"/>
      <c r="E109" s="20"/>
    </row>
    <row r="110">
      <c r="B110" s="20"/>
      <c r="C110" s="20"/>
      <c r="D110" s="20"/>
      <c r="E110" s="20"/>
    </row>
    <row r="111">
      <c r="B111" s="20"/>
      <c r="C111" s="20"/>
      <c r="D111" s="20"/>
      <c r="E111" s="20"/>
    </row>
    <row r="112">
      <c r="B112" s="20"/>
      <c r="C112" s="20"/>
      <c r="D112" s="20"/>
      <c r="E112" s="20"/>
    </row>
    <row r="113">
      <c r="B113" s="20"/>
      <c r="C113" s="20"/>
      <c r="D113" s="20"/>
      <c r="E113" s="20"/>
    </row>
    <row r="114">
      <c r="B114" s="20"/>
      <c r="C114" s="20"/>
      <c r="D114" s="20"/>
      <c r="E114" s="20"/>
    </row>
    <row r="115">
      <c r="B115" s="20"/>
      <c r="C115" s="20"/>
      <c r="D115" s="20"/>
      <c r="E115" s="20"/>
    </row>
    <row r="116">
      <c r="B116" s="20"/>
      <c r="C116" s="20"/>
      <c r="D116" s="20"/>
      <c r="E116" s="20"/>
    </row>
    <row r="117">
      <c r="B117" s="20"/>
      <c r="C117" s="20"/>
      <c r="D117" s="20"/>
      <c r="E117" s="20"/>
    </row>
    <row r="118">
      <c r="B118" s="20"/>
      <c r="C118" s="20"/>
      <c r="D118" s="20"/>
      <c r="E118" s="20"/>
    </row>
    <row r="119">
      <c r="B119" s="20"/>
      <c r="C119" s="20"/>
      <c r="D119" s="20"/>
      <c r="E119" s="20"/>
    </row>
    <row r="120">
      <c r="B120" s="20"/>
      <c r="C120" s="20"/>
      <c r="D120" s="20"/>
      <c r="E120" s="20"/>
    </row>
    <row r="121">
      <c r="B121" s="20"/>
      <c r="C121" s="20"/>
      <c r="D121" s="20"/>
      <c r="E121" s="20"/>
    </row>
    <row r="122">
      <c r="B122" s="20"/>
      <c r="C122" s="20"/>
      <c r="D122" s="20"/>
      <c r="E122" s="20"/>
    </row>
    <row r="123">
      <c r="B123" s="20"/>
      <c r="C123" s="20"/>
      <c r="D123" s="20"/>
      <c r="E123" s="20"/>
    </row>
    <row r="124">
      <c r="B124" s="20"/>
      <c r="C124" s="20"/>
      <c r="D124" s="20"/>
      <c r="E124" s="20"/>
    </row>
    <row r="125">
      <c r="B125" s="20"/>
      <c r="C125" s="20"/>
      <c r="D125" s="20"/>
      <c r="E125" s="20"/>
    </row>
    <row r="126">
      <c r="B126" s="20"/>
      <c r="C126" s="20"/>
      <c r="D126" s="20"/>
      <c r="E126" s="20"/>
    </row>
    <row r="127">
      <c r="B127" s="20"/>
      <c r="C127" s="20"/>
      <c r="D127" s="20"/>
      <c r="E127" s="20"/>
    </row>
    <row r="128">
      <c r="B128" s="20"/>
      <c r="C128" s="20"/>
      <c r="D128" s="20"/>
      <c r="E128" s="20"/>
    </row>
    <row r="129">
      <c r="B129" s="20"/>
      <c r="C129" s="20"/>
      <c r="D129" s="20"/>
      <c r="E129" s="20"/>
    </row>
    <row r="130">
      <c r="B130" s="20"/>
      <c r="C130" s="20"/>
      <c r="D130" s="20"/>
      <c r="E130" s="20"/>
    </row>
    <row r="131">
      <c r="B131" s="20"/>
      <c r="C131" s="20"/>
      <c r="D131" s="20"/>
      <c r="E131" s="20"/>
    </row>
    <row r="132">
      <c r="B132" s="20"/>
      <c r="C132" s="20"/>
      <c r="D132" s="20"/>
      <c r="E132" s="20"/>
    </row>
    <row r="133">
      <c r="B133" s="20"/>
      <c r="C133" s="20"/>
      <c r="D133" s="20"/>
      <c r="E133" s="20"/>
    </row>
    <row r="134">
      <c r="B134" s="20"/>
      <c r="C134" s="20"/>
      <c r="D134" s="20"/>
      <c r="E134" s="20"/>
    </row>
    <row r="135">
      <c r="B135" s="20"/>
      <c r="C135" s="20"/>
      <c r="D135" s="20"/>
      <c r="E135" s="20"/>
    </row>
    <row r="136">
      <c r="B136" s="20"/>
      <c r="C136" s="20"/>
      <c r="D136" s="20"/>
      <c r="E136" s="20"/>
    </row>
    <row r="137">
      <c r="B137" s="20"/>
      <c r="C137" s="20"/>
      <c r="D137" s="20"/>
      <c r="E137" s="20"/>
    </row>
    <row r="138">
      <c r="B138" s="20"/>
      <c r="C138" s="20"/>
      <c r="D138" s="20"/>
      <c r="E138" s="20"/>
    </row>
    <row r="139">
      <c r="B139" s="20"/>
      <c r="C139" s="20"/>
      <c r="D139" s="20"/>
      <c r="E139" s="20"/>
    </row>
    <row r="140">
      <c r="B140" s="20"/>
      <c r="C140" s="20"/>
      <c r="D140" s="20"/>
      <c r="E140" s="20"/>
    </row>
    <row r="141">
      <c r="B141" s="20"/>
      <c r="C141" s="20"/>
      <c r="D141" s="20"/>
      <c r="E141" s="20"/>
    </row>
    <row r="142">
      <c r="B142" s="20"/>
      <c r="C142" s="20"/>
      <c r="D142" s="20"/>
      <c r="E142" s="20"/>
    </row>
    <row r="143">
      <c r="B143" s="20"/>
      <c r="C143" s="20"/>
      <c r="D143" s="20"/>
      <c r="E143" s="20"/>
    </row>
    <row r="144">
      <c r="B144" s="20"/>
      <c r="C144" s="20"/>
      <c r="D144" s="20"/>
      <c r="E144" s="20"/>
    </row>
    <row r="145">
      <c r="B145" s="20"/>
      <c r="C145" s="20"/>
      <c r="D145" s="20"/>
      <c r="E145" s="20"/>
    </row>
    <row r="146">
      <c r="B146" s="20"/>
      <c r="C146" s="20"/>
      <c r="D146" s="20"/>
      <c r="E146" s="20"/>
    </row>
    <row r="147">
      <c r="B147" s="20"/>
      <c r="C147" s="20"/>
      <c r="D147" s="20"/>
      <c r="E147" s="20"/>
    </row>
    <row r="148">
      <c r="B148" s="20"/>
      <c r="C148" s="20"/>
      <c r="D148" s="20"/>
      <c r="E148" s="20"/>
    </row>
    <row r="149">
      <c r="B149" s="20"/>
      <c r="C149" s="20"/>
      <c r="D149" s="20"/>
      <c r="E149" s="20"/>
    </row>
    <row r="150">
      <c r="B150" s="20"/>
      <c r="C150" s="20"/>
      <c r="D150" s="20"/>
      <c r="E150" s="20"/>
    </row>
    <row r="151">
      <c r="B151" s="20"/>
      <c r="C151" s="20"/>
      <c r="D151" s="20"/>
      <c r="E151" s="20"/>
    </row>
    <row r="152">
      <c r="B152" s="20"/>
      <c r="C152" s="20"/>
      <c r="D152" s="20"/>
      <c r="E152" s="20"/>
    </row>
    <row r="153">
      <c r="B153" s="20"/>
      <c r="C153" s="20"/>
      <c r="D153" s="20"/>
      <c r="E153" s="20"/>
    </row>
    <row r="154">
      <c r="B154" s="20"/>
      <c r="C154" s="20"/>
      <c r="D154" s="20"/>
      <c r="E154" s="20"/>
    </row>
    <row r="155">
      <c r="B155" s="20"/>
      <c r="C155" s="20"/>
      <c r="D155" s="20"/>
      <c r="E155" s="20"/>
    </row>
    <row r="156">
      <c r="B156" s="20"/>
      <c r="C156" s="20"/>
      <c r="D156" s="20"/>
      <c r="E156" s="20"/>
    </row>
    <row r="157">
      <c r="B157" s="20"/>
      <c r="C157" s="20"/>
      <c r="D157" s="20"/>
      <c r="E157" s="20"/>
    </row>
    <row r="158">
      <c r="B158" s="20"/>
      <c r="C158" s="20"/>
      <c r="D158" s="20"/>
      <c r="E158" s="20"/>
    </row>
    <row r="159">
      <c r="B159" s="20"/>
      <c r="C159" s="20"/>
      <c r="D159" s="20"/>
      <c r="E159" s="20"/>
    </row>
    <row r="160">
      <c r="B160" s="20"/>
      <c r="C160" s="20"/>
      <c r="D160" s="20"/>
      <c r="E160" s="20"/>
    </row>
    <row r="161">
      <c r="B161" s="20"/>
      <c r="C161" s="20"/>
      <c r="D161" s="20"/>
      <c r="E161" s="20"/>
    </row>
    <row r="162">
      <c r="B162" s="20"/>
      <c r="C162" s="20"/>
      <c r="D162" s="20"/>
      <c r="E162" s="20"/>
    </row>
    <row r="163">
      <c r="B163" s="20"/>
      <c r="C163" s="20"/>
      <c r="D163" s="20"/>
      <c r="E163" s="20"/>
    </row>
    <row r="164">
      <c r="B164" s="20"/>
      <c r="C164" s="20"/>
      <c r="D164" s="20"/>
      <c r="E164" s="20"/>
    </row>
    <row r="165">
      <c r="B165" s="20"/>
      <c r="C165" s="20"/>
      <c r="D165" s="20"/>
      <c r="E165" s="20"/>
    </row>
    <row r="166">
      <c r="B166" s="20"/>
      <c r="C166" s="20"/>
      <c r="D166" s="20"/>
      <c r="E166" s="20"/>
    </row>
    <row r="167">
      <c r="B167" s="20"/>
      <c r="C167" s="20"/>
      <c r="D167" s="20"/>
      <c r="E167" s="20"/>
    </row>
    <row r="168">
      <c r="B168" s="20"/>
      <c r="C168" s="20"/>
      <c r="D168" s="20"/>
      <c r="E168" s="20"/>
    </row>
    <row r="169">
      <c r="B169" s="20"/>
      <c r="C169" s="20"/>
      <c r="D169" s="20"/>
      <c r="E169" s="20"/>
    </row>
    <row r="170">
      <c r="B170" s="20"/>
      <c r="C170" s="20"/>
      <c r="D170" s="20"/>
      <c r="E170" s="20"/>
    </row>
    <row r="171">
      <c r="B171" s="20"/>
      <c r="C171" s="20"/>
      <c r="D171" s="20"/>
      <c r="E171" s="20"/>
    </row>
    <row r="172">
      <c r="B172" s="20"/>
      <c r="C172" s="20"/>
      <c r="D172" s="20"/>
      <c r="E172" s="20"/>
    </row>
    <row r="173">
      <c r="B173" s="20"/>
      <c r="C173" s="20"/>
      <c r="D173" s="20"/>
      <c r="E173" s="20"/>
    </row>
    <row r="174">
      <c r="B174" s="20"/>
      <c r="C174" s="20"/>
      <c r="D174" s="20"/>
      <c r="E174" s="20"/>
    </row>
    <row r="175">
      <c r="B175" s="20"/>
      <c r="C175" s="20"/>
      <c r="D175" s="20"/>
      <c r="E175" s="20"/>
    </row>
    <row r="176">
      <c r="B176" s="20"/>
      <c r="C176" s="20"/>
      <c r="D176" s="20"/>
      <c r="E176" s="20"/>
    </row>
    <row r="177">
      <c r="B177" s="20"/>
      <c r="C177" s="20"/>
      <c r="D177" s="20"/>
      <c r="E177" s="20"/>
    </row>
    <row r="178">
      <c r="B178" s="20"/>
      <c r="C178" s="20"/>
      <c r="D178" s="20"/>
      <c r="E178" s="20"/>
    </row>
    <row r="179">
      <c r="B179" s="20"/>
      <c r="C179" s="20"/>
      <c r="D179" s="20"/>
      <c r="E179" s="20"/>
    </row>
    <row r="180">
      <c r="B180" s="20"/>
      <c r="C180" s="20"/>
      <c r="D180" s="20"/>
      <c r="E180" s="20"/>
    </row>
    <row r="181">
      <c r="B181" s="20"/>
      <c r="C181" s="20"/>
      <c r="D181" s="20"/>
      <c r="E181" s="20"/>
    </row>
    <row r="182">
      <c r="B182" s="20"/>
      <c r="C182" s="20"/>
      <c r="D182" s="20"/>
      <c r="E182" s="20"/>
    </row>
    <row r="183">
      <c r="B183" s="20"/>
      <c r="C183" s="20"/>
      <c r="D183" s="20"/>
      <c r="E183" s="20"/>
    </row>
    <row r="184">
      <c r="B184" s="20"/>
      <c r="C184" s="20"/>
      <c r="D184" s="20"/>
      <c r="E184" s="20"/>
    </row>
    <row r="185">
      <c r="B185" s="20"/>
      <c r="C185" s="20"/>
      <c r="D185" s="20"/>
      <c r="E185" s="20"/>
    </row>
    <row r="186">
      <c r="B186" s="20"/>
      <c r="C186" s="20"/>
      <c r="D186" s="20"/>
      <c r="E186" s="20"/>
    </row>
    <row r="187">
      <c r="B187" s="20"/>
      <c r="C187" s="20"/>
      <c r="D187" s="20"/>
      <c r="E187" s="20"/>
    </row>
    <row r="188">
      <c r="B188" s="20"/>
      <c r="C188" s="20"/>
      <c r="D188" s="20"/>
      <c r="E188" s="20"/>
    </row>
    <row r="189">
      <c r="B189" s="20"/>
      <c r="C189" s="20"/>
      <c r="D189" s="20"/>
      <c r="E189" s="20"/>
    </row>
    <row r="190">
      <c r="B190" s="20"/>
      <c r="C190" s="20"/>
      <c r="D190" s="20"/>
      <c r="E190" s="20"/>
    </row>
    <row r="191">
      <c r="B191" s="20"/>
      <c r="C191" s="20"/>
      <c r="D191" s="20"/>
      <c r="E191" s="20"/>
    </row>
    <row r="192">
      <c r="B192" s="20"/>
      <c r="C192" s="20"/>
      <c r="D192" s="20"/>
      <c r="E192" s="20"/>
    </row>
    <row r="193">
      <c r="B193" s="20"/>
      <c r="C193" s="20"/>
      <c r="D193" s="20"/>
      <c r="E193" s="20"/>
    </row>
    <row r="194">
      <c r="B194" s="20"/>
      <c r="C194" s="20"/>
      <c r="D194" s="20"/>
      <c r="E194" s="20"/>
    </row>
    <row r="195">
      <c r="B195" s="20"/>
      <c r="C195" s="20"/>
      <c r="D195" s="20"/>
      <c r="E195" s="20"/>
    </row>
    <row r="196">
      <c r="B196" s="20"/>
      <c r="C196" s="20"/>
      <c r="D196" s="20"/>
      <c r="E196" s="20"/>
    </row>
    <row r="197">
      <c r="B197" s="20"/>
      <c r="C197" s="20"/>
      <c r="D197" s="20"/>
      <c r="E197" s="20"/>
    </row>
    <row r="198">
      <c r="B198" s="20"/>
      <c r="C198" s="20"/>
      <c r="D198" s="20"/>
      <c r="E198" s="20"/>
    </row>
    <row r="199">
      <c r="B199" s="20"/>
      <c r="C199" s="20"/>
      <c r="D199" s="20"/>
      <c r="E199" s="20"/>
    </row>
    <row r="200">
      <c r="B200" s="20"/>
      <c r="C200" s="20"/>
      <c r="D200" s="20"/>
      <c r="E200" s="20"/>
    </row>
    <row r="201">
      <c r="B201" s="20"/>
      <c r="C201" s="20"/>
      <c r="D201" s="20"/>
      <c r="E201" s="20"/>
    </row>
    <row r="202">
      <c r="B202" s="20"/>
      <c r="C202" s="20"/>
      <c r="D202" s="20"/>
      <c r="E202" s="20"/>
    </row>
    <row r="203">
      <c r="B203" s="20"/>
      <c r="C203" s="20"/>
      <c r="D203" s="20"/>
      <c r="E203" s="20"/>
    </row>
    <row r="204">
      <c r="B204" s="20"/>
      <c r="C204" s="20"/>
      <c r="D204" s="20"/>
      <c r="E204" s="20"/>
    </row>
    <row r="205">
      <c r="B205" s="20"/>
      <c r="C205" s="20"/>
      <c r="D205" s="20"/>
      <c r="E205" s="20"/>
    </row>
    <row r="206">
      <c r="B206" s="20"/>
      <c r="C206" s="20"/>
      <c r="D206" s="20"/>
      <c r="E206" s="20"/>
    </row>
    <row r="207">
      <c r="B207" s="20"/>
      <c r="C207" s="20"/>
      <c r="D207" s="20"/>
      <c r="E207" s="20"/>
    </row>
    <row r="208">
      <c r="B208" s="20"/>
      <c r="C208" s="20"/>
      <c r="D208" s="20"/>
      <c r="E208" s="20"/>
    </row>
    <row r="209">
      <c r="B209" s="20"/>
      <c r="C209" s="20"/>
      <c r="D209" s="20"/>
      <c r="E209" s="20"/>
    </row>
    <row r="210">
      <c r="B210" s="20"/>
      <c r="C210" s="20"/>
      <c r="D210" s="20"/>
      <c r="E210" s="20"/>
    </row>
    <row r="211">
      <c r="B211" s="20"/>
      <c r="C211" s="20"/>
      <c r="D211" s="20"/>
      <c r="E211" s="20"/>
    </row>
    <row r="212">
      <c r="B212" s="20"/>
      <c r="C212" s="20"/>
      <c r="D212" s="20"/>
      <c r="E212" s="20"/>
    </row>
    <row r="213">
      <c r="B213" s="20"/>
      <c r="C213" s="20"/>
      <c r="D213" s="20"/>
      <c r="E213" s="20"/>
    </row>
    <row r="214">
      <c r="B214" s="20"/>
      <c r="C214" s="20"/>
      <c r="D214" s="20"/>
      <c r="E214" s="20"/>
    </row>
    <row r="215">
      <c r="B215" s="20"/>
      <c r="C215" s="20"/>
      <c r="D215" s="20"/>
      <c r="E215" s="20"/>
    </row>
    <row r="216">
      <c r="B216" s="20"/>
      <c r="C216" s="20"/>
      <c r="D216" s="20"/>
      <c r="E216" s="20"/>
    </row>
    <row r="217">
      <c r="B217" s="20"/>
      <c r="C217" s="20"/>
      <c r="D217" s="20"/>
      <c r="E217" s="20"/>
    </row>
    <row r="218">
      <c r="B218" s="20"/>
      <c r="C218" s="20"/>
      <c r="D218" s="20"/>
      <c r="E218" s="20"/>
    </row>
    <row r="219">
      <c r="B219" s="20"/>
      <c r="C219" s="20"/>
      <c r="D219" s="20"/>
      <c r="E219" s="20"/>
    </row>
    <row r="220">
      <c r="B220" s="20"/>
      <c r="C220" s="20"/>
      <c r="D220" s="20"/>
      <c r="E220" s="20"/>
    </row>
    <row r="221">
      <c r="B221" s="20"/>
      <c r="C221" s="20"/>
      <c r="D221" s="20"/>
      <c r="E221" s="20"/>
    </row>
    <row r="222">
      <c r="B222" s="20"/>
      <c r="C222" s="20"/>
      <c r="D222" s="20"/>
      <c r="E222" s="20"/>
    </row>
    <row r="223">
      <c r="B223" s="20"/>
      <c r="C223" s="20"/>
      <c r="D223" s="20"/>
      <c r="E223" s="20"/>
    </row>
    <row r="224">
      <c r="B224" s="20"/>
      <c r="C224" s="20"/>
      <c r="D224" s="20"/>
      <c r="E224" s="20"/>
    </row>
    <row r="225">
      <c r="B225" s="20"/>
      <c r="C225" s="20"/>
      <c r="D225" s="20"/>
      <c r="E225" s="20"/>
    </row>
    <row r="226">
      <c r="B226" s="20"/>
      <c r="C226" s="20"/>
      <c r="D226" s="20"/>
      <c r="E226" s="20"/>
    </row>
    <row r="227">
      <c r="B227" s="20"/>
      <c r="C227" s="20"/>
      <c r="D227" s="20"/>
      <c r="E227" s="20"/>
    </row>
    <row r="228">
      <c r="B228" s="20"/>
      <c r="C228" s="20"/>
      <c r="D228" s="20"/>
      <c r="E228" s="20"/>
    </row>
    <row r="229">
      <c r="B229" s="20"/>
      <c r="C229" s="20"/>
      <c r="D229" s="20"/>
      <c r="E229" s="20"/>
    </row>
    <row r="230">
      <c r="B230" s="20"/>
      <c r="C230" s="20"/>
      <c r="D230" s="20"/>
      <c r="E230" s="20"/>
    </row>
    <row r="231">
      <c r="B231" s="20"/>
      <c r="C231" s="20"/>
      <c r="D231" s="20"/>
      <c r="E231" s="20"/>
    </row>
    <row r="232">
      <c r="B232" s="20"/>
      <c r="C232" s="20"/>
      <c r="D232" s="20"/>
      <c r="E232" s="20"/>
    </row>
    <row r="233">
      <c r="B233" s="20"/>
      <c r="C233" s="20"/>
      <c r="D233" s="20"/>
      <c r="E233" s="20"/>
    </row>
    <row r="234">
      <c r="B234" s="20"/>
      <c r="C234" s="20"/>
      <c r="D234" s="20"/>
      <c r="E234" s="20"/>
    </row>
    <row r="235">
      <c r="B235" s="20"/>
      <c r="C235" s="20"/>
      <c r="D235" s="20"/>
      <c r="E235" s="20"/>
    </row>
    <row r="236">
      <c r="B236" s="20"/>
      <c r="C236" s="20"/>
      <c r="D236" s="20"/>
      <c r="E236" s="20"/>
    </row>
    <row r="237">
      <c r="B237" s="20"/>
      <c r="C237" s="20"/>
      <c r="D237" s="20"/>
      <c r="E237" s="20"/>
    </row>
    <row r="238">
      <c r="B238" s="20"/>
      <c r="C238" s="20"/>
      <c r="D238" s="20"/>
      <c r="E238" s="20"/>
    </row>
    <row r="239">
      <c r="B239" s="20"/>
      <c r="C239" s="20"/>
      <c r="D239" s="20"/>
      <c r="E239" s="20"/>
    </row>
    <row r="240">
      <c r="B240" s="20"/>
      <c r="C240" s="20"/>
      <c r="D240" s="20"/>
      <c r="E240" s="20"/>
    </row>
    <row r="241">
      <c r="B241" s="20"/>
      <c r="C241" s="20"/>
      <c r="D241" s="20"/>
      <c r="E241" s="20"/>
    </row>
    <row r="242">
      <c r="B242" s="20"/>
      <c r="C242" s="20"/>
      <c r="D242" s="20"/>
      <c r="E242" s="20"/>
    </row>
    <row r="243">
      <c r="B243" s="20"/>
      <c r="C243" s="20"/>
      <c r="D243" s="20"/>
      <c r="E243" s="20"/>
    </row>
    <row r="244">
      <c r="B244" s="20"/>
      <c r="C244" s="20"/>
      <c r="D244" s="20"/>
      <c r="E244" s="20"/>
    </row>
    <row r="245">
      <c r="B245" s="20"/>
      <c r="C245" s="20"/>
      <c r="D245" s="20"/>
      <c r="E245" s="20"/>
    </row>
    <row r="246">
      <c r="B246" s="20"/>
      <c r="C246" s="20"/>
      <c r="D246" s="20"/>
      <c r="E246" s="20"/>
    </row>
    <row r="247">
      <c r="B247" s="20"/>
      <c r="C247" s="20"/>
      <c r="D247" s="20"/>
      <c r="E247" s="20"/>
    </row>
    <row r="248">
      <c r="B248" s="20"/>
      <c r="C248" s="20"/>
      <c r="D248" s="20"/>
      <c r="E248" s="20"/>
    </row>
    <row r="249">
      <c r="B249" s="20"/>
      <c r="C249" s="20"/>
      <c r="D249" s="20"/>
      <c r="E249" s="20"/>
    </row>
    <row r="250">
      <c r="B250" s="20"/>
      <c r="C250" s="20"/>
      <c r="D250" s="20"/>
      <c r="E250" s="20"/>
    </row>
    <row r="251">
      <c r="B251" s="20"/>
      <c r="C251" s="20"/>
      <c r="D251" s="20"/>
      <c r="E251" s="20"/>
    </row>
    <row r="252">
      <c r="B252" s="20"/>
      <c r="C252" s="20"/>
      <c r="D252" s="20"/>
      <c r="E252" s="20"/>
    </row>
    <row r="253">
      <c r="B253" s="20"/>
      <c r="C253" s="20"/>
      <c r="D253" s="20"/>
      <c r="E253" s="20"/>
    </row>
    <row r="254">
      <c r="B254" s="20"/>
      <c r="C254" s="20"/>
      <c r="D254" s="20"/>
      <c r="E254" s="20"/>
    </row>
    <row r="255">
      <c r="B255" s="20"/>
      <c r="C255" s="20"/>
      <c r="D255" s="20"/>
      <c r="E255" s="20"/>
    </row>
    <row r="256">
      <c r="B256" s="20"/>
      <c r="C256" s="20"/>
      <c r="D256" s="20"/>
      <c r="E256" s="20"/>
    </row>
    <row r="257">
      <c r="B257" s="20"/>
      <c r="C257" s="20"/>
      <c r="D257" s="20"/>
      <c r="E257" s="20"/>
    </row>
    <row r="258">
      <c r="B258" s="20"/>
      <c r="C258" s="20"/>
      <c r="D258" s="20"/>
      <c r="E258" s="20"/>
    </row>
    <row r="259">
      <c r="B259" s="20"/>
      <c r="C259" s="20"/>
      <c r="D259" s="20"/>
      <c r="E259" s="20"/>
    </row>
    <row r="260">
      <c r="B260" s="20"/>
      <c r="C260" s="20"/>
      <c r="D260" s="20"/>
      <c r="E260" s="20"/>
    </row>
    <row r="261">
      <c r="B261" s="20"/>
      <c r="C261" s="20"/>
      <c r="D261" s="20"/>
      <c r="E261" s="20"/>
    </row>
    <row r="262">
      <c r="B262" s="20"/>
      <c r="C262" s="20"/>
      <c r="D262" s="20"/>
      <c r="E262" s="20"/>
    </row>
    <row r="263">
      <c r="B263" s="20"/>
      <c r="C263" s="20"/>
      <c r="D263" s="20"/>
      <c r="E263" s="20"/>
    </row>
    <row r="264">
      <c r="B264" s="20"/>
      <c r="C264" s="20"/>
      <c r="D264" s="20"/>
      <c r="E264" s="20"/>
    </row>
    <row r="265">
      <c r="B265" s="20"/>
      <c r="C265" s="20"/>
      <c r="D265" s="20"/>
      <c r="E265" s="20"/>
    </row>
    <row r="266">
      <c r="B266" s="20"/>
      <c r="C266" s="20"/>
      <c r="D266" s="20"/>
      <c r="E266" s="20"/>
    </row>
    <row r="267">
      <c r="B267" s="20"/>
      <c r="C267" s="20"/>
      <c r="D267" s="20"/>
      <c r="E267" s="20"/>
    </row>
    <row r="268">
      <c r="B268" s="20"/>
      <c r="C268" s="20"/>
      <c r="D268" s="20"/>
      <c r="E268" s="20"/>
    </row>
    <row r="269">
      <c r="B269" s="20"/>
      <c r="C269" s="20"/>
      <c r="D269" s="20"/>
      <c r="E269" s="20"/>
    </row>
    <row r="270">
      <c r="B270" s="20"/>
      <c r="C270" s="20"/>
      <c r="D270" s="20"/>
      <c r="E270" s="20"/>
    </row>
    <row r="271">
      <c r="B271" s="20"/>
      <c r="C271" s="20"/>
      <c r="D271" s="20"/>
      <c r="E271" s="20"/>
    </row>
    <row r="272">
      <c r="B272" s="20"/>
      <c r="C272" s="20"/>
      <c r="D272" s="20"/>
      <c r="E272" s="20"/>
    </row>
    <row r="273">
      <c r="B273" s="20"/>
      <c r="C273" s="20"/>
      <c r="D273" s="20"/>
      <c r="E273" s="20"/>
    </row>
    <row r="274">
      <c r="B274" s="20"/>
      <c r="C274" s="20"/>
      <c r="D274" s="20"/>
      <c r="E274" s="20"/>
    </row>
    <row r="275">
      <c r="B275" s="20"/>
      <c r="C275" s="20"/>
      <c r="D275" s="20"/>
      <c r="E275" s="20"/>
    </row>
    <row r="276">
      <c r="B276" s="20"/>
      <c r="C276" s="20"/>
      <c r="D276" s="20"/>
      <c r="E276" s="20"/>
    </row>
    <row r="277">
      <c r="B277" s="20"/>
      <c r="C277" s="20"/>
      <c r="D277" s="20"/>
      <c r="E277" s="20"/>
    </row>
    <row r="278">
      <c r="B278" s="20"/>
      <c r="C278" s="20"/>
      <c r="D278" s="20"/>
      <c r="E278" s="20"/>
    </row>
    <row r="279">
      <c r="B279" s="20"/>
      <c r="C279" s="20"/>
      <c r="D279" s="20"/>
      <c r="E279" s="20"/>
    </row>
    <row r="280">
      <c r="B280" s="20"/>
      <c r="C280" s="20"/>
      <c r="D280" s="20"/>
      <c r="E280" s="20"/>
    </row>
    <row r="281">
      <c r="B281" s="20"/>
      <c r="C281" s="20"/>
      <c r="D281" s="20"/>
      <c r="E281" s="20"/>
    </row>
    <row r="282">
      <c r="B282" s="20"/>
      <c r="C282" s="20"/>
      <c r="D282" s="20"/>
      <c r="E282" s="20"/>
    </row>
    <row r="283">
      <c r="B283" s="20"/>
      <c r="C283" s="20"/>
      <c r="D283" s="20"/>
      <c r="E283" s="20"/>
    </row>
    <row r="284">
      <c r="B284" s="20"/>
      <c r="C284" s="20"/>
      <c r="D284" s="20"/>
      <c r="E284" s="20"/>
    </row>
    <row r="285">
      <c r="B285" s="20"/>
      <c r="C285" s="20"/>
      <c r="D285" s="20"/>
      <c r="E285" s="20"/>
    </row>
    <row r="286">
      <c r="B286" s="20"/>
      <c r="C286" s="20"/>
      <c r="D286" s="20"/>
      <c r="E286" s="20"/>
    </row>
    <row r="287">
      <c r="B287" s="20"/>
      <c r="C287" s="20"/>
      <c r="D287" s="20"/>
      <c r="E287" s="20"/>
    </row>
    <row r="288">
      <c r="B288" s="20"/>
      <c r="C288" s="20"/>
      <c r="D288" s="20"/>
      <c r="E288" s="20"/>
    </row>
    <row r="289">
      <c r="B289" s="20"/>
      <c r="C289" s="20"/>
      <c r="D289" s="20"/>
      <c r="E289" s="20"/>
    </row>
    <row r="290">
      <c r="B290" s="20"/>
      <c r="C290" s="20"/>
      <c r="D290" s="20"/>
      <c r="E290" s="20"/>
    </row>
    <row r="291">
      <c r="B291" s="20"/>
      <c r="C291" s="20"/>
      <c r="D291" s="20"/>
      <c r="E291" s="20"/>
    </row>
    <row r="292">
      <c r="B292" s="20"/>
      <c r="C292" s="20"/>
      <c r="D292" s="20"/>
      <c r="E292" s="20"/>
    </row>
    <row r="293">
      <c r="B293" s="20"/>
      <c r="C293" s="20"/>
      <c r="D293" s="20"/>
      <c r="E293" s="20"/>
    </row>
    <row r="294">
      <c r="B294" s="20"/>
      <c r="C294" s="20"/>
      <c r="D294" s="20"/>
      <c r="E294" s="20"/>
    </row>
    <row r="295">
      <c r="B295" s="20"/>
      <c r="C295" s="20"/>
      <c r="D295" s="20"/>
      <c r="E295" s="20"/>
    </row>
    <row r="296">
      <c r="B296" s="20"/>
      <c r="C296" s="20"/>
      <c r="D296" s="20"/>
      <c r="E296" s="20"/>
    </row>
    <row r="297">
      <c r="B297" s="20"/>
      <c r="C297" s="20"/>
      <c r="D297" s="20"/>
      <c r="E297" s="20"/>
    </row>
    <row r="298">
      <c r="B298" s="20"/>
      <c r="C298" s="20"/>
      <c r="D298" s="20"/>
      <c r="E298" s="20"/>
    </row>
    <row r="299">
      <c r="B299" s="20"/>
      <c r="C299" s="20"/>
      <c r="D299" s="20"/>
      <c r="E299" s="20"/>
    </row>
    <row r="300">
      <c r="B300" s="20"/>
      <c r="C300" s="20"/>
      <c r="D300" s="20"/>
      <c r="E300" s="20"/>
    </row>
    <row r="301">
      <c r="B301" s="20"/>
      <c r="C301" s="20"/>
      <c r="D301" s="20"/>
      <c r="E301" s="20"/>
    </row>
    <row r="302">
      <c r="B302" s="20"/>
      <c r="C302" s="20"/>
      <c r="D302" s="20"/>
      <c r="E302" s="20"/>
    </row>
    <row r="303">
      <c r="B303" s="20"/>
      <c r="C303" s="20"/>
      <c r="D303" s="20"/>
      <c r="E303" s="20"/>
    </row>
    <row r="304">
      <c r="B304" s="20"/>
      <c r="C304" s="20"/>
      <c r="D304" s="20"/>
      <c r="E304" s="20"/>
    </row>
    <row r="305">
      <c r="B305" s="20"/>
      <c r="C305" s="20"/>
      <c r="D305" s="20"/>
      <c r="E305" s="20"/>
    </row>
    <row r="306">
      <c r="B306" s="20"/>
      <c r="C306" s="20"/>
      <c r="D306" s="20"/>
      <c r="E306" s="20"/>
    </row>
    <row r="307">
      <c r="B307" s="20"/>
      <c r="C307" s="20"/>
      <c r="D307" s="20"/>
      <c r="E307" s="20"/>
    </row>
    <row r="308">
      <c r="B308" s="20"/>
      <c r="C308" s="20"/>
      <c r="D308" s="20"/>
      <c r="E308" s="20"/>
    </row>
    <row r="309">
      <c r="B309" s="20"/>
      <c r="C309" s="20"/>
      <c r="D309" s="20"/>
      <c r="E309" s="20"/>
    </row>
    <row r="310">
      <c r="B310" s="20"/>
      <c r="C310" s="20"/>
      <c r="D310" s="20"/>
      <c r="E310" s="20"/>
    </row>
    <row r="311">
      <c r="B311" s="20"/>
      <c r="C311" s="20"/>
      <c r="D311" s="20"/>
      <c r="E311" s="20"/>
    </row>
    <row r="312">
      <c r="B312" s="20"/>
      <c r="C312" s="20"/>
      <c r="D312" s="20"/>
      <c r="E312" s="20"/>
    </row>
    <row r="313">
      <c r="B313" s="20"/>
      <c r="C313" s="20"/>
      <c r="D313" s="20"/>
      <c r="E313" s="20"/>
    </row>
    <row r="314">
      <c r="B314" s="20"/>
      <c r="C314" s="20"/>
      <c r="D314" s="20"/>
      <c r="E314" s="20"/>
    </row>
    <row r="315">
      <c r="B315" s="20"/>
      <c r="C315" s="20"/>
      <c r="D315" s="20"/>
      <c r="E315" s="20"/>
    </row>
    <row r="316">
      <c r="B316" s="20"/>
      <c r="C316" s="20"/>
      <c r="D316" s="20"/>
      <c r="E316" s="20"/>
    </row>
    <row r="317">
      <c r="B317" s="20"/>
      <c r="C317" s="20"/>
      <c r="D317" s="20"/>
      <c r="E317" s="20"/>
    </row>
    <row r="318">
      <c r="B318" s="20"/>
      <c r="C318" s="20"/>
      <c r="D318" s="20"/>
      <c r="E318" s="20"/>
    </row>
    <row r="319">
      <c r="B319" s="20"/>
      <c r="C319" s="20"/>
      <c r="D319" s="20"/>
      <c r="E319" s="20"/>
    </row>
    <row r="320">
      <c r="B320" s="20"/>
      <c r="C320" s="20"/>
      <c r="D320" s="20"/>
      <c r="E320" s="20"/>
    </row>
    <row r="321">
      <c r="B321" s="20"/>
      <c r="C321" s="20"/>
      <c r="D321" s="20"/>
      <c r="E321" s="20"/>
    </row>
    <row r="322">
      <c r="B322" s="20"/>
      <c r="C322" s="20"/>
      <c r="D322" s="20"/>
      <c r="E322" s="20"/>
    </row>
    <row r="323">
      <c r="B323" s="20"/>
      <c r="C323" s="20"/>
      <c r="D323" s="20"/>
      <c r="E323" s="20"/>
    </row>
    <row r="324">
      <c r="B324" s="20"/>
      <c r="C324" s="20"/>
      <c r="D324" s="20"/>
      <c r="E324" s="20"/>
    </row>
    <row r="325">
      <c r="B325" s="20"/>
      <c r="C325" s="20"/>
      <c r="D325" s="20"/>
      <c r="E325" s="20"/>
    </row>
    <row r="326">
      <c r="B326" s="20"/>
      <c r="C326" s="20"/>
      <c r="D326" s="20"/>
      <c r="E326" s="20"/>
    </row>
    <row r="327">
      <c r="B327" s="20"/>
      <c r="C327" s="20"/>
      <c r="D327" s="20"/>
      <c r="E327" s="20"/>
    </row>
    <row r="328">
      <c r="B328" s="20"/>
      <c r="C328" s="20"/>
      <c r="D328" s="20"/>
      <c r="E328" s="20"/>
    </row>
    <row r="329">
      <c r="B329" s="20"/>
      <c r="C329" s="20"/>
      <c r="D329" s="20"/>
      <c r="E329" s="20"/>
    </row>
    <row r="330">
      <c r="B330" s="20"/>
      <c r="C330" s="20"/>
      <c r="D330" s="20"/>
      <c r="E330" s="20"/>
    </row>
    <row r="331">
      <c r="B331" s="20"/>
      <c r="C331" s="20"/>
      <c r="D331" s="20"/>
      <c r="E331" s="20"/>
    </row>
    <row r="332">
      <c r="B332" s="20"/>
      <c r="C332" s="20"/>
      <c r="D332" s="20"/>
      <c r="E332" s="20"/>
    </row>
    <row r="333">
      <c r="B333" s="20"/>
      <c r="C333" s="20"/>
      <c r="D333" s="20"/>
      <c r="E333" s="20"/>
    </row>
    <row r="334">
      <c r="B334" s="20"/>
      <c r="C334" s="20"/>
      <c r="D334" s="20"/>
      <c r="E334" s="20"/>
    </row>
    <row r="335">
      <c r="B335" s="20"/>
      <c r="C335" s="20"/>
      <c r="D335" s="20"/>
      <c r="E335" s="20"/>
    </row>
    <row r="336">
      <c r="B336" s="20"/>
      <c r="C336" s="20"/>
      <c r="D336" s="20"/>
      <c r="E336" s="20"/>
    </row>
    <row r="337">
      <c r="B337" s="20"/>
      <c r="C337" s="20"/>
      <c r="D337" s="20"/>
      <c r="E337" s="20"/>
    </row>
    <row r="338">
      <c r="B338" s="20"/>
      <c r="C338" s="20"/>
      <c r="D338" s="20"/>
      <c r="E338" s="20"/>
    </row>
    <row r="339">
      <c r="B339" s="20"/>
      <c r="C339" s="20"/>
      <c r="D339" s="20"/>
      <c r="E339" s="20"/>
    </row>
    <row r="340">
      <c r="B340" s="20"/>
      <c r="C340" s="20"/>
      <c r="D340" s="20"/>
      <c r="E340" s="20"/>
    </row>
    <row r="341">
      <c r="B341" s="20"/>
      <c r="C341" s="20"/>
      <c r="D341" s="20"/>
      <c r="E341" s="20"/>
    </row>
    <row r="342">
      <c r="B342" s="20"/>
      <c r="C342" s="20"/>
      <c r="D342" s="20"/>
      <c r="E342" s="20"/>
    </row>
    <row r="343">
      <c r="B343" s="20"/>
      <c r="C343" s="20"/>
      <c r="D343" s="20"/>
      <c r="E343" s="20"/>
    </row>
    <row r="344">
      <c r="B344" s="20"/>
      <c r="C344" s="20"/>
      <c r="D344" s="20"/>
      <c r="E344" s="20"/>
    </row>
    <row r="345">
      <c r="B345" s="20"/>
      <c r="C345" s="20"/>
      <c r="D345" s="20"/>
      <c r="E345" s="20"/>
    </row>
    <row r="346">
      <c r="B346" s="20"/>
      <c r="C346" s="20"/>
      <c r="D346" s="20"/>
      <c r="E346" s="20"/>
    </row>
    <row r="347">
      <c r="B347" s="20"/>
      <c r="C347" s="20"/>
      <c r="D347" s="20"/>
      <c r="E347" s="20"/>
    </row>
    <row r="348">
      <c r="B348" s="20"/>
      <c r="C348" s="20"/>
      <c r="D348" s="20"/>
      <c r="E348" s="20"/>
    </row>
    <row r="349">
      <c r="B349" s="20"/>
      <c r="C349" s="20"/>
      <c r="D349" s="20"/>
      <c r="E349" s="20"/>
    </row>
    <row r="350">
      <c r="B350" s="20"/>
      <c r="C350" s="20"/>
      <c r="D350" s="20"/>
      <c r="E350" s="20"/>
    </row>
    <row r="351">
      <c r="B351" s="20"/>
      <c r="C351" s="20"/>
      <c r="D351" s="20"/>
      <c r="E351" s="20"/>
    </row>
    <row r="352">
      <c r="B352" s="20"/>
      <c r="C352" s="20"/>
      <c r="D352" s="20"/>
      <c r="E352" s="20"/>
    </row>
    <row r="353">
      <c r="B353" s="20"/>
      <c r="C353" s="20"/>
      <c r="D353" s="20"/>
      <c r="E353" s="20"/>
    </row>
    <row r="354">
      <c r="B354" s="20"/>
      <c r="C354" s="20"/>
      <c r="D354" s="20"/>
      <c r="E354" s="20"/>
    </row>
    <row r="355">
      <c r="B355" s="20"/>
      <c r="C355" s="20"/>
      <c r="D355" s="20"/>
      <c r="E355" s="20"/>
    </row>
    <row r="356">
      <c r="B356" s="20"/>
      <c r="C356" s="20"/>
      <c r="D356" s="20"/>
      <c r="E356" s="20"/>
    </row>
    <row r="357">
      <c r="B357" s="20"/>
      <c r="C357" s="20"/>
      <c r="D357" s="20"/>
      <c r="E357" s="20"/>
    </row>
    <row r="358">
      <c r="B358" s="20"/>
      <c r="C358" s="20"/>
      <c r="D358" s="20"/>
      <c r="E358" s="20"/>
    </row>
    <row r="359">
      <c r="B359" s="20"/>
      <c r="C359" s="20"/>
      <c r="D359" s="20"/>
      <c r="E359" s="20"/>
    </row>
    <row r="360">
      <c r="B360" s="20"/>
      <c r="C360" s="20"/>
      <c r="D360" s="20"/>
      <c r="E360" s="20"/>
    </row>
    <row r="361">
      <c r="B361" s="20"/>
      <c r="C361" s="20"/>
      <c r="D361" s="20"/>
      <c r="E361" s="20"/>
    </row>
    <row r="362">
      <c r="B362" s="20"/>
      <c r="C362" s="20"/>
      <c r="D362" s="20"/>
      <c r="E362" s="20"/>
    </row>
    <row r="363">
      <c r="B363" s="20"/>
      <c r="C363" s="20"/>
      <c r="D363" s="20"/>
      <c r="E363" s="20"/>
    </row>
    <row r="364">
      <c r="B364" s="20"/>
      <c r="C364" s="20"/>
      <c r="D364" s="20"/>
      <c r="E364" s="20"/>
    </row>
    <row r="365">
      <c r="B365" s="20"/>
      <c r="C365" s="20"/>
      <c r="D365" s="20"/>
      <c r="E365" s="20"/>
    </row>
    <row r="366">
      <c r="B366" s="20"/>
      <c r="C366" s="20"/>
      <c r="D366" s="20"/>
      <c r="E366" s="20"/>
    </row>
    <row r="367">
      <c r="B367" s="20"/>
      <c r="C367" s="20"/>
      <c r="D367" s="20"/>
      <c r="E367" s="20"/>
    </row>
    <row r="368">
      <c r="B368" s="20"/>
      <c r="C368" s="20"/>
      <c r="D368" s="20"/>
      <c r="E368" s="20"/>
    </row>
    <row r="369">
      <c r="B369" s="20"/>
      <c r="C369" s="20"/>
      <c r="D369" s="20"/>
      <c r="E369" s="20"/>
    </row>
    <row r="370">
      <c r="B370" s="20"/>
      <c r="C370" s="20"/>
      <c r="D370" s="20"/>
      <c r="E370" s="20"/>
    </row>
    <row r="371">
      <c r="B371" s="20"/>
      <c r="C371" s="20"/>
      <c r="D371" s="20"/>
      <c r="E371" s="20"/>
    </row>
    <row r="372">
      <c r="B372" s="20"/>
      <c r="C372" s="20"/>
      <c r="D372" s="20"/>
      <c r="E372" s="20"/>
    </row>
    <row r="373">
      <c r="B373" s="20"/>
      <c r="C373" s="20"/>
      <c r="D373" s="20"/>
      <c r="E373" s="20"/>
    </row>
    <row r="374">
      <c r="B374" s="20"/>
      <c r="C374" s="20"/>
      <c r="D374" s="20"/>
      <c r="E374" s="20"/>
    </row>
    <row r="375">
      <c r="B375" s="20"/>
      <c r="C375" s="20"/>
      <c r="D375" s="20"/>
      <c r="E375" s="20"/>
    </row>
    <row r="376">
      <c r="B376" s="20"/>
      <c r="C376" s="20"/>
      <c r="D376" s="20"/>
      <c r="E376" s="20"/>
    </row>
    <row r="377">
      <c r="B377" s="20"/>
      <c r="C377" s="20"/>
      <c r="D377" s="20"/>
      <c r="E377" s="20"/>
    </row>
    <row r="378">
      <c r="B378" s="20"/>
      <c r="C378" s="20"/>
      <c r="D378" s="20"/>
      <c r="E378" s="20"/>
    </row>
    <row r="379">
      <c r="B379" s="20"/>
      <c r="C379" s="20"/>
      <c r="D379" s="20"/>
      <c r="E379" s="20"/>
    </row>
    <row r="380">
      <c r="B380" s="20"/>
      <c r="C380" s="20"/>
      <c r="D380" s="20"/>
      <c r="E380" s="20"/>
    </row>
    <row r="381">
      <c r="B381" s="20"/>
      <c r="C381" s="20"/>
      <c r="D381" s="20"/>
      <c r="E381" s="20"/>
    </row>
    <row r="382">
      <c r="B382" s="20"/>
      <c r="C382" s="20"/>
      <c r="D382" s="20"/>
      <c r="E382" s="20"/>
    </row>
    <row r="383">
      <c r="B383" s="20"/>
      <c r="C383" s="20"/>
      <c r="D383" s="20"/>
      <c r="E383" s="20"/>
    </row>
    <row r="384">
      <c r="B384" s="20"/>
      <c r="C384" s="20"/>
      <c r="D384" s="20"/>
      <c r="E384" s="20"/>
    </row>
    <row r="385">
      <c r="B385" s="20"/>
      <c r="C385" s="20"/>
      <c r="D385" s="20"/>
      <c r="E385" s="20"/>
    </row>
    <row r="386">
      <c r="B386" s="20"/>
      <c r="C386" s="20"/>
      <c r="D386" s="20"/>
      <c r="E386" s="20"/>
    </row>
    <row r="387">
      <c r="B387" s="20"/>
      <c r="C387" s="20"/>
      <c r="D387" s="20"/>
      <c r="E387" s="20"/>
    </row>
    <row r="388">
      <c r="B388" s="20"/>
      <c r="C388" s="20"/>
      <c r="D388" s="20"/>
      <c r="E388" s="20"/>
    </row>
    <row r="389">
      <c r="B389" s="20"/>
      <c r="C389" s="20"/>
      <c r="D389" s="20"/>
      <c r="E389" s="20"/>
    </row>
    <row r="390">
      <c r="B390" s="20"/>
      <c r="C390" s="20"/>
      <c r="D390" s="20"/>
      <c r="E390" s="20"/>
    </row>
    <row r="391">
      <c r="B391" s="20"/>
      <c r="C391" s="20"/>
      <c r="D391" s="20"/>
      <c r="E391" s="20"/>
    </row>
    <row r="392">
      <c r="B392" s="20"/>
      <c r="C392" s="20"/>
      <c r="D392" s="20"/>
      <c r="E392" s="20"/>
    </row>
    <row r="393">
      <c r="B393" s="20"/>
      <c r="C393" s="20"/>
      <c r="D393" s="20"/>
      <c r="E393" s="20"/>
    </row>
    <row r="394">
      <c r="B394" s="20"/>
      <c r="C394" s="20"/>
      <c r="D394" s="20"/>
      <c r="E394" s="20"/>
    </row>
    <row r="395">
      <c r="B395" s="20"/>
      <c r="C395" s="20"/>
      <c r="D395" s="20"/>
      <c r="E395" s="20"/>
    </row>
    <row r="396">
      <c r="B396" s="20"/>
      <c r="C396" s="20"/>
      <c r="D396" s="20"/>
      <c r="E396" s="20"/>
    </row>
    <row r="397">
      <c r="B397" s="20"/>
      <c r="C397" s="20"/>
      <c r="D397" s="20"/>
      <c r="E397" s="20"/>
    </row>
    <row r="398">
      <c r="B398" s="20"/>
      <c r="C398" s="20"/>
      <c r="D398" s="20"/>
      <c r="E398" s="20"/>
    </row>
    <row r="399">
      <c r="B399" s="20"/>
      <c r="C399" s="20"/>
      <c r="D399" s="20"/>
      <c r="E399" s="20"/>
    </row>
    <row r="400">
      <c r="B400" s="20"/>
      <c r="C400" s="20"/>
      <c r="D400" s="20"/>
      <c r="E400" s="20"/>
    </row>
    <row r="401">
      <c r="B401" s="20"/>
      <c r="C401" s="20"/>
      <c r="D401" s="20"/>
      <c r="E401" s="20"/>
    </row>
    <row r="402">
      <c r="B402" s="20"/>
      <c r="C402" s="20"/>
      <c r="D402" s="20"/>
      <c r="E402" s="20"/>
    </row>
    <row r="403">
      <c r="B403" s="20"/>
      <c r="C403" s="20"/>
      <c r="D403" s="20"/>
      <c r="E403" s="20"/>
    </row>
    <row r="404">
      <c r="B404" s="20"/>
      <c r="C404" s="20"/>
      <c r="D404" s="20"/>
      <c r="E404" s="20"/>
    </row>
    <row r="405">
      <c r="B405" s="20"/>
      <c r="C405" s="20"/>
      <c r="D405" s="20"/>
      <c r="E405" s="20"/>
    </row>
    <row r="406">
      <c r="B406" s="20"/>
      <c r="C406" s="20"/>
      <c r="D406" s="20"/>
      <c r="E406" s="20"/>
    </row>
    <row r="407">
      <c r="B407" s="20"/>
      <c r="C407" s="20"/>
      <c r="D407" s="20"/>
      <c r="E407" s="20"/>
    </row>
    <row r="408">
      <c r="B408" s="20"/>
      <c r="C408" s="20"/>
      <c r="D408" s="20"/>
      <c r="E408" s="20"/>
    </row>
    <row r="409">
      <c r="B409" s="20"/>
      <c r="C409" s="20"/>
      <c r="D409" s="20"/>
      <c r="E409" s="20"/>
    </row>
    <row r="410">
      <c r="B410" s="20"/>
      <c r="C410" s="20"/>
      <c r="D410" s="20"/>
      <c r="E410" s="20"/>
    </row>
    <row r="411">
      <c r="B411" s="20"/>
      <c r="C411" s="20"/>
      <c r="D411" s="20"/>
      <c r="E411" s="20"/>
    </row>
    <row r="412">
      <c r="B412" s="20"/>
      <c r="C412" s="20"/>
      <c r="D412" s="20"/>
      <c r="E412" s="20"/>
    </row>
    <row r="413">
      <c r="B413" s="20"/>
      <c r="C413" s="20"/>
      <c r="D413" s="20"/>
      <c r="E413" s="20"/>
    </row>
    <row r="414">
      <c r="B414" s="20"/>
      <c r="C414" s="20"/>
      <c r="D414" s="20"/>
      <c r="E414" s="20"/>
    </row>
    <row r="415">
      <c r="B415" s="20"/>
      <c r="C415" s="20"/>
      <c r="D415" s="20"/>
      <c r="E415" s="20"/>
    </row>
    <row r="416">
      <c r="B416" s="20"/>
      <c r="C416" s="20"/>
      <c r="D416" s="20"/>
      <c r="E416" s="20"/>
    </row>
    <row r="417">
      <c r="B417" s="20"/>
      <c r="C417" s="20"/>
      <c r="D417" s="20"/>
      <c r="E417" s="20"/>
    </row>
    <row r="418">
      <c r="B418" s="20"/>
      <c r="C418" s="20"/>
      <c r="D418" s="20"/>
      <c r="E418" s="20"/>
    </row>
    <row r="419">
      <c r="B419" s="20"/>
      <c r="C419" s="20"/>
      <c r="D419" s="20"/>
      <c r="E419" s="20"/>
    </row>
    <row r="420">
      <c r="B420" s="20"/>
      <c r="C420" s="20"/>
      <c r="D420" s="20"/>
      <c r="E420" s="20"/>
    </row>
    <row r="421">
      <c r="B421" s="20"/>
      <c r="C421" s="20"/>
      <c r="D421" s="20"/>
      <c r="E421" s="20"/>
    </row>
    <row r="422">
      <c r="B422" s="20"/>
      <c r="C422" s="20"/>
      <c r="D422" s="20"/>
      <c r="E422" s="20"/>
    </row>
    <row r="423">
      <c r="B423" s="20"/>
      <c r="C423" s="20"/>
      <c r="D423" s="20"/>
      <c r="E423" s="20"/>
    </row>
    <row r="424">
      <c r="B424" s="20"/>
      <c r="C424" s="20"/>
      <c r="D424" s="20"/>
      <c r="E424" s="20"/>
    </row>
    <row r="425">
      <c r="B425" s="20"/>
      <c r="C425" s="20"/>
      <c r="D425" s="20"/>
      <c r="E425" s="20"/>
    </row>
    <row r="426">
      <c r="B426" s="20"/>
      <c r="C426" s="20"/>
      <c r="D426" s="20"/>
      <c r="E426" s="20"/>
    </row>
    <row r="427">
      <c r="B427" s="20"/>
      <c r="C427" s="20"/>
      <c r="D427" s="20"/>
      <c r="E427" s="20"/>
    </row>
    <row r="428">
      <c r="B428" s="20"/>
      <c r="C428" s="20"/>
      <c r="D428" s="20"/>
      <c r="E428" s="20"/>
    </row>
    <row r="429">
      <c r="B429" s="20"/>
      <c r="C429" s="20"/>
      <c r="D429" s="20"/>
      <c r="E429" s="20"/>
    </row>
    <row r="430">
      <c r="B430" s="20"/>
      <c r="C430" s="20"/>
      <c r="D430" s="20"/>
      <c r="E430" s="20"/>
    </row>
    <row r="431">
      <c r="B431" s="20"/>
      <c r="C431" s="20"/>
      <c r="D431" s="20"/>
      <c r="E431" s="20"/>
    </row>
    <row r="432">
      <c r="B432" s="20"/>
      <c r="C432" s="20"/>
      <c r="D432" s="20"/>
      <c r="E432" s="20"/>
    </row>
    <row r="433">
      <c r="B433" s="20"/>
      <c r="C433" s="20"/>
      <c r="D433" s="20"/>
      <c r="E433" s="20"/>
    </row>
    <row r="434">
      <c r="B434" s="20"/>
      <c r="C434" s="20"/>
      <c r="D434" s="20"/>
      <c r="E434" s="20"/>
    </row>
    <row r="435">
      <c r="B435" s="20"/>
      <c r="C435" s="20"/>
      <c r="D435" s="20"/>
      <c r="E435" s="20"/>
    </row>
    <row r="436">
      <c r="B436" s="20"/>
      <c r="C436" s="20"/>
      <c r="D436" s="20"/>
      <c r="E436" s="20"/>
    </row>
    <row r="437">
      <c r="B437" s="20"/>
      <c r="C437" s="20"/>
      <c r="D437" s="20"/>
      <c r="E437" s="20"/>
    </row>
    <row r="438">
      <c r="B438" s="20"/>
      <c r="C438" s="20"/>
      <c r="D438" s="20"/>
      <c r="E438" s="20"/>
    </row>
    <row r="439">
      <c r="B439" s="20"/>
      <c r="C439" s="20"/>
      <c r="D439" s="20"/>
      <c r="E439" s="20"/>
    </row>
    <row r="440">
      <c r="B440" s="20"/>
      <c r="C440" s="20"/>
      <c r="D440" s="20"/>
      <c r="E440" s="20"/>
    </row>
    <row r="441">
      <c r="B441" s="20"/>
      <c r="C441" s="20"/>
      <c r="D441" s="20"/>
      <c r="E441" s="20"/>
    </row>
    <row r="442">
      <c r="B442" s="20"/>
      <c r="C442" s="20"/>
      <c r="D442" s="20"/>
      <c r="E442" s="20"/>
    </row>
    <row r="443">
      <c r="B443" s="20"/>
      <c r="C443" s="20"/>
      <c r="D443" s="20"/>
      <c r="E443" s="20"/>
    </row>
    <row r="444">
      <c r="B444" s="20"/>
      <c r="C444" s="20"/>
      <c r="D444" s="20"/>
      <c r="E444" s="20"/>
    </row>
    <row r="445">
      <c r="B445" s="20"/>
      <c r="C445" s="20"/>
      <c r="D445" s="20"/>
      <c r="E445" s="20"/>
    </row>
    <row r="446">
      <c r="B446" s="20"/>
      <c r="C446" s="20"/>
      <c r="D446" s="20"/>
      <c r="E446" s="20"/>
    </row>
    <row r="447">
      <c r="B447" s="20"/>
      <c r="C447" s="20"/>
      <c r="D447" s="20"/>
      <c r="E447" s="20"/>
    </row>
    <row r="448">
      <c r="B448" s="20"/>
      <c r="C448" s="20"/>
      <c r="D448" s="20"/>
      <c r="E448" s="20"/>
    </row>
    <row r="449">
      <c r="B449" s="20"/>
      <c r="C449" s="20"/>
      <c r="D449" s="20"/>
      <c r="E449" s="20"/>
    </row>
    <row r="450">
      <c r="B450" s="20"/>
      <c r="C450" s="20"/>
      <c r="D450" s="20"/>
      <c r="E450" s="20"/>
    </row>
    <row r="451">
      <c r="B451" s="20"/>
      <c r="C451" s="20"/>
      <c r="D451" s="20"/>
      <c r="E451" s="20"/>
    </row>
    <row r="452">
      <c r="B452" s="20"/>
      <c r="C452" s="20"/>
      <c r="D452" s="20"/>
      <c r="E452" s="20"/>
    </row>
    <row r="453">
      <c r="B453" s="20"/>
      <c r="C453" s="20"/>
      <c r="D453" s="20"/>
      <c r="E453" s="20"/>
    </row>
    <row r="454">
      <c r="B454" s="20"/>
      <c r="C454" s="20"/>
      <c r="D454" s="20"/>
      <c r="E454" s="20"/>
    </row>
    <row r="455">
      <c r="B455" s="20"/>
      <c r="C455" s="20"/>
      <c r="D455" s="20"/>
      <c r="E455" s="20"/>
    </row>
    <row r="456">
      <c r="B456" s="20"/>
      <c r="C456" s="20"/>
      <c r="D456" s="20"/>
      <c r="E456" s="20"/>
    </row>
    <row r="457">
      <c r="B457" s="20"/>
      <c r="C457" s="20"/>
      <c r="D457" s="20"/>
      <c r="E457" s="20"/>
    </row>
    <row r="458">
      <c r="B458" s="20"/>
      <c r="C458" s="20"/>
      <c r="D458" s="20"/>
      <c r="E458" s="20"/>
    </row>
    <row r="459">
      <c r="B459" s="20"/>
      <c r="C459" s="20"/>
      <c r="D459" s="20"/>
      <c r="E459" s="20"/>
    </row>
    <row r="460">
      <c r="B460" s="20"/>
      <c r="C460" s="20"/>
      <c r="D460" s="20"/>
      <c r="E460" s="20"/>
    </row>
    <row r="461">
      <c r="B461" s="20"/>
      <c r="C461" s="20"/>
      <c r="D461" s="20"/>
      <c r="E461" s="20"/>
    </row>
    <row r="462">
      <c r="B462" s="20"/>
      <c r="C462" s="20"/>
      <c r="D462" s="20"/>
      <c r="E462" s="20"/>
    </row>
    <row r="463">
      <c r="B463" s="20"/>
      <c r="C463" s="20"/>
      <c r="D463" s="20"/>
      <c r="E463" s="20"/>
    </row>
    <row r="464">
      <c r="B464" s="20"/>
      <c r="C464" s="20"/>
      <c r="D464" s="20"/>
      <c r="E464" s="20"/>
    </row>
    <row r="465">
      <c r="B465" s="20"/>
      <c r="C465" s="20"/>
      <c r="D465" s="20"/>
      <c r="E465" s="20"/>
    </row>
    <row r="466">
      <c r="B466" s="20"/>
      <c r="C466" s="20"/>
      <c r="D466" s="20"/>
      <c r="E466" s="20"/>
    </row>
    <row r="467">
      <c r="B467" s="20"/>
      <c r="C467" s="20"/>
      <c r="D467" s="20"/>
      <c r="E467" s="20"/>
    </row>
    <row r="468">
      <c r="B468" s="20"/>
      <c r="C468" s="20"/>
      <c r="D468" s="20"/>
      <c r="E468" s="20"/>
    </row>
    <row r="469">
      <c r="B469" s="20"/>
      <c r="C469" s="20"/>
      <c r="D469" s="20"/>
      <c r="E469" s="20"/>
    </row>
    <row r="470">
      <c r="B470" s="20"/>
      <c r="C470" s="20"/>
      <c r="D470" s="20"/>
      <c r="E470" s="20"/>
    </row>
    <row r="471">
      <c r="B471" s="20"/>
      <c r="C471" s="20"/>
      <c r="D471" s="20"/>
      <c r="E471" s="20"/>
    </row>
    <row r="472">
      <c r="B472" s="20"/>
      <c r="C472" s="20"/>
      <c r="D472" s="20"/>
      <c r="E472" s="20"/>
    </row>
    <row r="473">
      <c r="B473" s="20"/>
      <c r="C473" s="20"/>
      <c r="D473" s="20"/>
      <c r="E473" s="20"/>
    </row>
    <row r="474">
      <c r="B474" s="20"/>
      <c r="C474" s="20"/>
      <c r="D474" s="20"/>
      <c r="E474" s="20"/>
    </row>
    <row r="475">
      <c r="B475" s="20"/>
      <c r="C475" s="20"/>
      <c r="D475" s="20"/>
      <c r="E475" s="20"/>
    </row>
    <row r="476">
      <c r="B476" s="20"/>
      <c r="C476" s="20"/>
      <c r="D476" s="20"/>
      <c r="E476" s="20"/>
    </row>
    <row r="477">
      <c r="B477" s="20"/>
      <c r="C477" s="20"/>
      <c r="D477" s="20"/>
      <c r="E477" s="20"/>
    </row>
    <row r="478">
      <c r="B478" s="20"/>
      <c r="C478" s="20"/>
      <c r="D478" s="20"/>
      <c r="E478" s="20"/>
    </row>
    <row r="479">
      <c r="B479" s="20"/>
      <c r="C479" s="20"/>
      <c r="D479" s="20"/>
      <c r="E479" s="20"/>
    </row>
    <row r="480">
      <c r="B480" s="20"/>
      <c r="C480" s="20"/>
      <c r="D480" s="20"/>
      <c r="E480" s="20"/>
    </row>
    <row r="481">
      <c r="B481" s="20"/>
      <c r="C481" s="20"/>
      <c r="D481" s="20"/>
      <c r="E481" s="20"/>
    </row>
    <row r="482">
      <c r="B482" s="20"/>
      <c r="C482" s="20"/>
      <c r="D482" s="20"/>
      <c r="E482" s="20"/>
    </row>
    <row r="483">
      <c r="B483" s="20"/>
      <c r="C483" s="20"/>
      <c r="D483" s="20"/>
      <c r="E483" s="20"/>
    </row>
    <row r="484">
      <c r="B484" s="20"/>
      <c r="C484" s="20"/>
      <c r="D484" s="20"/>
      <c r="E484" s="20"/>
    </row>
    <row r="485">
      <c r="B485" s="20"/>
      <c r="C485" s="20"/>
      <c r="D485" s="20"/>
      <c r="E485" s="20"/>
    </row>
    <row r="486">
      <c r="B486" s="20"/>
      <c r="C486" s="20"/>
      <c r="D486" s="20"/>
      <c r="E486" s="20"/>
    </row>
    <row r="487">
      <c r="B487" s="20"/>
      <c r="C487" s="20"/>
      <c r="D487" s="20"/>
      <c r="E487" s="20"/>
    </row>
    <row r="488">
      <c r="B488" s="20"/>
      <c r="C488" s="20"/>
      <c r="D488" s="20"/>
      <c r="E488" s="20"/>
    </row>
    <row r="489">
      <c r="B489" s="20"/>
      <c r="C489" s="20"/>
      <c r="D489" s="20"/>
      <c r="E489" s="20"/>
    </row>
    <row r="490">
      <c r="B490" s="20"/>
      <c r="C490" s="20"/>
      <c r="D490" s="20"/>
      <c r="E490" s="20"/>
    </row>
    <row r="491">
      <c r="B491" s="20"/>
      <c r="C491" s="20"/>
      <c r="D491" s="20"/>
      <c r="E491" s="20"/>
    </row>
    <row r="492">
      <c r="B492" s="20"/>
      <c r="C492" s="20"/>
      <c r="D492" s="20"/>
      <c r="E492" s="20"/>
    </row>
    <row r="493">
      <c r="B493" s="20"/>
      <c r="C493" s="20"/>
      <c r="D493" s="20"/>
      <c r="E493" s="20"/>
    </row>
    <row r="494">
      <c r="B494" s="20"/>
      <c r="C494" s="20"/>
      <c r="D494" s="20"/>
      <c r="E494" s="20"/>
    </row>
    <row r="495">
      <c r="B495" s="20"/>
      <c r="C495" s="20"/>
      <c r="D495" s="20"/>
      <c r="E495" s="20"/>
    </row>
    <row r="496">
      <c r="B496" s="20"/>
      <c r="C496" s="20"/>
      <c r="D496" s="20"/>
      <c r="E496" s="20"/>
    </row>
    <row r="497">
      <c r="B497" s="20"/>
      <c r="C497" s="20"/>
      <c r="D497" s="20"/>
      <c r="E497" s="20"/>
    </row>
    <row r="498">
      <c r="B498" s="20"/>
      <c r="C498" s="20"/>
      <c r="D498" s="20"/>
      <c r="E498" s="20"/>
    </row>
    <row r="499">
      <c r="B499" s="20"/>
      <c r="C499" s="20"/>
      <c r="D499" s="20"/>
      <c r="E499" s="20"/>
    </row>
    <row r="500">
      <c r="B500" s="20"/>
      <c r="C500" s="20"/>
      <c r="D500" s="20"/>
      <c r="E500" s="20"/>
    </row>
    <row r="501">
      <c r="B501" s="20"/>
      <c r="C501" s="20"/>
      <c r="D501" s="20"/>
      <c r="E501" s="20"/>
    </row>
    <row r="502">
      <c r="B502" s="20"/>
      <c r="C502" s="20"/>
      <c r="D502" s="20"/>
      <c r="E502" s="20"/>
    </row>
    <row r="503">
      <c r="B503" s="20"/>
      <c r="C503" s="20"/>
      <c r="D503" s="20"/>
      <c r="E503" s="20"/>
    </row>
    <row r="504">
      <c r="B504" s="20"/>
      <c r="C504" s="20"/>
      <c r="D504" s="20"/>
      <c r="E504" s="20"/>
    </row>
    <row r="505">
      <c r="B505" s="20"/>
      <c r="C505" s="20"/>
      <c r="D505" s="20"/>
      <c r="E505" s="20"/>
    </row>
    <row r="506">
      <c r="B506" s="20"/>
      <c r="C506" s="20"/>
      <c r="D506" s="20"/>
      <c r="E506" s="20"/>
    </row>
    <row r="507">
      <c r="B507" s="20"/>
      <c r="C507" s="20"/>
      <c r="D507" s="20"/>
      <c r="E507" s="20"/>
    </row>
    <row r="508">
      <c r="B508" s="20"/>
      <c r="C508" s="20"/>
      <c r="D508" s="20"/>
      <c r="E508" s="20"/>
    </row>
    <row r="509">
      <c r="B509" s="20"/>
      <c r="C509" s="20"/>
      <c r="D509" s="20"/>
      <c r="E509" s="20"/>
    </row>
    <row r="510">
      <c r="B510" s="20"/>
      <c r="C510" s="20"/>
      <c r="D510" s="20"/>
      <c r="E510" s="20"/>
    </row>
    <row r="511">
      <c r="B511" s="20"/>
      <c r="C511" s="20"/>
      <c r="D511" s="20"/>
      <c r="E511" s="20"/>
    </row>
    <row r="512">
      <c r="B512" s="20"/>
      <c r="C512" s="20"/>
      <c r="D512" s="20"/>
      <c r="E512" s="20"/>
    </row>
    <row r="513">
      <c r="B513" s="20"/>
      <c r="C513" s="20"/>
      <c r="D513" s="20"/>
      <c r="E513" s="20"/>
    </row>
    <row r="514">
      <c r="B514" s="20"/>
      <c r="C514" s="20"/>
      <c r="D514" s="20"/>
      <c r="E514" s="20"/>
    </row>
    <row r="515">
      <c r="B515" s="20"/>
      <c r="C515" s="20"/>
      <c r="D515" s="20"/>
      <c r="E515" s="20"/>
    </row>
    <row r="516">
      <c r="B516" s="20"/>
      <c r="C516" s="20"/>
      <c r="D516" s="20"/>
      <c r="E516" s="20"/>
    </row>
    <row r="517">
      <c r="B517" s="20"/>
      <c r="C517" s="20"/>
      <c r="D517" s="20"/>
      <c r="E517" s="20"/>
    </row>
    <row r="518">
      <c r="B518" s="20"/>
      <c r="C518" s="20"/>
      <c r="D518" s="20"/>
      <c r="E518" s="20"/>
    </row>
    <row r="519">
      <c r="B519" s="20"/>
      <c r="C519" s="20"/>
      <c r="D519" s="20"/>
      <c r="E519" s="20"/>
    </row>
    <row r="520">
      <c r="B520" s="20"/>
      <c r="C520" s="20"/>
      <c r="D520" s="20"/>
      <c r="E520" s="20"/>
    </row>
    <row r="521">
      <c r="B521" s="20"/>
      <c r="C521" s="20"/>
      <c r="D521" s="20"/>
      <c r="E521" s="20"/>
    </row>
    <row r="522">
      <c r="B522" s="20"/>
      <c r="C522" s="20"/>
      <c r="D522" s="20"/>
      <c r="E522" s="20"/>
    </row>
    <row r="523">
      <c r="B523" s="20"/>
      <c r="C523" s="20"/>
      <c r="D523" s="20"/>
      <c r="E523" s="20"/>
    </row>
    <row r="524">
      <c r="B524" s="20"/>
      <c r="C524" s="20"/>
      <c r="D524" s="20"/>
      <c r="E524" s="20"/>
    </row>
    <row r="525">
      <c r="B525" s="20"/>
      <c r="C525" s="20"/>
      <c r="D525" s="20"/>
      <c r="E525" s="20"/>
    </row>
    <row r="526">
      <c r="B526" s="20"/>
      <c r="C526" s="20"/>
      <c r="D526" s="20"/>
      <c r="E526" s="20"/>
    </row>
    <row r="527">
      <c r="B527" s="20"/>
      <c r="C527" s="20"/>
      <c r="D527" s="20"/>
      <c r="E527" s="20"/>
    </row>
    <row r="528">
      <c r="B528" s="20"/>
      <c r="C528" s="20"/>
      <c r="D528" s="20"/>
      <c r="E528" s="20"/>
    </row>
    <row r="529">
      <c r="B529" s="20"/>
      <c r="C529" s="20"/>
      <c r="D529" s="20"/>
      <c r="E529" s="20"/>
    </row>
    <row r="530">
      <c r="B530" s="20"/>
      <c r="C530" s="20"/>
      <c r="D530" s="20"/>
      <c r="E530" s="20"/>
    </row>
    <row r="531">
      <c r="B531" s="20"/>
      <c r="C531" s="20"/>
      <c r="D531" s="20"/>
      <c r="E531" s="20"/>
    </row>
    <row r="532">
      <c r="B532" s="20"/>
      <c r="C532" s="20"/>
      <c r="D532" s="20"/>
      <c r="E532" s="20"/>
    </row>
    <row r="533">
      <c r="B533" s="20"/>
      <c r="C533" s="20"/>
      <c r="D533" s="20"/>
      <c r="E533" s="20"/>
    </row>
    <row r="534">
      <c r="B534" s="20"/>
      <c r="C534" s="20"/>
      <c r="D534" s="20"/>
      <c r="E534" s="20"/>
    </row>
    <row r="535">
      <c r="B535" s="20"/>
      <c r="C535" s="20"/>
      <c r="D535" s="20"/>
      <c r="E535" s="20"/>
    </row>
    <row r="536">
      <c r="B536" s="20"/>
      <c r="C536" s="20"/>
      <c r="D536" s="20"/>
      <c r="E536" s="20"/>
    </row>
    <row r="537">
      <c r="B537" s="20"/>
      <c r="C537" s="20"/>
      <c r="D537" s="20"/>
      <c r="E537" s="20"/>
    </row>
    <row r="538">
      <c r="B538" s="20"/>
      <c r="C538" s="20"/>
      <c r="D538" s="20"/>
      <c r="E538" s="20"/>
    </row>
    <row r="539">
      <c r="B539" s="20"/>
      <c r="C539" s="20"/>
      <c r="D539" s="20"/>
      <c r="E539" s="20"/>
    </row>
    <row r="540">
      <c r="B540" s="20"/>
      <c r="C540" s="20"/>
      <c r="D540" s="20"/>
      <c r="E540" s="20"/>
    </row>
    <row r="541">
      <c r="B541" s="20"/>
      <c r="C541" s="20"/>
      <c r="D541" s="20"/>
      <c r="E541" s="20"/>
    </row>
    <row r="542">
      <c r="B542" s="20"/>
      <c r="C542" s="20"/>
      <c r="D542" s="20"/>
      <c r="E542" s="20"/>
    </row>
    <row r="543">
      <c r="B543" s="20"/>
      <c r="C543" s="20"/>
      <c r="D543" s="20"/>
      <c r="E543" s="20"/>
    </row>
    <row r="544">
      <c r="B544" s="20"/>
      <c r="C544" s="20"/>
      <c r="D544" s="20"/>
      <c r="E544" s="20"/>
    </row>
    <row r="545">
      <c r="B545" s="20"/>
      <c r="C545" s="20"/>
      <c r="D545" s="20"/>
      <c r="E545" s="20"/>
    </row>
    <row r="546">
      <c r="B546" s="20"/>
      <c r="C546" s="20"/>
      <c r="D546" s="20"/>
      <c r="E546" s="20"/>
    </row>
    <row r="547">
      <c r="B547" s="20"/>
      <c r="C547" s="20"/>
      <c r="D547" s="20"/>
      <c r="E547" s="20"/>
    </row>
    <row r="548">
      <c r="B548" s="20"/>
      <c r="C548" s="20"/>
      <c r="D548" s="20"/>
      <c r="E548" s="20"/>
    </row>
    <row r="549">
      <c r="B549" s="20"/>
      <c r="C549" s="20"/>
      <c r="D549" s="20"/>
      <c r="E549" s="20"/>
    </row>
    <row r="550">
      <c r="B550" s="20"/>
      <c r="C550" s="20"/>
      <c r="D550" s="20"/>
      <c r="E550" s="20"/>
    </row>
    <row r="551">
      <c r="B551" s="20"/>
      <c r="C551" s="20"/>
      <c r="D551" s="20"/>
      <c r="E551" s="20"/>
    </row>
    <row r="552">
      <c r="B552" s="20"/>
      <c r="C552" s="20"/>
      <c r="D552" s="20"/>
      <c r="E552" s="20"/>
    </row>
    <row r="553">
      <c r="B553" s="20"/>
      <c r="C553" s="20"/>
      <c r="D553" s="20"/>
      <c r="E553" s="20"/>
    </row>
    <row r="554">
      <c r="B554" s="20"/>
      <c r="C554" s="20"/>
      <c r="D554" s="20"/>
      <c r="E554" s="20"/>
    </row>
    <row r="555">
      <c r="B555" s="20"/>
      <c r="C555" s="20"/>
      <c r="D555" s="20"/>
      <c r="E555" s="20"/>
    </row>
    <row r="556">
      <c r="B556" s="20"/>
      <c r="C556" s="20"/>
      <c r="D556" s="20"/>
      <c r="E556" s="20"/>
    </row>
    <row r="557">
      <c r="B557" s="20"/>
      <c r="C557" s="20"/>
      <c r="D557" s="20"/>
      <c r="E557" s="20"/>
    </row>
    <row r="558">
      <c r="B558" s="20"/>
      <c r="C558" s="20"/>
      <c r="D558" s="20"/>
      <c r="E558" s="20"/>
    </row>
    <row r="559">
      <c r="B559" s="20"/>
      <c r="C559" s="20"/>
      <c r="D559" s="20"/>
      <c r="E559" s="20"/>
    </row>
    <row r="560">
      <c r="B560" s="20"/>
      <c r="C560" s="20"/>
      <c r="D560" s="20"/>
      <c r="E560" s="20"/>
    </row>
    <row r="561">
      <c r="B561" s="20"/>
      <c r="C561" s="20"/>
      <c r="D561" s="20"/>
      <c r="E561" s="20"/>
    </row>
    <row r="562">
      <c r="B562" s="20"/>
      <c r="C562" s="20"/>
      <c r="D562" s="20"/>
      <c r="E562" s="20"/>
    </row>
    <row r="563">
      <c r="B563" s="20"/>
      <c r="C563" s="20"/>
      <c r="D563" s="20"/>
      <c r="E563" s="20"/>
    </row>
    <row r="564">
      <c r="B564" s="20"/>
      <c r="C564" s="20"/>
      <c r="D564" s="20"/>
      <c r="E564" s="20"/>
    </row>
    <row r="565">
      <c r="B565" s="20"/>
      <c r="C565" s="20"/>
      <c r="D565" s="20"/>
      <c r="E565" s="20"/>
    </row>
    <row r="566">
      <c r="B566" s="20"/>
      <c r="C566" s="20"/>
      <c r="D566" s="20"/>
      <c r="E566" s="20"/>
    </row>
    <row r="567">
      <c r="B567" s="20"/>
      <c r="C567" s="20"/>
      <c r="D567" s="20"/>
      <c r="E567" s="20"/>
    </row>
    <row r="568">
      <c r="B568" s="20"/>
      <c r="C568" s="20"/>
      <c r="D568" s="20"/>
      <c r="E568" s="20"/>
    </row>
    <row r="569">
      <c r="B569" s="20"/>
      <c r="C569" s="20"/>
      <c r="D569" s="20"/>
      <c r="E569" s="20"/>
    </row>
    <row r="570">
      <c r="B570" s="20"/>
      <c r="C570" s="20"/>
      <c r="D570" s="20"/>
      <c r="E570" s="20"/>
    </row>
    <row r="571">
      <c r="B571" s="20"/>
      <c r="C571" s="20"/>
      <c r="D571" s="20"/>
      <c r="E571" s="20"/>
    </row>
    <row r="572">
      <c r="B572" s="20"/>
      <c r="C572" s="20"/>
      <c r="D572" s="20"/>
      <c r="E572" s="20"/>
    </row>
    <row r="573">
      <c r="B573" s="20"/>
      <c r="C573" s="20"/>
      <c r="D573" s="20"/>
      <c r="E573" s="20"/>
    </row>
    <row r="574">
      <c r="B574" s="20"/>
      <c r="C574" s="20"/>
      <c r="D574" s="20"/>
      <c r="E574" s="20"/>
    </row>
    <row r="575">
      <c r="B575" s="20"/>
      <c r="C575" s="20"/>
      <c r="D575" s="20"/>
      <c r="E575" s="20"/>
    </row>
    <row r="576">
      <c r="B576" s="20"/>
      <c r="C576" s="20"/>
      <c r="D576" s="20"/>
      <c r="E576" s="20"/>
    </row>
    <row r="577">
      <c r="B577" s="20"/>
      <c r="C577" s="20"/>
      <c r="D577" s="20"/>
      <c r="E577" s="20"/>
    </row>
    <row r="578">
      <c r="B578" s="20"/>
      <c r="C578" s="20"/>
      <c r="D578" s="20"/>
      <c r="E578" s="20"/>
    </row>
    <row r="579">
      <c r="B579" s="20"/>
      <c r="C579" s="20"/>
      <c r="D579" s="20"/>
      <c r="E579" s="20"/>
    </row>
    <row r="580">
      <c r="B580" s="20"/>
      <c r="C580" s="20"/>
      <c r="D580" s="20"/>
      <c r="E580" s="20"/>
    </row>
    <row r="581">
      <c r="B581" s="20"/>
      <c r="C581" s="20"/>
      <c r="D581" s="20"/>
      <c r="E581" s="20"/>
    </row>
    <row r="582">
      <c r="B582" s="20"/>
      <c r="C582" s="20"/>
      <c r="D582" s="20"/>
      <c r="E582" s="20"/>
    </row>
    <row r="583">
      <c r="B583" s="20"/>
      <c r="C583" s="20"/>
      <c r="D583" s="20"/>
      <c r="E583" s="20"/>
    </row>
    <row r="584">
      <c r="B584" s="20"/>
      <c r="C584" s="20"/>
      <c r="D584" s="20"/>
      <c r="E584" s="20"/>
    </row>
    <row r="585">
      <c r="B585" s="20"/>
      <c r="C585" s="20"/>
      <c r="D585" s="20"/>
      <c r="E585" s="20"/>
    </row>
    <row r="586">
      <c r="B586" s="20"/>
      <c r="C586" s="20"/>
      <c r="D586" s="20"/>
      <c r="E586" s="20"/>
    </row>
    <row r="587">
      <c r="B587" s="20"/>
      <c r="C587" s="20"/>
      <c r="D587" s="20"/>
      <c r="E587" s="20"/>
    </row>
    <row r="588">
      <c r="B588" s="20"/>
      <c r="C588" s="20"/>
      <c r="D588" s="20"/>
      <c r="E588" s="20"/>
    </row>
    <row r="589">
      <c r="B589" s="20"/>
      <c r="C589" s="20"/>
      <c r="D589" s="20"/>
      <c r="E589" s="20"/>
    </row>
    <row r="590">
      <c r="B590" s="20"/>
      <c r="C590" s="20"/>
      <c r="D590" s="20"/>
      <c r="E590" s="20"/>
    </row>
    <row r="591">
      <c r="B591" s="20"/>
      <c r="C591" s="20"/>
      <c r="D591" s="20"/>
      <c r="E591" s="20"/>
    </row>
    <row r="592">
      <c r="B592" s="20"/>
      <c r="C592" s="20"/>
      <c r="D592" s="20"/>
      <c r="E592" s="20"/>
    </row>
    <row r="593">
      <c r="B593" s="20"/>
      <c r="C593" s="20"/>
      <c r="D593" s="20"/>
      <c r="E593" s="20"/>
    </row>
    <row r="594">
      <c r="B594" s="20"/>
      <c r="C594" s="20"/>
      <c r="D594" s="20"/>
      <c r="E594" s="20"/>
    </row>
    <row r="595">
      <c r="B595" s="20"/>
      <c r="C595" s="20"/>
      <c r="D595" s="20"/>
      <c r="E595" s="20"/>
    </row>
    <row r="596">
      <c r="B596" s="20"/>
      <c r="C596" s="20"/>
      <c r="D596" s="20"/>
      <c r="E596" s="20"/>
    </row>
    <row r="597">
      <c r="B597" s="20"/>
      <c r="C597" s="20"/>
      <c r="D597" s="20"/>
      <c r="E597" s="20"/>
    </row>
    <row r="598">
      <c r="B598" s="20"/>
      <c r="C598" s="20"/>
      <c r="D598" s="20"/>
      <c r="E598" s="20"/>
    </row>
    <row r="599">
      <c r="B599" s="20"/>
      <c r="C599" s="20"/>
      <c r="D599" s="20"/>
      <c r="E599" s="20"/>
    </row>
    <row r="600">
      <c r="B600" s="20"/>
      <c r="C600" s="20"/>
      <c r="D600" s="20"/>
      <c r="E600" s="20"/>
    </row>
    <row r="601">
      <c r="B601" s="20"/>
      <c r="C601" s="20"/>
      <c r="D601" s="20"/>
      <c r="E601" s="20"/>
    </row>
    <row r="602">
      <c r="B602" s="20"/>
      <c r="C602" s="20"/>
      <c r="D602" s="20"/>
      <c r="E602" s="20"/>
    </row>
    <row r="603">
      <c r="B603" s="20"/>
      <c r="C603" s="20"/>
      <c r="D603" s="20"/>
      <c r="E603" s="20"/>
    </row>
    <row r="604">
      <c r="B604" s="20"/>
      <c r="C604" s="20"/>
      <c r="D604" s="20"/>
      <c r="E604" s="20"/>
    </row>
    <row r="605">
      <c r="B605" s="20"/>
      <c r="C605" s="20"/>
      <c r="D605" s="20"/>
      <c r="E605" s="20"/>
    </row>
    <row r="606">
      <c r="B606" s="20"/>
      <c r="C606" s="20"/>
      <c r="D606" s="20"/>
      <c r="E606" s="20"/>
    </row>
    <row r="607">
      <c r="B607" s="20"/>
      <c r="C607" s="20"/>
      <c r="D607" s="20"/>
      <c r="E607" s="20"/>
    </row>
    <row r="608">
      <c r="B608" s="20"/>
      <c r="C608" s="20"/>
      <c r="D608" s="20"/>
      <c r="E608" s="20"/>
    </row>
    <row r="609">
      <c r="B609" s="20"/>
      <c r="C609" s="20"/>
      <c r="D609" s="20"/>
      <c r="E609" s="20"/>
    </row>
    <row r="610">
      <c r="B610" s="20"/>
      <c r="C610" s="20"/>
      <c r="D610" s="20"/>
      <c r="E610" s="20"/>
    </row>
    <row r="611">
      <c r="B611" s="20"/>
      <c r="C611" s="20"/>
      <c r="D611" s="20"/>
      <c r="E611" s="20"/>
    </row>
    <row r="612">
      <c r="B612" s="20"/>
      <c r="C612" s="20"/>
      <c r="D612" s="20"/>
      <c r="E612" s="20"/>
    </row>
    <row r="613">
      <c r="B613" s="20"/>
      <c r="C613" s="20"/>
      <c r="D613" s="20"/>
      <c r="E613" s="20"/>
    </row>
    <row r="614">
      <c r="B614" s="20"/>
      <c r="C614" s="20"/>
      <c r="D614" s="20"/>
      <c r="E614" s="20"/>
    </row>
    <row r="615">
      <c r="B615" s="20"/>
      <c r="C615" s="20"/>
      <c r="D615" s="20"/>
      <c r="E615" s="20"/>
    </row>
    <row r="616">
      <c r="B616" s="20"/>
      <c r="C616" s="20"/>
      <c r="D616" s="20"/>
      <c r="E616" s="20"/>
    </row>
    <row r="617">
      <c r="B617" s="20"/>
      <c r="C617" s="20"/>
      <c r="D617" s="20"/>
      <c r="E617" s="20"/>
    </row>
    <row r="618">
      <c r="B618" s="20"/>
      <c r="C618" s="20"/>
      <c r="D618" s="20"/>
      <c r="E618" s="20"/>
    </row>
    <row r="619">
      <c r="B619" s="20"/>
      <c r="C619" s="20"/>
      <c r="D619" s="20"/>
      <c r="E619" s="20"/>
    </row>
    <row r="620">
      <c r="B620" s="20"/>
      <c r="C620" s="20"/>
      <c r="D620" s="20"/>
      <c r="E620" s="20"/>
    </row>
    <row r="621">
      <c r="B621" s="20"/>
      <c r="C621" s="20"/>
      <c r="D621" s="20"/>
      <c r="E621" s="20"/>
    </row>
    <row r="622">
      <c r="B622" s="20"/>
      <c r="C622" s="20"/>
      <c r="D622" s="20"/>
      <c r="E622" s="20"/>
    </row>
    <row r="623">
      <c r="B623" s="20"/>
      <c r="C623" s="20"/>
      <c r="D623" s="20"/>
      <c r="E623" s="20"/>
    </row>
    <row r="624">
      <c r="B624" s="20"/>
      <c r="C624" s="20"/>
      <c r="D624" s="20"/>
      <c r="E624" s="20"/>
    </row>
    <row r="625">
      <c r="B625" s="20"/>
      <c r="C625" s="20"/>
      <c r="D625" s="20"/>
      <c r="E625" s="20"/>
    </row>
    <row r="626">
      <c r="B626" s="20"/>
      <c r="C626" s="20"/>
      <c r="D626" s="20"/>
      <c r="E626" s="20"/>
    </row>
    <row r="627">
      <c r="B627" s="20"/>
      <c r="C627" s="20"/>
      <c r="D627" s="20"/>
      <c r="E627" s="20"/>
    </row>
    <row r="628">
      <c r="B628" s="20"/>
      <c r="C628" s="20"/>
      <c r="D628" s="20"/>
      <c r="E628" s="20"/>
    </row>
    <row r="629">
      <c r="B629" s="20"/>
      <c r="C629" s="20"/>
      <c r="D629" s="20"/>
      <c r="E629" s="20"/>
    </row>
    <row r="630">
      <c r="B630" s="20"/>
      <c r="C630" s="20"/>
      <c r="D630" s="20"/>
      <c r="E630" s="20"/>
    </row>
    <row r="631">
      <c r="B631" s="20"/>
      <c r="C631" s="20"/>
      <c r="D631" s="20"/>
      <c r="E631" s="20"/>
    </row>
    <row r="632">
      <c r="B632" s="20"/>
      <c r="C632" s="20"/>
      <c r="D632" s="20"/>
      <c r="E632" s="20"/>
    </row>
    <row r="633">
      <c r="B633" s="20"/>
      <c r="C633" s="20"/>
      <c r="D633" s="20"/>
      <c r="E633" s="20"/>
    </row>
    <row r="634">
      <c r="B634" s="20"/>
      <c r="C634" s="20"/>
      <c r="D634" s="20"/>
      <c r="E634" s="20"/>
    </row>
    <row r="635">
      <c r="B635" s="20"/>
      <c r="C635" s="20"/>
      <c r="D635" s="20"/>
      <c r="E635" s="20"/>
    </row>
    <row r="636">
      <c r="B636" s="20"/>
      <c r="C636" s="20"/>
      <c r="D636" s="20"/>
      <c r="E636" s="20"/>
    </row>
    <row r="637">
      <c r="B637" s="20"/>
      <c r="C637" s="20"/>
      <c r="D637" s="20"/>
      <c r="E637" s="20"/>
    </row>
    <row r="638">
      <c r="B638" s="20"/>
      <c r="C638" s="20"/>
      <c r="D638" s="20"/>
      <c r="E638" s="20"/>
    </row>
    <row r="639">
      <c r="B639" s="20"/>
      <c r="C639" s="20"/>
      <c r="D639" s="20"/>
      <c r="E639" s="20"/>
    </row>
    <row r="640">
      <c r="B640" s="20"/>
      <c r="C640" s="20"/>
      <c r="D640" s="20"/>
      <c r="E640" s="20"/>
    </row>
    <row r="641">
      <c r="B641" s="20"/>
      <c r="C641" s="20"/>
      <c r="D641" s="20"/>
      <c r="E641" s="20"/>
    </row>
    <row r="642">
      <c r="B642" s="20"/>
      <c r="C642" s="20"/>
      <c r="D642" s="20"/>
      <c r="E642" s="20"/>
    </row>
    <row r="643">
      <c r="B643" s="20"/>
      <c r="C643" s="20"/>
      <c r="D643" s="20"/>
      <c r="E643" s="20"/>
    </row>
    <row r="644">
      <c r="B644" s="20"/>
      <c r="C644" s="20"/>
      <c r="D644" s="20"/>
      <c r="E644" s="20"/>
    </row>
    <row r="645">
      <c r="B645" s="20"/>
      <c r="C645" s="20"/>
      <c r="D645" s="20"/>
      <c r="E645" s="20"/>
    </row>
    <row r="646">
      <c r="B646" s="20"/>
      <c r="C646" s="20"/>
      <c r="D646" s="20"/>
      <c r="E646" s="20"/>
    </row>
    <row r="647">
      <c r="B647" s="20"/>
      <c r="C647" s="20"/>
      <c r="D647" s="20"/>
      <c r="E647" s="20"/>
    </row>
    <row r="648">
      <c r="B648" s="20"/>
      <c r="C648" s="20"/>
      <c r="D648" s="20"/>
      <c r="E648" s="20"/>
    </row>
    <row r="649">
      <c r="B649" s="20"/>
      <c r="C649" s="20"/>
      <c r="D649" s="20"/>
      <c r="E649" s="20"/>
    </row>
    <row r="650">
      <c r="B650" s="20"/>
      <c r="C650" s="20"/>
      <c r="D650" s="20"/>
      <c r="E650" s="20"/>
    </row>
    <row r="651">
      <c r="B651" s="20"/>
      <c r="C651" s="20"/>
      <c r="D651" s="20"/>
      <c r="E651" s="20"/>
    </row>
    <row r="652">
      <c r="B652" s="20"/>
      <c r="C652" s="20"/>
      <c r="D652" s="20"/>
      <c r="E652" s="20"/>
    </row>
    <row r="653">
      <c r="B653" s="20"/>
      <c r="C653" s="20"/>
      <c r="D653" s="20"/>
      <c r="E653" s="20"/>
    </row>
    <row r="654">
      <c r="B654" s="20"/>
      <c r="C654" s="20"/>
      <c r="D654" s="20"/>
      <c r="E654" s="20"/>
    </row>
    <row r="655">
      <c r="B655" s="20"/>
      <c r="C655" s="20"/>
      <c r="D655" s="20"/>
      <c r="E655" s="20"/>
    </row>
    <row r="656">
      <c r="B656" s="20"/>
      <c r="C656" s="20"/>
      <c r="D656" s="20"/>
      <c r="E656" s="20"/>
    </row>
    <row r="657">
      <c r="B657" s="20"/>
      <c r="C657" s="20"/>
      <c r="D657" s="20"/>
      <c r="E657" s="20"/>
    </row>
    <row r="658">
      <c r="B658" s="20"/>
      <c r="C658" s="20"/>
      <c r="D658" s="20"/>
      <c r="E658" s="20"/>
    </row>
    <row r="659">
      <c r="B659" s="20"/>
      <c r="C659" s="20"/>
      <c r="D659" s="20"/>
      <c r="E659" s="20"/>
    </row>
    <row r="660">
      <c r="B660" s="20"/>
      <c r="C660" s="20"/>
      <c r="D660" s="20"/>
      <c r="E660" s="20"/>
    </row>
    <row r="661">
      <c r="B661" s="20"/>
      <c r="C661" s="20"/>
      <c r="D661" s="20"/>
      <c r="E661" s="20"/>
    </row>
    <row r="662">
      <c r="B662" s="20"/>
      <c r="C662" s="20"/>
      <c r="D662" s="20"/>
      <c r="E662" s="20"/>
    </row>
    <row r="663">
      <c r="B663" s="20"/>
      <c r="C663" s="20"/>
      <c r="D663" s="20"/>
      <c r="E663" s="20"/>
    </row>
    <row r="664">
      <c r="B664" s="20"/>
      <c r="C664" s="20"/>
      <c r="D664" s="20"/>
      <c r="E664" s="20"/>
    </row>
    <row r="665">
      <c r="B665" s="20"/>
      <c r="C665" s="20"/>
      <c r="D665" s="20"/>
      <c r="E665" s="20"/>
    </row>
    <row r="666">
      <c r="B666" s="20"/>
      <c r="C666" s="20"/>
      <c r="D666" s="20"/>
      <c r="E666" s="20"/>
    </row>
    <row r="667">
      <c r="B667" s="20"/>
      <c r="C667" s="20"/>
      <c r="D667" s="20"/>
      <c r="E667" s="20"/>
    </row>
    <row r="668">
      <c r="B668" s="20"/>
      <c r="C668" s="20"/>
      <c r="D668" s="20"/>
      <c r="E668" s="20"/>
    </row>
    <row r="669">
      <c r="B669" s="20"/>
      <c r="C669" s="20"/>
      <c r="D669" s="20"/>
      <c r="E669" s="20"/>
    </row>
    <row r="670">
      <c r="B670" s="20"/>
      <c r="C670" s="20"/>
      <c r="D670" s="20"/>
      <c r="E670" s="20"/>
    </row>
    <row r="671">
      <c r="B671" s="20"/>
      <c r="C671" s="20"/>
      <c r="D671" s="20"/>
      <c r="E671" s="20"/>
    </row>
    <row r="672">
      <c r="B672" s="20"/>
      <c r="C672" s="20"/>
      <c r="D672" s="20"/>
      <c r="E672" s="20"/>
    </row>
    <row r="673">
      <c r="B673" s="20"/>
      <c r="C673" s="20"/>
      <c r="D673" s="20"/>
      <c r="E673" s="20"/>
    </row>
    <row r="674">
      <c r="B674" s="20"/>
      <c r="C674" s="20"/>
      <c r="D674" s="20"/>
      <c r="E674" s="20"/>
    </row>
    <row r="675">
      <c r="B675" s="20"/>
      <c r="C675" s="20"/>
      <c r="D675" s="20"/>
      <c r="E675" s="20"/>
    </row>
    <row r="676">
      <c r="B676" s="20"/>
      <c r="C676" s="20"/>
      <c r="D676" s="20"/>
      <c r="E676" s="20"/>
    </row>
    <row r="677">
      <c r="B677" s="20"/>
      <c r="C677" s="20"/>
      <c r="D677" s="20"/>
      <c r="E677" s="20"/>
    </row>
    <row r="678">
      <c r="B678" s="20"/>
      <c r="C678" s="20"/>
      <c r="D678" s="20"/>
      <c r="E678" s="20"/>
    </row>
    <row r="679">
      <c r="B679" s="20"/>
      <c r="C679" s="20"/>
      <c r="D679" s="20"/>
      <c r="E679" s="20"/>
    </row>
    <row r="680">
      <c r="B680" s="20"/>
      <c r="C680" s="20"/>
      <c r="D680" s="20"/>
      <c r="E680" s="20"/>
    </row>
    <row r="681">
      <c r="B681" s="20"/>
      <c r="C681" s="20"/>
      <c r="D681" s="20"/>
      <c r="E681" s="20"/>
    </row>
    <row r="682">
      <c r="B682" s="20"/>
      <c r="C682" s="20"/>
      <c r="D682" s="20"/>
      <c r="E682" s="20"/>
    </row>
    <row r="683">
      <c r="B683" s="20"/>
      <c r="C683" s="20"/>
      <c r="D683" s="20"/>
      <c r="E683" s="20"/>
    </row>
    <row r="684">
      <c r="B684" s="20"/>
      <c r="C684" s="20"/>
      <c r="D684" s="20"/>
      <c r="E684" s="20"/>
    </row>
    <row r="685">
      <c r="B685" s="20"/>
      <c r="C685" s="20"/>
      <c r="D685" s="20"/>
      <c r="E685" s="20"/>
    </row>
    <row r="686">
      <c r="B686" s="20"/>
      <c r="C686" s="20"/>
      <c r="D686" s="20"/>
      <c r="E686" s="20"/>
    </row>
    <row r="687">
      <c r="B687" s="20"/>
      <c r="C687" s="20"/>
      <c r="D687" s="20"/>
      <c r="E687" s="20"/>
    </row>
    <row r="688">
      <c r="B688" s="20"/>
      <c r="C688" s="20"/>
      <c r="D688" s="20"/>
      <c r="E688" s="20"/>
    </row>
    <row r="689">
      <c r="B689" s="20"/>
      <c r="C689" s="20"/>
      <c r="D689" s="20"/>
      <c r="E689" s="20"/>
    </row>
    <row r="690">
      <c r="B690" s="20"/>
      <c r="C690" s="20"/>
      <c r="D690" s="20"/>
      <c r="E690" s="20"/>
    </row>
    <row r="691">
      <c r="B691" s="20"/>
      <c r="C691" s="20"/>
      <c r="D691" s="20"/>
      <c r="E691" s="20"/>
    </row>
    <row r="692">
      <c r="B692" s="20"/>
      <c r="C692" s="20"/>
      <c r="D692" s="20"/>
      <c r="E692" s="20"/>
    </row>
    <row r="693">
      <c r="B693" s="20"/>
      <c r="C693" s="20"/>
      <c r="D693" s="20"/>
      <c r="E693" s="20"/>
    </row>
    <row r="694">
      <c r="B694" s="20"/>
      <c r="C694" s="20"/>
      <c r="D694" s="20"/>
      <c r="E694" s="20"/>
    </row>
    <row r="695">
      <c r="B695" s="20"/>
      <c r="C695" s="20"/>
      <c r="D695" s="20"/>
      <c r="E695" s="20"/>
    </row>
    <row r="696">
      <c r="B696" s="20"/>
      <c r="C696" s="20"/>
      <c r="D696" s="20"/>
      <c r="E696" s="20"/>
    </row>
    <row r="697">
      <c r="B697" s="20"/>
      <c r="C697" s="20"/>
      <c r="D697" s="20"/>
      <c r="E697" s="20"/>
    </row>
    <row r="698">
      <c r="B698" s="20"/>
      <c r="C698" s="20"/>
      <c r="D698" s="20"/>
      <c r="E698" s="20"/>
    </row>
    <row r="699">
      <c r="B699" s="20"/>
      <c r="C699" s="20"/>
      <c r="D699" s="20"/>
      <c r="E699" s="20"/>
    </row>
    <row r="700">
      <c r="B700" s="20"/>
      <c r="C700" s="20"/>
      <c r="D700" s="20"/>
      <c r="E700" s="20"/>
    </row>
    <row r="701">
      <c r="B701" s="20"/>
      <c r="C701" s="20"/>
      <c r="D701" s="20"/>
      <c r="E701" s="20"/>
    </row>
    <row r="702">
      <c r="B702" s="20"/>
      <c r="C702" s="20"/>
      <c r="D702" s="20"/>
      <c r="E702" s="20"/>
    </row>
    <row r="703">
      <c r="B703" s="20"/>
      <c r="C703" s="20"/>
      <c r="D703" s="20"/>
      <c r="E703" s="20"/>
    </row>
    <row r="704">
      <c r="B704" s="20"/>
      <c r="C704" s="20"/>
      <c r="D704" s="20"/>
      <c r="E704" s="20"/>
    </row>
    <row r="705">
      <c r="B705" s="20"/>
      <c r="C705" s="20"/>
      <c r="D705" s="20"/>
      <c r="E705" s="20"/>
    </row>
    <row r="706">
      <c r="B706" s="20"/>
      <c r="C706" s="20"/>
      <c r="D706" s="20"/>
      <c r="E706" s="20"/>
    </row>
    <row r="707">
      <c r="B707" s="20"/>
      <c r="C707" s="20"/>
      <c r="D707" s="20"/>
      <c r="E707" s="20"/>
    </row>
    <row r="708">
      <c r="B708" s="20"/>
      <c r="C708" s="20"/>
      <c r="D708" s="20"/>
      <c r="E708" s="20"/>
    </row>
    <row r="709">
      <c r="B709" s="20"/>
      <c r="C709" s="20"/>
      <c r="D709" s="20"/>
      <c r="E709" s="20"/>
    </row>
    <row r="710">
      <c r="B710" s="20"/>
      <c r="C710" s="20"/>
      <c r="D710" s="20"/>
      <c r="E710" s="20"/>
    </row>
    <row r="711">
      <c r="B711" s="20"/>
      <c r="C711" s="20"/>
      <c r="D711" s="20"/>
      <c r="E711" s="20"/>
    </row>
    <row r="712">
      <c r="B712" s="20"/>
      <c r="C712" s="20"/>
      <c r="D712" s="20"/>
      <c r="E712" s="20"/>
    </row>
    <row r="713">
      <c r="B713" s="20"/>
      <c r="C713" s="20"/>
      <c r="D713" s="20"/>
      <c r="E713" s="20"/>
    </row>
    <row r="714">
      <c r="B714" s="20"/>
      <c r="C714" s="20"/>
      <c r="D714" s="20"/>
      <c r="E714" s="20"/>
    </row>
    <row r="715">
      <c r="B715" s="20"/>
      <c r="C715" s="20"/>
      <c r="D715" s="20"/>
      <c r="E715" s="20"/>
    </row>
    <row r="716">
      <c r="B716" s="20"/>
      <c r="C716" s="20"/>
      <c r="D716" s="20"/>
      <c r="E716" s="20"/>
    </row>
    <row r="717">
      <c r="B717" s="20"/>
      <c r="C717" s="20"/>
      <c r="D717" s="20"/>
      <c r="E717" s="20"/>
    </row>
    <row r="718">
      <c r="B718" s="20"/>
      <c r="C718" s="20"/>
      <c r="D718" s="20"/>
      <c r="E718" s="20"/>
    </row>
    <row r="719">
      <c r="B719" s="20"/>
      <c r="C719" s="20"/>
      <c r="D719" s="20"/>
      <c r="E719" s="20"/>
    </row>
    <row r="720">
      <c r="B720" s="20"/>
      <c r="C720" s="20"/>
      <c r="D720" s="20"/>
      <c r="E720" s="20"/>
    </row>
    <row r="721">
      <c r="B721" s="20"/>
      <c r="C721" s="20"/>
      <c r="D721" s="20"/>
      <c r="E721" s="20"/>
    </row>
    <row r="722">
      <c r="B722" s="20"/>
      <c r="C722" s="20"/>
      <c r="D722" s="20"/>
      <c r="E722" s="20"/>
    </row>
    <row r="723">
      <c r="B723" s="20"/>
      <c r="C723" s="20"/>
      <c r="D723" s="20"/>
      <c r="E723" s="20"/>
    </row>
    <row r="724">
      <c r="B724" s="20"/>
      <c r="C724" s="20"/>
      <c r="D724" s="20"/>
      <c r="E724" s="20"/>
    </row>
    <row r="725">
      <c r="B725" s="20"/>
      <c r="C725" s="20"/>
      <c r="D725" s="20"/>
      <c r="E725" s="20"/>
    </row>
    <row r="726">
      <c r="B726" s="20"/>
      <c r="C726" s="20"/>
      <c r="D726" s="20"/>
      <c r="E726" s="20"/>
    </row>
    <row r="727">
      <c r="B727" s="20"/>
      <c r="C727" s="20"/>
      <c r="D727" s="20"/>
      <c r="E727" s="20"/>
    </row>
    <row r="728">
      <c r="B728" s="20"/>
      <c r="C728" s="20"/>
      <c r="D728" s="20"/>
      <c r="E728" s="20"/>
    </row>
    <row r="729">
      <c r="B729" s="20"/>
      <c r="C729" s="20"/>
      <c r="D729" s="20"/>
      <c r="E729" s="20"/>
    </row>
    <row r="730">
      <c r="B730" s="20"/>
      <c r="C730" s="20"/>
      <c r="D730" s="20"/>
      <c r="E730" s="20"/>
    </row>
    <row r="731">
      <c r="B731" s="20"/>
      <c r="C731" s="20"/>
      <c r="D731" s="20"/>
      <c r="E731" s="20"/>
    </row>
    <row r="732">
      <c r="B732" s="20"/>
      <c r="C732" s="20"/>
      <c r="D732" s="20"/>
      <c r="E732" s="20"/>
    </row>
    <row r="733">
      <c r="B733" s="20"/>
      <c r="C733" s="20"/>
      <c r="D733" s="20"/>
      <c r="E733" s="20"/>
    </row>
    <row r="734">
      <c r="B734" s="20"/>
      <c r="C734" s="20"/>
      <c r="D734" s="20"/>
      <c r="E734" s="20"/>
    </row>
    <row r="735">
      <c r="B735" s="20"/>
      <c r="C735" s="20"/>
      <c r="D735" s="20"/>
      <c r="E735" s="20"/>
    </row>
    <row r="736">
      <c r="B736" s="20"/>
      <c r="C736" s="20"/>
      <c r="D736" s="20"/>
      <c r="E736" s="20"/>
    </row>
    <row r="737">
      <c r="B737" s="20"/>
      <c r="C737" s="20"/>
      <c r="D737" s="20"/>
      <c r="E737" s="20"/>
    </row>
    <row r="738">
      <c r="B738" s="20"/>
      <c r="C738" s="20"/>
      <c r="D738" s="20"/>
      <c r="E738" s="20"/>
    </row>
    <row r="739">
      <c r="B739" s="20"/>
      <c r="C739" s="20"/>
      <c r="D739" s="20"/>
      <c r="E739" s="20"/>
    </row>
    <row r="740">
      <c r="B740" s="20"/>
      <c r="C740" s="20"/>
      <c r="D740" s="20"/>
      <c r="E740" s="20"/>
    </row>
    <row r="741">
      <c r="B741" s="20"/>
      <c r="C741" s="20"/>
      <c r="D741" s="20"/>
      <c r="E741" s="20"/>
    </row>
    <row r="742">
      <c r="B742" s="20"/>
      <c r="C742" s="20"/>
      <c r="D742" s="20"/>
      <c r="E742" s="20"/>
    </row>
    <row r="743">
      <c r="B743" s="20"/>
      <c r="C743" s="20"/>
      <c r="D743" s="20"/>
      <c r="E743" s="20"/>
    </row>
    <row r="744">
      <c r="B744" s="20"/>
      <c r="C744" s="20"/>
      <c r="D744" s="20"/>
      <c r="E744" s="20"/>
    </row>
    <row r="745">
      <c r="B745" s="20"/>
      <c r="C745" s="20"/>
      <c r="D745" s="20"/>
      <c r="E745" s="20"/>
    </row>
    <row r="746">
      <c r="B746" s="20"/>
      <c r="C746" s="20"/>
      <c r="D746" s="20"/>
      <c r="E746" s="20"/>
    </row>
    <row r="747">
      <c r="B747" s="20"/>
      <c r="C747" s="20"/>
      <c r="D747" s="20"/>
      <c r="E747" s="20"/>
    </row>
    <row r="748">
      <c r="B748" s="20"/>
      <c r="C748" s="20"/>
      <c r="D748" s="20"/>
      <c r="E748" s="20"/>
    </row>
    <row r="749">
      <c r="B749" s="20"/>
      <c r="C749" s="20"/>
      <c r="D749" s="20"/>
      <c r="E749" s="20"/>
    </row>
    <row r="750">
      <c r="B750" s="20"/>
      <c r="C750" s="20"/>
      <c r="D750" s="20"/>
      <c r="E750" s="20"/>
    </row>
    <row r="751">
      <c r="B751" s="20"/>
      <c r="C751" s="20"/>
      <c r="D751" s="20"/>
      <c r="E751" s="20"/>
    </row>
    <row r="752">
      <c r="B752" s="20"/>
      <c r="C752" s="20"/>
      <c r="D752" s="20"/>
      <c r="E752" s="20"/>
    </row>
    <row r="753">
      <c r="B753" s="20"/>
      <c r="C753" s="20"/>
      <c r="D753" s="20"/>
      <c r="E753" s="20"/>
    </row>
    <row r="754">
      <c r="B754" s="20"/>
      <c r="C754" s="20"/>
      <c r="D754" s="20"/>
      <c r="E754" s="20"/>
    </row>
    <row r="755">
      <c r="B755" s="20"/>
      <c r="C755" s="20"/>
      <c r="D755" s="20"/>
      <c r="E755" s="20"/>
    </row>
    <row r="756">
      <c r="B756" s="20"/>
      <c r="C756" s="20"/>
      <c r="D756" s="20"/>
      <c r="E756" s="20"/>
    </row>
    <row r="757">
      <c r="B757" s="20"/>
      <c r="C757" s="20"/>
      <c r="D757" s="20"/>
      <c r="E757" s="20"/>
    </row>
    <row r="758">
      <c r="B758" s="20"/>
      <c r="C758" s="20"/>
      <c r="D758" s="20"/>
      <c r="E758" s="20"/>
    </row>
    <row r="759">
      <c r="B759" s="20"/>
      <c r="C759" s="20"/>
      <c r="D759" s="20"/>
      <c r="E759" s="20"/>
    </row>
    <row r="760">
      <c r="B760" s="20"/>
      <c r="C760" s="20"/>
      <c r="D760" s="20"/>
      <c r="E760" s="20"/>
    </row>
    <row r="761">
      <c r="B761" s="20"/>
      <c r="C761" s="20"/>
      <c r="D761" s="20"/>
      <c r="E761" s="20"/>
    </row>
    <row r="762">
      <c r="B762" s="20"/>
      <c r="C762" s="20"/>
      <c r="D762" s="20"/>
      <c r="E762" s="20"/>
    </row>
    <row r="763">
      <c r="B763" s="20"/>
      <c r="C763" s="20"/>
      <c r="D763" s="20"/>
      <c r="E763" s="20"/>
    </row>
    <row r="764">
      <c r="B764" s="20"/>
      <c r="C764" s="20"/>
      <c r="D764" s="20"/>
      <c r="E764" s="20"/>
    </row>
    <row r="765">
      <c r="B765" s="20"/>
      <c r="C765" s="20"/>
      <c r="D765" s="20"/>
      <c r="E765" s="20"/>
    </row>
    <row r="766">
      <c r="B766" s="20"/>
      <c r="C766" s="20"/>
      <c r="D766" s="20"/>
      <c r="E766" s="20"/>
    </row>
    <row r="767">
      <c r="B767" s="20"/>
      <c r="C767" s="20"/>
      <c r="D767" s="20"/>
      <c r="E767" s="20"/>
    </row>
    <row r="768">
      <c r="B768" s="20"/>
      <c r="C768" s="20"/>
      <c r="D768" s="20"/>
      <c r="E768" s="20"/>
    </row>
    <row r="769">
      <c r="B769" s="20"/>
      <c r="C769" s="20"/>
      <c r="D769" s="20"/>
      <c r="E769" s="20"/>
    </row>
    <row r="770">
      <c r="B770" s="20"/>
      <c r="C770" s="20"/>
      <c r="D770" s="20"/>
      <c r="E770" s="20"/>
    </row>
    <row r="771">
      <c r="B771" s="20"/>
      <c r="C771" s="20"/>
      <c r="D771" s="20"/>
      <c r="E771" s="20"/>
    </row>
    <row r="772">
      <c r="B772" s="20"/>
      <c r="C772" s="20"/>
      <c r="D772" s="20"/>
      <c r="E772" s="20"/>
    </row>
    <row r="773">
      <c r="B773" s="20"/>
      <c r="C773" s="20"/>
      <c r="D773" s="20"/>
      <c r="E773" s="20"/>
    </row>
    <row r="774">
      <c r="B774" s="20"/>
      <c r="C774" s="20"/>
      <c r="D774" s="20"/>
      <c r="E774" s="20"/>
    </row>
    <row r="775">
      <c r="B775" s="20"/>
      <c r="C775" s="20"/>
      <c r="D775" s="20"/>
      <c r="E775" s="20"/>
    </row>
    <row r="776">
      <c r="B776" s="20"/>
      <c r="C776" s="20"/>
      <c r="D776" s="20"/>
      <c r="E776" s="20"/>
    </row>
    <row r="777">
      <c r="B777" s="20"/>
      <c r="C777" s="20"/>
      <c r="D777" s="20"/>
      <c r="E777" s="20"/>
    </row>
    <row r="778">
      <c r="B778" s="20"/>
      <c r="C778" s="20"/>
      <c r="D778" s="20"/>
      <c r="E778" s="20"/>
    </row>
    <row r="779">
      <c r="B779" s="20"/>
      <c r="C779" s="20"/>
      <c r="D779" s="20"/>
      <c r="E779" s="20"/>
    </row>
    <row r="780">
      <c r="B780" s="20"/>
      <c r="C780" s="20"/>
      <c r="D780" s="20"/>
      <c r="E780" s="20"/>
    </row>
    <row r="781">
      <c r="B781" s="20"/>
      <c r="C781" s="20"/>
      <c r="D781" s="20"/>
      <c r="E781" s="20"/>
    </row>
    <row r="782">
      <c r="B782" s="20"/>
      <c r="C782" s="20"/>
      <c r="D782" s="20"/>
      <c r="E782" s="20"/>
    </row>
    <row r="783">
      <c r="B783" s="20"/>
      <c r="C783" s="20"/>
      <c r="D783" s="20"/>
      <c r="E783" s="20"/>
    </row>
    <row r="784">
      <c r="B784" s="20"/>
      <c r="C784" s="20"/>
      <c r="D784" s="20"/>
      <c r="E784" s="20"/>
    </row>
    <row r="785">
      <c r="B785" s="20"/>
      <c r="C785" s="20"/>
      <c r="D785" s="20"/>
      <c r="E785" s="20"/>
    </row>
    <row r="786">
      <c r="B786" s="20"/>
      <c r="C786" s="20"/>
      <c r="D786" s="20"/>
      <c r="E786" s="20"/>
    </row>
    <row r="787">
      <c r="B787" s="20"/>
      <c r="C787" s="20"/>
      <c r="D787" s="20"/>
      <c r="E787" s="20"/>
    </row>
    <row r="788">
      <c r="B788" s="20"/>
      <c r="C788" s="20"/>
      <c r="D788" s="20"/>
      <c r="E788" s="20"/>
    </row>
    <row r="789">
      <c r="B789" s="20"/>
      <c r="C789" s="20"/>
      <c r="D789" s="20"/>
      <c r="E789" s="20"/>
    </row>
    <row r="790">
      <c r="B790" s="20"/>
      <c r="C790" s="20"/>
      <c r="D790" s="20"/>
      <c r="E790" s="20"/>
    </row>
    <row r="791">
      <c r="B791" s="20"/>
      <c r="C791" s="20"/>
      <c r="D791" s="20"/>
      <c r="E791" s="20"/>
    </row>
    <row r="792">
      <c r="B792" s="20"/>
      <c r="C792" s="20"/>
      <c r="D792" s="20"/>
      <c r="E792" s="20"/>
    </row>
    <row r="793">
      <c r="B793" s="20"/>
      <c r="C793" s="20"/>
      <c r="D793" s="20"/>
      <c r="E793" s="20"/>
    </row>
    <row r="794">
      <c r="B794" s="20"/>
      <c r="C794" s="20"/>
      <c r="D794" s="20"/>
      <c r="E794" s="20"/>
    </row>
    <row r="795">
      <c r="B795" s="20"/>
      <c r="C795" s="20"/>
      <c r="D795" s="20"/>
      <c r="E795" s="20"/>
    </row>
    <row r="796">
      <c r="B796" s="20"/>
      <c r="C796" s="20"/>
      <c r="D796" s="20"/>
      <c r="E796" s="20"/>
    </row>
    <row r="797">
      <c r="B797" s="20"/>
      <c r="C797" s="20"/>
      <c r="D797" s="20"/>
      <c r="E797" s="20"/>
    </row>
    <row r="798">
      <c r="B798" s="20"/>
      <c r="C798" s="20"/>
      <c r="D798" s="20"/>
      <c r="E798" s="20"/>
    </row>
    <row r="799">
      <c r="B799" s="20"/>
      <c r="C799" s="20"/>
      <c r="D799" s="20"/>
      <c r="E799" s="20"/>
    </row>
    <row r="800">
      <c r="B800" s="20"/>
      <c r="C800" s="20"/>
      <c r="D800" s="20"/>
      <c r="E800" s="20"/>
    </row>
    <row r="801">
      <c r="B801" s="20"/>
      <c r="C801" s="20"/>
      <c r="D801" s="20"/>
      <c r="E801" s="20"/>
    </row>
    <row r="802">
      <c r="B802" s="20"/>
      <c r="C802" s="20"/>
      <c r="D802" s="20"/>
      <c r="E802" s="20"/>
    </row>
    <row r="803">
      <c r="B803" s="20"/>
      <c r="C803" s="20"/>
      <c r="D803" s="20"/>
      <c r="E803" s="20"/>
    </row>
    <row r="804">
      <c r="B804" s="20"/>
      <c r="C804" s="20"/>
      <c r="D804" s="20"/>
      <c r="E804" s="20"/>
    </row>
    <row r="805">
      <c r="B805" s="20"/>
      <c r="C805" s="20"/>
      <c r="D805" s="20"/>
      <c r="E805" s="20"/>
    </row>
    <row r="806">
      <c r="B806" s="20"/>
      <c r="C806" s="20"/>
      <c r="D806" s="20"/>
      <c r="E806" s="20"/>
    </row>
    <row r="807">
      <c r="B807" s="20"/>
      <c r="C807" s="20"/>
      <c r="D807" s="20"/>
      <c r="E807" s="20"/>
    </row>
    <row r="808">
      <c r="B808" s="20"/>
      <c r="C808" s="20"/>
      <c r="D808" s="20"/>
      <c r="E808" s="20"/>
    </row>
    <row r="809">
      <c r="B809" s="20"/>
      <c r="C809" s="20"/>
      <c r="D809" s="20"/>
      <c r="E809" s="20"/>
    </row>
    <row r="810">
      <c r="B810" s="20"/>
      <c r="C810" s="20"/>
      <c r="D810" s="20"/>
      <c r="E810" s="20"/>
    </row>
    <row r="811">
      <c r="B811" s="20"/>
      <c r="C811" s="20"/>
      <c r="D811" s="20"/>
      <c r="E811" s="20"/>
    </row>
    <row r="812">
      <c r="B812" s="20"/>
      <c r="C812" s="20"/>
      <c r="D812" s="20"/>
      <c r="E812" s="20"/>
    </row>
    <row r="813">
      <c r="B813" s="20"/>
      <c r="C813" s="20"/>
      <c r="D813" s="20"/>
      <c r="E813" s="20"/>
    </row>
    <row r="814">
      <c r="B814" s="20"/>
      <c r="C814" s="20"/>
      <c r="D814" s="20"/>
      <c r="E814" s="20"/>
    </row>
    <row r="815">
      <c r="B815" s="20"/>
      <c r="C815" s="20"/>
      <c r="D815" s="20"/>
      <c r="E815" s="20"/>
    </row>
    <row r="816">
      <c r="B816" s="20"/>
      <c r="C816" s="20"/>
      <c r="D816" s="20"/>
      <c r="E816" s="20"/>
    </row>
    <row r="817">
      <c r="B817" s="20"/>
      <c r="C817" s="20"/>
      <c r="D817" s="20"/>
      <c r="E817" s="20"/>
    </row>
    <row r="818">
      <c r="B818" s="20"/>
      <c r="C818" s="20"/>
      <c r="D818" s="20"/>
      <c r="E818" s="20"/>
    </row>
    <row r="819">
      <c r="B819" s="20"/>
      <c r="C819" s="20"/>
      <c r="D819" s="20"/>
      <c r="E819" s="20"/>
    </row>
    <row r="820">
      <c r="B820" s="20"/>
      <c r="C820" s="20"/>
      <c r="D820" s="20"/>
      <c r="E820" s="20"/>
    </row>
    <row r="821">
      <c r="B821" s="20"/>
      <c r="C821" s="20"/>
      <c r="D821" s="20"/>
      <c r="E821" s="20"/>
    </row>
    <row r="822">
      <c r="B822" s="20"/>
      <c r="C822" s="20"/>
      <c r="D822" s="20"/>
      <c r="E822" s="20"/>
    </row>
    <row r="823">
      <c r="B823" s="20"/>
      <c r="C823" s="20"/>
      <c r="D823" s="20"/>
      <c r="E823" s="20"/>
    </row>
    <row r="824">
      <c r="B824" s="20"/>
      <c r="C824" s="20"/>
      <c r="D824" s="20"/>
      <c r="E824" s="20"/>
    </row>
    <row r="825">
      <c r="B825" s="20"/>
      <c r="C825" s="20"/>
      <c r="D825" s="20"/>
      <c r="E825" s="20"/>
    </row>
    <row r="826">
      <c r="B826" s="20"/>
      <c r="C826" s="20"/>
      <c r="D826" s="20"/>
      <c r="E826" s="20"/>
    </row>
    <row r="827">
      <c r="B827" s="20"/>
      <c r="C827" s="20"/>
      <c r="D827" s="20"/>
      <c r="E827" s="20"/>
    </row>
    <row r="828">
      <c r="B828" s="20"/>
      <c r="C828" s="20"/>
      <c r="D828" s="20"/>
      <c r="E828" s="20"/>
    </row>
    <row r="829">
      <c r="B829" s="20"/>
      <c r="C829" s="20"/>
      <c r="D829" s="20"/>
      <c r="E829" s="20"/>
    </row>
    <row r="830">
      <c r="B830" s="20"/>
      <c r="C830" s="20"/>
      <c r="D830" s="20"/>
      <c r="E830" s="20"/>
    </row>
    <row r="831">
      <c r="B831" s="20"/>
      <c r="C831" s="20"/>
      <c r="D831" s="20"/>
      <c r="E831" s="20"/>
    </row>
    <row r="832">
      <c r="B832" s="20"/>
      <c r="C832" s="20"/>
      <c r="D832" s="20"/>
      <c r="E832" s="20"/>
    </row>
    <row r="833">
      <c r="B833" s="20"/>
      <c r="C833" s="20"/>
      <c r="D833" s="20"/>
      <c r="E833" s="20"/>
    </row>
    <row r="834">
      <c r="B834" s="20"/>
      <c r="C834" s="20"/>
      <c r="D834" s="20"/>
      <c r="E834" s="20"/>
    </row>
    <row r="835">
      <c r="B835" s="20"/>
      <c r="C835" s="20"/>
      <c r="D835" s="20"/>
      <c r="E835" s="20"/>
    </row>
    <row r="836">
      <c r="B836" s="20"/>
      <c r="C836" s="20"/>
      <c r="D836" s="20"/>
      <c r="E836" s="20"/>
    </row>
    <row r="837">
      <c r="B837" s="20"/>
      <c r="C837" s="20"/>
      <c r="D837" s="20"/>
      <c r="E837" s="20"/>
    </row>
    <row r="838">
      <c r="B838" s="20"/>
      <c r="C838" s="20"/>
      <c r="D838" s="20"/>
      <c r="E838" s="20"/>
    </row>
    <row r="839">
      <c r="B839" s="20"/>
      <c r="C839" s="20"/>
      <c r="D839" s="20"/>
      <c r="E839" s="20"/>
    </row>
    <row r="840">
      <c r="B840" s="20"/>
      <c r="C840" s="20"/>
      <c r="D840" s="20"/>
      <c r="E840" s="20"/>
    </row>
    <row r="841">
      <c r="B841" s="20"/>
      <c r="C841" s="20"/>
      <c r="D841" s="20"/>
      <c r="E841" s="20"/>
    </row>
    <row r="842">
      <c r="B842" s="20"/>
      <c r="C842" s="20"/>
      <c r="D842" s="20"/>
      <c r="E842" s="20"/>
    </row>
    <row r="843">
      <c r="B843" s="20"/>
      <c r="C843" s="20"/>
      <c r="D843" s="20"/>
      <c r="E843" s="20"/>
    </row>
    <row r="844">
      <c r="B844" s="20"/>
      <c r="C844" s="20"/>
      <c r="D844" s="20"/>
      <c r="E844" s="20"/>
    </row>
    <row r="845">
      <c r="B845" s="20"/>
      <c r="C845" s="20"/>
      <c r="D845" s="20"/>
      <c r="E845" s="20"/>
    </row>
    <row r="846">
      <c r="B846" s="20"/>
      <c r="C846" s="20"/>
      <c r="D846" s="20"/>
      <c r="E846" s="20"/>
    </row>
    <row r="847">
      <c r="B847" s="20"/>
      <c r="C847" s="20"/>
      <c r="D847" s="20"/>
      <c r="E847" s="20"/>
    </row>
    <row r="848">
      <c r="B848" s="20"/>
      <c r="C848" s="20"/>
      <c r="D848" s="20"/>
      <c r="E848" s="20"/>
    </row>
    <row r="849">
      <c r="B849" s="20"/>
      <c r="C849" s="20"/>
      <c r="D849" s="20"/>
      <c r="E849" s="20"/>
    </row>
    <row r="850">
      <c r="B850" s="20"/>
      <c r="C850" s="20"/>
      <c r="D850" s="20"/>
      <c r="E850" s="20"/>
    </row>
    <row r="851">
      <c r="B851" s="20"/>
      <c r="C851" s="20"/>
      <c r="D851" s="20"/>
      <c r="E851" s="20"/>
    </row>
    <row r="852">
      <c r="B852" s="20"/>
      <c r="C852" s="20"/>
      <c r="D852" s="20"/>
      <c r="E852" s="20"/>
    </row>
    <row r="853">
      <c r="B853" s="20"/>
      <c r="C853" s="20"/>
      <c r="D853" s="20"/>
      <c r="E853" s="20"/>
    </row>
    <row r="854">
      <c r="B854" s="20"/>
      <c r="C854" s="20"/>
      <c r="D854" s="20"/>
      <c r="E854" s="20"/>
    </row>
    <row r="855">
      <c r="B855" s="20"/>
      <c r="C855" s="20"/>
      <c r="D855" s="20"/>
      <c r="E855" s="20"/>
    </row>
    <row r="856">
      <c r="B856" s="20"/>
      <c r="C856" s="20"/>
      <c r="D856" s="20"/>
      <c r="E856" s="20"/>
    </row>
    <row r="857">
      <c r="B857" s="20"/>
      <c r="C857" s="20"/>
      <c r="D857" s="20"/>
      <c r="E857" s="20"/>
    </row>
    <row r="858">
      <c r="B858" s="20"/>
      <c r="C858" s="20"/>
      <c r="D858" s="20"/>
      <c r="E858" s="20"/>
    </row>
    <row r="859">
      <c r="B859" s="20"/>
      <c r="C859" s="20"/>
      <c r="D859" s="20"/>
      <c r="E859" s="20"/>
    </row>
    <row r="860">
      <c r="B860" s="20"/>
      <c r="C860" s="20"/>
      <c r="D860" s="20"/>
      <c r="E860" s="20"/>
    </row>
    <row r="861">
      <c r="B861" s="20"/>
      <c r="C861" s="20"/>
      <c r="D861" s="20"/>
      <c r="E861" s="20"/>
    </row>
    <row r="862">
      <c r="B862" s="20"/>
      <c r="C862" s="20"/>
      <c r="D862" s="20"/>
      <c r="E862" s="20"/>
    </row>
    <row r="863">
      <c r="B863" s="20"/>
      <c r="C863" s="20"/>
      <c r="D863" s="20"/>
      <c r="E863" s="20"/>
    </row>
    <row r="864">
      <c r="B864" s="20"/>
      <c r="C864" s="20"/>
      <c r="D864" s="20"/>
      <c r="E864" s="20"/>
    </row>
    <row r="865">
      <c r="B865" s="20"/>
      <c r="C865" s="20"/>
      <c r="D865" s="20"/>
      <c r="E865" s="20"/>
    </row>
    <row r="866">
      <c r="B866" s="20"/>
      <c r="C866" s="20"/>
      <c r="D866" s="20"/>
      <c r="E866" s="20"/>
    </row>
    <row r="867">
      <c r="B867" s="20"/>
      <c r="C867" s="20"/>
      <c r="D867" s="20"/>
      <c r="E867" s="20"/>
    </row>
    <row r="868">
      <c r="B868" s="20"/>
      <c r="C868" s="20"/>
      <c r="D868" s="20"/>
      <c r="E868" s="20"/>
    </row>
    <row r="869">
      <c r="B869" s="20"/>
      <c r="C869" s="20"/>
      <c r="D869" s="20"/>
      <c r="E869" s="20"/>
    </row>
    <row r="870">
      <c r="B870" s="20"/>
      <c r="C870" s="20"/>
      <c r="D870" s="20"/>
      <c r="E870" s="20"/>
    </row>
    <row r="871">
      <c r="B871" s="20"/>
      <c r="C871" s="20"/>
      <c r="D871" s="20"/>
      <c r="E871" s="20"/>
    </row>
    <row r="872">
      <c r="B872" s="20"/>
      <c r="C872" s="20"/>
      <c r="D872" s="20"/>
      <c r="E872" s="20"/>
    </row>
    <row r="873">
      <c r="B873" s="20"/>
      <c r="C873" s="20"/>
      <c r="D873" s="20"/>
      <c r="E873" s="20"/>
    </row>
    <row r="874">
      <c r="B874" s="20"/>
      <c r="C874" s="20"/>
      <c r="D874" s="20"/>
      <c r="E874" s="20"/>
    </row>
    <row r="875">
      <c r="B875" s="20"/>
      <c r="C875" s="20"/>
      <c r="D875" s="20"/>
      <c r="E875" s="20"/>
    </row>
    <row r="876">
      <c r="B876" s="20"/>
      <c r="C876" s="20"/>
      <c r="D876" s="20"/>
      <c r="E876" s="20"/>
    </row>
    <row r="877">
      <c r="B877" s="20"/>
      <c r="C877" s="20"/>
      <c r="D877" s="20"/>
      <c r="E877" s="20"/>
    </row>
    <row r="878">
      <c r="B878" s="20"/>
      <c r="C878" s="20"/>
      <c r="D878" s="20"/>
      <c r="E878" s="20"/>
    </row>
    <row r="879">
      <c r="B879" s="20"/>
      <c r="C879" s="20"/>
      <c r="D879" s="20"/>
      <c r="E879" s="20"/>
    </row>
    <row r="880">
      <c r="B880" s="20"/>
      <c r="C880" s="20"/>
      <c r="D880" s="20"/>
      <c r="E880" s="20"/>
    </row>
    <row r="881">
      <c r="B881" s="20"/>
      <c r="C881" s="20"/>
      <c r="D881" s="20"/>
      <c r="E881" s="20"/>
    </row>
    <row r="882">
      <c r="B882" s="20"/>
      <c r="C882" s="20"/>
      <c r="D882" s="20"/>
      <c r="E882" s="20"/>
    </row>
    <row r="883">
      <c r="B883" s="20"/>
      <c r="C883" s="20"/>
      <c r="D883" s="20"/>
      <c r="E883" s="20"/>
    </row>
    <row r="884">
      <c r="B884" s="20"/>
      <c r="C884" s="20"/>
      <c r="D884" s="20"/>
      <c r="E884" s="20"/>
    </row>
    <row r="885">
      <c r="B885" s="20"/>
      <c r="C885" s="20"/>
      <c r="D885" s="20"/>
      <c r="E885" s="20"/>
    </row>
    <row r="886">
      <c r="B886" s="20"/>
      <c r="C886" s="20"/>
      <c r="D886" s="20"/>
      <c r="E886" s="20"/>
    </row>
    <row r="887">
      <c r="B887" s="20"/>
      <c r="C887" s="20"/>
      <c r="D887" s="20"/>
      <c r="E887" s="20"/>
    </row>
    <row r="888">
      <c r="B888" s="20"/>
      <c r="C888" s="20"/>
      <c r="D888" s="20"/>
      <c r="E888" s="20"/>
    </row>
    <row r="889">
      <c r="B889" s="20"/>
      <c r="C889" s="20"/>
      <c r="D889" s="20"/>
      <c r="E889" s="20"/>
    </row>
    <row r="890">
      <c r="B890" s="20"/>
      <c r="C890" s="20"/>
      <c r="D890" s="20"/>
      <c r="E890" s="20"/>
    </row>
    <row r="891">
      <c r="B891" s="20"/>
      <c r="C891" s="20"/>
      <c r="D891" s="20"/>
      <c r="E891" s="20"/>
    </row>
    <row r="892">
      <c r="B892" s="20"/>
      <c r="C892" s="20"/>
      <c r="D892" s="20"/>
      <c r="E892" s="20"/>
    </row>
    <row r="893">
      <c r="B893" s="20"/>
      <c r="C893" s="20"/>
      <c r="D893" s="20"/>
      <c r="E893" s="20"/>
    </row>
    <row r="894">
      <c r="B894" s="20"/>
      <c r="C894" s="20"/>
      <c r="D894" s="20"/>
      <c r="E894" s="20"/>
    </row>
    <row r="895">
      <c r="B895" s="20"/>
      <c r="C895" s="20"/>
      <c r="D895" s="20"/>
      <c r="E895" s="20"/>
    </row>
    <row r="896">
      <c r="B896" s="20"/>
      <c r="C896" s="20"/>
      <c r="D896" s="20"/>
      <c r="E896" s="20"/>
    </row>
    <row r="897">
      <c r="B897" s="20"/>
      <c r="C897" s="20"/>
      <c r="D897" s="20"/>
      <c r="E897" s="20"/>
    </row>
    <row r="898">
      <c r="B898" s="20"/>
      <c r="C898" s="20"/>
      <c r="D898" s="20"/>
      <c r="E898" s="20"/>
    </row>
    <row r="899">
      <c r="B899" s="20"/>
      <c r="C899" s="20"/>
      <c r="D899" s="20"/>
      <c r="E899" s="20"/>
    </row>
    <row r="900">
      <c r="B900" s="20"/>
      <c r="C900" s="20"/>
      <c r="D900" s="20"/>
      <c r="E900" s="20"/>
    </row>
    <row r="901">
      <c r="B901" s="20"/>
      <c r="C901" s="20"/>
      <c r="D901" s="20"/>
      <c r="E901" s="20"/>
    </row>
    <row r="902">
      <c r="B902" s="20"/>
      <c r="C902" s="20"/>
      <c r="D902" s="20"/>
      <c r="E902" s="20"/>
    </row>
    <row r="903">
      <c r="B903" s="20"/>
      <c r="C903" s="20"/>
      <c r="D903" s="20"/>
      <c r="E903" s="20"/>
    </row>
    <row r="904">
      <c r="B904" s="20"/>
      <c r="C904" s="20"/>
      <c r="D904" s="20"/>
      <c r="E904" s="20"/>
    </row>
    <row r="905">
      <c r="B905" s="20"/>
      <c r="C905" s="20"/>
      <c r="D905" s="20"/>
      <c r="E905" s="20"/>
    </row>
    <row r="906">
      <c r="B906" s="20"/>
      <c r="C906" s="20"/>
      <c r="D906" s="20"/>
      <c r="E906" s="20"/>
    </row>
    <row r="907">
      <c r="B907" s="20"/>
      <c r="C907" s="20"/>
      <c r="D907" s="20"/>
      <c r="E907" s="20"/>
    </row>
    <row r="908">
      <c r="B908" s="20"/>
      <c r="C908" s="20"/>
      <c r="D908" s="20"/>
      <c r="E908" s="20"/>
    </row>
    <row r="909">
      <c r="B909" s="20"/>
      <c r="C909" s="20"/>
      <c r="D909" s="20"/>
      <c r="E909" s="20"/>
    </row>
    <row r="910">
      <c r="B910" s="20"/>
      <c r="C910" s="20"/>
      <c r="D910" s="20"/>
      <c r="E910" s="20"/>
    </row>
    <row r="911">
      <c r="B911" s="20"/>
      <c r="C911" s="20"/>
      <c r="D911" s="20"/>
      <c r="E911" s="20"/>
    </row>
    <row r="912">
      <c r="B912" s="20"/>
      <c r="C912" s="20"/>
      <c r="D912" s="20"/>
      <c r="E912" s="20"/>
    </row>
    <row r="913">
      <c r="B913" s="20"/>
      <c r="C913" s="20"/>
      <c r="D913" s="20"/>
      <c r="E913" s="20"/>
    </row>
    <row r="914">
      <c r="B914" s="20"/>
      <c r="C914" s="20"/>
      <c r="D914" s="20"/>
      <c r="E914" s="20"/>
    </row>
    <row r="915">
      <c r="B915" s="20"/>
      <c r="C915" s="20"/>
      <c r="D915" s="20"/>
      <c r="E915" s="20"/>
    </row>
    <row r="916">
      <c r="B916" s="20"/>
      <c r="C916" s="20"/>
      <c r="D916" s="20"/>
      <c r="E916" s="20"/>
    </row>
    <row r="917">
      <c r="B917" s="20"/>
      <c r="C917" s="20"/>
      <c r="D917" s="20"/>
      <c r="E917" s="20"/>
    </row>
    <row r="918">
      <c r="B918" s="20"/>
      <c r="C918" s="20"/>
      <c r="D918" s="20"/>
      <c r="E918" s="20"/>
    </row>
    <row r="919">
      <c r="B919" s="20"/>
      <c r="C919" s="20"/>
      <c r="D919" s="20"/>
      <c r="E919" s="20"/>
    </row>
    <row r="920">
      <c r="B920" s="20"/>
      <c r="C920" s="20"/>
      <c r="D920" s="20"/>
      <c r="E920" s="20"/>
    </row>
    <row r="921">
      <c r="B921" s="20"/>
      <c r="C921" s="20"/>
      <c r="D921" s="20"/>
      <c r="E921" s="20"/>
    </row>
    <row r="922">
      <c r="B922" s="20"/>
      <c r="C922" s="20"/>
      <c r="D922" s="20"/>
      <c r="E922" s="20"/>
    </row>
    <row r="923">
      <c r="B923" s="20"/>
      <c r="C923" s="20"/>
      <c r="D923" s="20"/>
      <c r="E923" s="20"/>
    </row>
    <row r="924">
      <c r="B924" s="20"/>
      <c r="C924" s="20"/>
      <c r="D924" s="20"/>
      <c r="E924" s="20"/>
    </row>
    <row r="925">
      <c r="B925" s="20"/>
      <c r="C925" s="20"/>
      <c r="D925" s="20"/>
      <c r="E925" s="20"/>
    </row>
    <row r="926">
      <c r="B926" s="20"/>
      <c r="C926" s="20"/>
      <c r="D926" s="20"/>
      <c r="E926" s="20"/>
    </row>
    <row r="927">
      <c r="B927" s="20"/>
      <c r="C927" s="20"/>
      <c r="D927" s="20"/>
      <c r="E927" s="20"/>
    </row>
    <row r="928">
      <c r="B928" s="20"/>
      <c r="C928" s="20"/>
      <c r="D928" s="20"/>
      <c r="E928" s="20"/>
    </row>
    <row r="929">
      <c r="B929" s="20"/>
      <c r="C929" s="20"/>
      <c r="D929" s="20"/>
      <c r="E929" s="20"/>
    </row>
    <row r="930">
      <c r="B930" s="20"/>
      <c r="C930" s="20"/>
      <c r="D930" s="20"/>
      <c r="E930" s="20"/>
    </row>
    <row r="931">
      <c r="B931" s="20"/>
      <c r="C931" s="20"/>
      <c r="D931" s="20"/>
      <c r="E931" s="20"/>
    </row>
    <row r="932">
      <c r="B932" s="20"/>
      <c r="C932" s="20"/>
      <c r="D932" s="20"/>
      <c r="E932" s="20"/>
    </row>
    <row r="933">
      <c r="B933" s="20"/>
      <c r="C933" s="20"/>
      <c r="D933" s="20"/>
      <c r="E933" s="20"/>
    </row>
    <row r="934">
      <c r="B934" s="20"/>
      <c r="C934" s="20"/>
      <c r="D934" s="20"/>
      <c r="E934" s="20"/>
    </row>
    <row r="935">
      <c r="B935" s="20"/>
      <c r="C935" s="20"/>
      <c r="D935" s="20"/>
      <c r="E935" s="20"/>
    </row>
    <row r="936">
      <c r="B936" s="20"/>
      <c r="C936" s="20"/>
      <c r="D936" s="20"/>
      <c r="E936" s="20"/>
    </row>
    <row r="937">
      <c r="B937" s="20"/>
      <c r="C937" s="20"/>
      <c r="D937" s="20"/>
      <c r="E937" s="20"/>
    </row>
    <row r="938">
      <c r="B938" s="20"/>
      <c r="C938" s="20"/>
      <c r="D938" s="20"/>
      <c r="E938" s="20"/>
    </row>
    <row r="939">
      <c r="B939" s="20"/>
      <c r="C939" s="20"/>
      <c r="D939" s="20"/>
      <c r="E939" s="20"/>
    </row>
    <row r="940">
      <c r="B940" s="20"/>
      <c r="C940" s="20"/>
      <c r="D940" s="20"/>
      <c r="E940" s="20"/>
    </row>
    <row r="941">
      <c r="B941" s="20"/>
      <c r="C941" s="20"/>
      <c r="D941" s="20"/>
      <c r="E941" s="20"/>
    </row>
    <row r="942">
      <c r="B942" s="20"/>
      <c r="C942" s="20"/>
      <c r="D942" s="20"/>
      <c r="E942" s="20"/>
    </row>
    <row r="943">
      <c r="B943" s="20"/>
      <c r="C943" s="20"/>
      <c r="D943" s="20"/>
      <c r="E943" s="20"/>
    </row>
    <row r="944">
      <c r="B944" s="20"/>
      <c r="C944" s="20"/>
      <c r="D944" s="20"/>
      <c r="E944" s="20"/>
    </row>
    <row r="945">
      <c r="B945" s="20"/>
      <c r="C945" s="20"/>
      <c r="D945" s="20"/>
      <c r="E945" s="20"/>
    </row>
    <row r="946">
      <c r="B946" s="20"/>
      <c r="C946" s="20"/>
      <c r="D946" s="20"/>
      <c r="E946" s="20"/>
    </row>
    <row r="947">
      <c r="B947" s="20"/>
      <c r="C947" s="20"/>
      <c r="D947" s="20"/>
      <c r="E947" s="20"/>
    </row>
    <row r="948">
      <c r="B948" s="20"/>
      <c r="C948" s="20"/>
      <c r="D948" s="20"/>
      <c r="E948" s="20"/>
    </row>
    <row r="949">
      <c r="B949" s="20"/>
      <c r="C949" s="20"/>
      <c r="D949" s="20"/>
      <c r="E949" s="20"/>
    </row>
    <row r="950">
      <c r="B950" s="20"/>
      <c r="C950" s="20"/>
      <c r="D950" s="20"/>
      <c r="E950" s="20"/>
    </row>
    <row r="951">
      <c r="B951" s="20"/>
      <c r="C951" s="20"/>
      <c r="D951" s="20"/>
      <c r="E951" s="20"/>
    </row>
    <row r="952">
      <c r="B952" s="20"/>
      <c r="C952" s="20"/>
      <c r="D952" s="20"/>
      <c r="E952" s="20"/>
    </row>
    <row r="953">
      <c r="B953" s="20"/>
      <c r="C953" s="20"/>
      <c r="D953" s="20"/>
      <c r="E953" s="20"/>
    </row>
    <row r="954">
      <c r="B954" s="20"/>
      <c r="C954" s="20"/>
      <c r="D954" s="20"/>
      <c r="E954" s="20"/>
    </row>
    <row r="955">
      <c r="B955" s="20"/>
      <c r="C955" s="20"/>
      <c r="D955" s="20"/>
      <c r="E955" s="20"/>
    </row>
    <row r="956">
      <c r="B956" s="20"/>
      <c r="C956" s="20"/>
      <c r="D956" s="20"/>
      <c r="E956" s="20"/>
    </row>
    <row r="957">
      <c r="B957" s="20"/>
      <c r="C957" s="20"/>
      <c r="D957" s="20"/>
      <c r="E957" s="20"/>
    </row>
    <row r="958">
      <c r="B958" s="20"/>
      <c r="C958" s="20"/>
      <c r="D958" s="20"/>
      <c r="E958" s="20"/>
    </row>
    <row r="959">
      <c r="B959" s="20"/>
      <c r="C959" s="20"/>
      <c r="D959" s="20"/>
      <c r="E959" s="20"/>
    </row>
    <row r="960">
      <c r="B960" s="20"/>
      <c r="C960" s="20"/>
      <c r="D960" s="20"/>
      <c r="E960" s="20"/>
    </row>
    <row r="961">
      <c r="B961" s="20"/>
      <c r="C961" s="20"/>
      <c r="D961" s="20"/>
      <c r="E961" s="20"/>
    </row>
    <row r="962">
      <c r="B962" s="20"/>
      <c r="C962" s="20"/>
      <c r="D962" s="20"/>
      <c r="E962" s="20"/>
    </row>
    <row r="963">
      <c r="B963" s="20"/>
      <c r="C963" s="20"/>
      <c r="D963" s="20"/>
      <c r="E963" s="20"/>
    </row>
    <row r="964">
      <c r="B964" s="20"/>
      <c r="C964" s="20"/>
      <c r="D964" s="20"/>
      <c r="E964" s="20"/>
    </row>
    <row r="965">
      <c r="B965" s="20"/>
      <c r="C965" s="20"/>
      <c r="D965" s="20"/>
      <c r="E965" s="20"/>
    </row>
    <row r="966">
      <c r="B966" s="20"/>
      <c r="C966" s="20"/>
      <c r="D966" s="20"/>
      <c r="E966" s="20"/>
    </row>
    <row r="967">
      <c r="B967" s="20"/>
      <c r="C967" s="20"/>
      <c r="D967" s="20"/>
      <c r="E967" s="20"/>
    </row>
    <row r="968">
      <c r="B968" s="20"/>
      <c r="C968" s="20"/>
      <c r="D968" s="20"/>
      <c r="E968" s="20"/>
    </row>
    <row r="969">
      <c r="B969" s="20"/>
      <c r="C969" s="20"/>
      <c r="D969" s="20"/>
      <c r="E969" s="20"/>
    </row>
    <row r="970">
      <c r="B970" s="20"/>
      <c r="C970" s="20"/>
      <c r="D970" s="20"/>
      <c r="E970" s="20"/>
    </row>
    <row r="971">
      <c r="B971" s="20"/>
      <c r="C971" s="20"/>
      <c r="D971" s="20"/>
      <c r="E971" s="20"/>
    </row>
    <row r="972">
      <c r="B972" s="20"/>
      <c r="C972" s="20"/>
      <c r="D972" s="20"/>
      <c r="E972" s="20"/>
    </row>
    <row r="973">
      <c r="B973" s="20"/>
      <c r="C973" s="20"/>
      <c r="D973" s="20"/>
      <c r="E973" s="20"/>
    </row>
    <row r="974">
      <c r="B974" s="20"/>
      <c r="C974" s="20"/>
      <c r="D974" s="20"/>
      <c r="E974" s="20"/>
    </row>
    <row r="975">
      <c r="B975" s="20"/>
      <c r="C975" s="20"/>
      <c r="D975" s="20"/>
      <c r="E975" s="20"/>
    </row>
    <row r="976">
      <c r="B976" s="20"/>
      <c r="C976" s="20"/>
      <c r="D976" s="20"/>
      <c r="E976" s="20"/>
    </row>
    <row r="977">
      <c r="B977" s="20"/>
      <c r="C977" s="20"/>
      <c r="D977" s="20"/>
      <c r="E977" s="20"/>
    </row>
    <row r="978">
      <c r="B978" s="20"/>
      <c r="C978" s="20"/>
      <c r="D978" s="20"/>
      <c r="E978" s="20"/>
    </row>
    <row r="979">
      <c r="B979" s="20"/>
      <c r="C979" s="20"/>
      <c r="D979" s="20"/>
      <c r="E979" s="20"/>
    </row>
    <row r="980">
      <c r="B980" s="20"/>
      <c r="C980" s="20"/>
      <c r="D980" s="20"/>
      <c r="E980" s="20"/>
    </row>
    <row r="981">
      <c r="B981" s="20"/>
      <c r="C981" s="20"/>
      <c r="D981" s="20"/>
      <c r="E981" s="20"/>
    </row>
    <row r="982">
      <c r="B982" s="20"/>
      <c r="C982" s="20"/>
      <c r="D982" s="20"/>
      <c r="E982" s="20"/>
    </row>
    <row r="983">
      <c r="B983" s="20"/>
      <c r="C983" s="20"/>
      <c r="D983" s="20"/>
      <c r="E983" s="20"/>
    </row>
    <row r="984">
      <c r="B984" s="20"/>
      <c r="C984" s="20"/>
      <c r="D984" s="20"/>
      <c r="E984" s="20"/>
    </row>
    <row r="985">
      <c r="B985" s="20"/>
      <c r="C985" s="20"/>
      <c r="D985" s="20"/>
      <c r="E985" s="20"/>
    </row>
    <row r="986">
      <c r="B986" s="20"/>
      <c r="C986" s="20"/>
      <c r="D986" s="20"/>
      <c r="E986" s="20"/>
    </row>
    <row r="987">
      <c r="B987" s="20"/>
      <c r="C987" s="20"/>
      <c r="D987" s="20"/>
      <c r="E987" s="20"/>
    </row>
    <row r="988">
      <c r="B988" s="20"/>
      <c r="C988" s="20"/>
      <c r="D988" s="20"/>
      <c r="E988" s="20"/>
    </row>
    <row r="989">
      <c r="B989" s="20"/>
      <c r="C989" s="20"/>
      <c r="D989" s="20"/>
      <c r="E989" s="20"/>
    </row>
    <row r="990">
      <c r="B990" s="20"/>
      <c r="C990" s="20"/>
      <c r="D990" s="20"/>
      <c r="E990" s="20"/>
    </row>
    <row r="991">
      <c r="B991" s="20"/>
      <c r="C991" s="20"/>
      <c r="D991" s="20"/>
      <c r="E991" s="20"/>
    </row>
    <row r="992">
      <c r="B992" s="20"/>
      <c r="C992" s="20"/>
      <c r="D992" s="20"/>
      <c r="E992" s="20"/>
    </row>
    <row r="993">
      <c r="B993" s="20"/>
      <c r="C993" s="20"/>
      <c r="D993" s="20"/>
      <c r="E993" s="20"/>
    </row>
    <row r="994">
      <c r="B994" s="20"/>
      <c r="C994" s="20"/>
      <c r="D994" s="20"/>
      <c r="E994" s="20"/>
    </row>
    <row r="995">
      <c r="B995" s="20"/>
      <c r="C995" s="20"/>
      <c r="D995" s="20"/>
      <c r="E995" s="20"/>
    </row>
    <row r="996">
      <c r="B996" s="20"/>
      <c r="C996" s="20"/>
      <c r="D996" s="20"/>
      <c r="E996" s="20"/>
    </row>
    <row r="997">
      <c r="B997" s="20"/>
      <c r="C997" s="20"/>
      <c r="D997" s="20"/>
      <c r="E997" s="20"/>
    </row>
    <row r="998">
      <c r="B998" s="20"/>
      <c r="C998" s="20"/>
      <c r="D998" s="20"/>
      <c r="E998" s="20"/>
    </row>
    <row r="999">
      <c r="B999" s="20"/>
      <c r="C999" s="20"/>
      <c r="D999" s="20"/>
      <c r="E999" s="20"/>
    </row>
    <row r="1000">
      <c r="B1000" s="20"/>
      <c r="C1000" s="20"/>
      <c r="D1000" s="20"/>
      <c r="E1000" s="2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6.5"/>
    <col customWidth="1" min="2" max="2" width="37.0"/>
    <col customWidth="1" min="3" max="5" width="28.88"/>
  </cols>
  <sheetData>
    <row r="1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 t="s">
        <v>496</v>
      </c>
      <c r="B2" s="16" t="s">
        <v>497</v>
      </c>
      <c r="C2" s="16" t="s">
        <v>498</v>
      </c>
      <c r="D2" s="16" t="s">
        <v>499</v>
      </c>
      <c r="E2" s="16" t="s">
        <v>500</v>
      </c>
    </row>
    <row r="3">
      <c r="A3" s="15" t="s">
        <v>501</v>
      </c>
      <c r="B3" s="16" t="s">
        <v>502</v>
      </c>
      <c r="C3" s="16" t="s">
        <v>503</v>
      </c>
      <c r="D3" s="16" t="s">
        <v>504</v>
      </c>
      <c r="E3" s="16" t="s">
        <v>505</v>
      </c>
    </row>
    <row r="4">
      <c r="A4" s="15" t="s">
        <v>506</v>
      </c>
      <c r="B4" s="16" t="s">
        <v>507</v>
      </c>
      <c r="C4" s="16" t="s">
        <v>508</v>
      </c>
      <c r="D4" s="16" t="s">
        <v>509</v>
      </c>
      <c r="E4" s="16" t="s">
        <v>510</v>
      </c>
    </row>
    <row r="5">
      <c r="A5" s="15" t="s">
        <v>511</v>
      </c>
      <c r="B5" s="16" t="s">
        <v>512</v>
      </c>
      <c r="C5" s="16" t="s">
        <v>513</v>
      </c>
      <c r="D5" s="16" t="s">
        <v>514</v>
      </c>
      <c r="E5" s="16" t="s">
        <v>515</v>
      </c>
    </row>
    <row r="6">
      <c r="A6" s="15" t="s">
        <v>516</v>
      </c>
      <c r="B6" s="16" t="s">
        <v>517</v>
      </c>
      <c r="C6" s="16" t="s">
        <v>518</v>
      </c>
      <c r="D6" s="16" t="s">
        <v>519</v>
      </c>
      <c r="E6" s="16" t="s">
        <v>520</v>
      </c>
    </row>
    <row r="7">
      <c r="A7" s="15" t="s">
        <v>521</v>
      </c>
      <c r="B7" s="16" t="s">
        <v>522</v>
      </c>
      <c r="C7" s="16" t="s">
        <v>523</v>
      </c>
      <c r="D7" s="16" t="s">
        <v>524</v>
      </c>
      <c r="E7" s="16" t="s">
        <v>525</v>
      </c>
    </row>
    <row r="8">
      <c r="A8" s="15" t="s">
        <v>526</v>
      </c>
      <c r="B8" s="16" t="s">
        <v>527</v>
      </c>
      <c r="C8" s="16" t="s">
        <v>528</v>
      </c>
      <c r="D8" s="16" t="s">
        <v>529</v>
      </c>
      <c r="E8" s="16" t="s">
        <v>530</v>
      </c>
    </row>
    <row r="9">
      <c r="A9" s="15" t="s">
        <v>531</v>
      </c>
      <c r="B9" s="16" t="s">
        <v>532</v>
      </c>
      <c r="C9" s="16" t="s">
        <v>533</v>
      </c>
      <c r="D9" s="16" t="s">
        <v>534</v>
      </c>
      <c r="E9" s="16" t="s">
        <v>535</v>
      </c>
    </row>
    <row r="10">
      <c r="A10" s="15" t="s">
        <v>536</v>
      </c>
      <c r="B10" s="21" t="s">
        <v>537</v>
      </c>
      <c r="C10" s="21" t="s">
        <v>538</v>
      </c>
      <c r="D10" s="21" t="s">
        <v>539</v>
      </c>
      <c r="E10" s="21" t="s">
        <v>540</v>
      </c>
    </row>
    <row r="11">
      <c r="A11" s="15" t="s">
        <v>541</v>
      </c>
      <c r="B11" s="16" t="s">
        <v>542</v>
      </c>
      <c r="C11" s="16" t="s">
        <v>543</v>
      </c>
      <c r="D11" s="16" t="s">
        <v>544</v>
      </c>
      <c r="E11" s="16" t="s">
        <v>545</v>
      </c>
    </row>
    <row r="12">
      <c r="A12" s="15" t="s">
        <v>546</v>
      </c>
      <c r="B12" s="16" t="s">
        <v>547</v>
      </c>
      <c r="C12" s="16" t="s">
        <v>548</v>
      </c>
      <c r="D12" s="16" t="s">
        <v>549</v>
      </c>
      <c r="E12" s="16" t="s">
        <v>550</v>
      </c>
    </row>
    <row r="13">
      <c r="A13" s="15" t="s">
        <v>551</v>
      </c>
      <c r="B13" s="16" t="s">
        <v>552</v>
      </c>
      <c r="C13" s="16" t="s">
        <v>553</v>
      </c>
      <c r="D13" s="16" t="s">
        <v>554</v>
      </c>
      <c r="E13" s="16" t="s">
        <v>555</v>
      </c>
    </row>
    <row r="14">
      <c r="A14" s="15" t="s">
        <v>556</v>
      </c>
      <c r="B14" s="16" t="s">
        <v>557</v>
      </c>
      <c r="C14" s="16" t="s">
        <v>558</v>
      </c>
      <c r="D14" s="16" t="s">
        <v>559</v>
      </c>
      <c r="E14" s="16" t="s">
        <v>560</v>
      </c>
    </row>
    <row r="15">
      <c r="A15" s="15" t="s">
        <v>561</v>
      </c>
      <c r="B15" s="16" t="s">
        <v>562</v>
      </c>
      <c r="C15" s="16" t="s">
        <v>500</v>
      </c>
      <c r="D15" s="16" t="s">
        <v>544</v>
      </c>
      <c r="E15" s="16" t="s">
        <v>563</v>
      </c>
    </row>
    <row r="16">
      <c r="A16" s="15" t="s">
        <v>564</v>
      </c>
      <c r="B16" s="16" t="s">
        <v>565</v>
      </c>
      <c r="C16" s="16" t="s">
        <v>566</v>
      </c>
      <c r="D16" s="16" t="s">
        <v>567</v>
      </c>
      <c r="E16" s="16" t="s">
        <v>568</v>
      </c>
    </row>
    <row r="17">
      <c r="A17" s="15" t="s">
        <v>569</v>
      </c>
      <c r="B17" s="16" t="s">
        <v>570</v>
      </c>
      <c r="C17" s="16" t="s">
        <v>512</v>
      </c>
      <c r="D17" s="16" t="s">
        <v>543</v>
      </c>
      <c r="E17" s="16" t="s">
        <v>571</v>
      </c>
    </row>
    <row r="18">
      <c r="A18" s="15" t="s">
        <v>572</v>
      </c>
      <c r="B18" s="16" t="s">
        <v>573</v>
      </c>
      <c r="C18" s="16" t="s">
        <v>505</v>
      </c>
      <c r="D18" s="16" t="s">
        <v>574</v>
      </c>
      <c r="E18" s="16" t="s">
        <v>503</v>
      </c>
    </row>
    <row r="19">
      <c r="A19" s="15" t="s">
        <v>575</v>
      </c>
      <c r="B19" s="16" t="s">
        <v>576</v>
      </c>
      <c r="C19" s="16" t="s">
        <v>529</v>
      </c>
      <c r="D19" s="16" t="s">
        <v>577</v>
      </c>
      <c r="E19" s="16" t="s">
        <v>578</v>
      </c>
    </row>
    <row r="20">
      <c r="A20" s="15" t="s">
        <v>579</v>
      </c>
      <c r="B20" s="16" t="s">
        <v>580</v>
      </c>
      <c r="C20" s="16" t="s">
        <v>581</v>
      </c>
      <c r="D20" s="16" t="s">
        <v>582</v>
      </c>
      <c r="E20" s="16" t="s">
        <v>583</v>
      </c>
    </row>
    <row r="21">
      <c r="A21" s="15" t="s">
        <v>584</v>
      </c>
      <c r="B21" s="16" t="s">
        <v>585</v>
      </c>
      <c r="C21" s="16" t="s">
        <v>586</v>
      </c>
      <c r="D21" s="16" t="s">
        <v>587</v>
      </c>
      <c r="E21" s="16" t="s">
        <v>588</v>
      </c>
    </row>
    <row r="22">
      <c r="A22" s="15" t="s">
        <v>589</v>
      </c>
      <c r="B22" s="16" t="s">
        <v>590</v>
      </c>
      <c r="C22" s="16" t="s">
        <v>591</v>
      </c>
      <c r="D22" s="16" t="s">
        <v>592</v>
      </c>
      <c r="E22" s="16" t="s">
        <v>593</v>
      </c>
    </row>
    <row r="23">
      <c r="A23" s="15" t="s">
        <v>594</v>
      </c>
      <c r="B23" s="16" t="s">
        <v>554</v>
      </c>
      <c r="C23" s="16" t="s">
        <v>552</v>
      </c>
      <c r="D23" s="16" t="s">
        <v>595</v>
      </c>
      <c r="E23" s="16" t="s">
        <v>553</v>
      </c>
    </row>
    <row r="24">
      <c r="A24" s="15" t="s">
        <v>596</v>
      </c>
      <c r="B24" s="16" t="s">
        <v>597</v>
      </c>
      <c r="C24" s="16" t="s">
        <v>563</v>
      </c>
      <c r="D24" s="16" t="s">
        <v>512</v>
      </c>
      <c r="E24" s="16" t="s">
        <v>598</v>
      </c>
    </row>
    <row r="25">
      <c r="A25" s="15" t="s">
        <v>599</v>
      </c>
      <c r="B25" s="16" t="s">
        <v>502</v>
      </c>
      <c r="C25" s="16" t="s">
        <v>574</v>
      </c>
      <c r="D25" s="16" t="s">
        <v>573</v>
      </c>
      <c r="E25" s="16" t="s">
        <v>600</v>
      </c>
    </row>
    <row r="26">
      <c r="A26" s="15" t="s">
        <v>601</v>
      </c>
      <c r="B26" s="16" t="s">
        <v>602</v>
      </c>
      <c r="C26" s="16" t="s">
        <v>578</v>
      </c>
      <c r="D26" s="16" t="s">
        <v>603</v>
      </c>
      <c r="E26" s="16" t="s">
        <v>604</v>
      </c>
    </row>
    <row r="27">
      <c r="A27" s="15" t="s">
        <v>605</v>
      </c>
      <c r="B27" s="16" t="s">
        <v>606</v>
      </c>
      <c r="C27" s="16" t="s">
        <v>543</v>
      </c>
      <c r="D27" s="16" t="s">
        <v>607</v>
      </c>
      <c r="E27" s="16" t="s">
        <v>545</v>
      </c>
    </row>
    <row r="28">
      <c r="A28" s="15" t="s">
        <v>608</v>
      </c>
      <c r="B28" s="21" t="s">
        <v>609</v>
      </c>
      <c r="C28" s="21" t="s">
        <v>610</v>
      </c>
      <c r="D28" s="21" t="s">
        <v>611</v>
      </c>
      <c r="E28" s="21" t="s">
        <v>612</v>
      </c>
    </row>
    <row r="29">
      <c r="A29" s="15" t="s">
        <v>613</v>
      </c>
      <c r="B29" s="16" t="s">
        <v>614</v>
      </c>
      <c r="C29" s="16" t="s">
        <v>615</v>
      </c>
      <c r="D29" s="16" t="s">
        <v>616</v>
      </c>
      <c r="E29" s="16" t="s">
        <v>550</v>
      </c>
    </row>
    <row r="30">
      <c r="A30" s="15" t="s">
        <v>617</v>
      </c>
      <c r="B30" s="16" t="s">
        <v>618</v>
      </c>
      <c r="C30" s="16" t="s">
        <v>619</v>
      </c>
      <c r="D30" s="16" t="s">
        <v>620</v>
      </c>
      <c r="E30" s="16" t="s">
        <v>621</v>
      </c>
    </row>
    <row r="31">
      <c r="A31" s="15" t="s">
        <v>622</v>
      </c>
      <c r="B31" s="16" t="s">
        <v>623</v>
      </c>
      <c r="C31" s="16" t="s">
        <v>624</v>
      </c>
      <c r="D31" s="16" t="s">
        <v>625</v>
      </c>
      <c r="E31" s="16" t="s">
        <v>626</v>
      </c>
    </row>
    <row r="32">
      <c r="A32" s="15" t="s">
        <v>627</v>
      </c>
      <c r="B32" s="16" t="s">
        <v>606</v>
      </c>
      <c r="C32" s="16" t="s">
        <v>543</v>
      </c>
      <c r="D32" s="16" t="s">
        <v>607</v>
      </c>
      <c r="E32" s="16" t="s">
        <v>545</v>
      </c>
    </row>
    <row r="33">
      <c r="A33" s="15" t="s">
        <v>608</v>
      </c>
      <c r="B33" s="21" t="s">
        <v>609</v>
      </c>
      <c r="C33" s="21" t="s">
        <v>610</v>
      </c>
      <c r="D33" s="21" t="s">
        <v>611</v>
      </c>
      <c r="E33" s="21" t="s">
        <v>612</v>
      </c>
    </row>
    <row r="34">
      <c r="A34" s="15" t="s">
        <v>613</v>
      </c>
      <c r="B34" s="16" t="s">
        <v>614</v>
      </c>
      <c r="C34" s="16" t="s">
        <v>615</v>
      </c>
      <c r="D34" s="16" t="s">
        <v>616</v>
      </c>
      <c r="E34" s="16" t="s">
        <v>550</v>
      </c>
    </row>
    <row r="35">
      <c r="A35" s="15" t="s">
        <v>617</v>
      </c>
      <c r="B35" s="16" t="s">
        <v>618</v>
      </c>
      <c r="C35" s="16" t="s">
        <v>619</v>
      </c>
      <c r="D35" s="16" t="s">
        <v>620</v>
      </c>
      <c r="E35" s="16" t="s">
        <v>621</v>
      </c>
    </row>
    <row r="36">
      <c r="A36" s="15" t="s">
        <v>622</v>
      </c>
      <c r="B36" s="16" t="s">
        <v>623</v>
      </c>
      <c r="C36" s="16" t="s">
        <v>624</v>
      </c>
      <c r="D36" s="16" t="s">
        <v>625</v>
      </c>
      <c r="E36" s="16" t="s">
        <v>626</v>
      </c>
    </row>
    <row r="37">
      <c r="A37" s="15" t="s">
        <v>628</v>
      </c>
      <c r="B37" s="16" t="s">
        <v>629</v>
      </c>
      <c r="C37" s="16" t="s">
        <v>558</v>
      </c>
      <c r="D37" s="16" t="s">
        <v>630</v>
      </c>
      <c r="E37" s="16" t="s">
        <v>631</v>
      </c>
    </row>
    <row r="38">
      <c r="A38" s="15" t="s">
        <v>632</v>
      </c>
      <c r="B38" s="16" t="s">
        <v>633</v>
      </c>
      <c r="C38" s="16" t="s">
        <v>604</v>
      </c>
      <c r="D38" s="16" t="s">
        <v>603</v>
      </c>
      <c r="E38" s="16" t="s">
        <v>634</v>
      </c>
    </row>
    <row r="39">
      <c r="A39" s="15" t="s">
        <v>635</v>
      </c>
      <c r="B39" s="16" t="s">
        <v>636</v>
      </c>
      <c r="C39" s="16" t="s">
        <v>637</v>
      </c>
      <c r="D39" s="16" t="s">
        <v>587</v>
      </c>
      <c r="E39" s="16" t="s">
        <v>638</v>
      </c>
    </row>
    <row r="40">
      <c r="A40" s="15" t="s">
        <v>639</v>
      </c>
      <c r="B40" s="16" t="s">
        <v>640</v>
      </c>
      <c r="C40" s="16" t="s">
        <v>513</v>
      </c>
      <c r="D40" s="16" t="s">
        <v>514</v>
      </c>
      <c r="E40" s="16" t="s">
        <v>641</v>
      </c>
    </row>
    <row r="41">
      <c r="A41" s="15" t="s">
        <v>642</v>
      </c>
      <c r="B41" s="16" t="s">
        <v>505</v>
      </c>
      <c r="C41" s="16" t="s">
        <v>573</v>
      </c>
      <c r="D41" s="16" t="s">
        <v>574</v>
      </c>
      <c r="E41" s="16" t="s">
        <v>503</v>
      </c>
    </row>
    <row r="42">
      <c r="A42" s="15" t="s">
        <v>643</v>
      </c>
      <c r="B42" s="16" t="s">
        <v>644</v>
      </c>
      <c r="C42" s="16" t="s">
        <v>645</v>
      </c>
      <c r="D42" s="16" t="s">
        <v>646</v>
      </c>
      <c r="E42" s="16" t="s">
        <v>647</v>
      </c>
    </row>
    <row r="43">
      <c r="A43" s="15" t="s">
        <v>648</v>
      </c>
      <c r="B43" s="16" t="s">
        <v>649</v>
      </c>
      <c r="C43" s="16" t="s">
        <v>650</v>
      </c>
      <c r="D43" s="16" t="s">
        <v>499</v>
      </c>
      <c r="E43" s="16" t="s">
        <v>500</v>
      </c>
    </row>
    <row r="44">
      <c r="A44" s="15" t="s">
        <v>651</v>
      </c>
      <c r="B44" s="16" t="s">
        <v>577</v>
      </c>
      <c r="C44" s="16" t="s">
        <v>530</v>
      </c>
      <c r="D44" s="16" t="s">
        <v>529</v>
      </c>
      <c r="E44" s="16" t="s">
        <v>527</v>
      </c>
    </row>
    <row r="45">
      <c r="A45" s="15" t="s">
        <v>652</v>
      </c>
      <c r="B45" s="16" t="s">
        <v>653</v>
      </c>
      <c r="C45" s="16" t="s">
        <v>557</v>
      </c>
      <c r="D45" s="16" t="s">
        <v>654</v>
      </c>
      <c r="E45" s="16" t="s">
        <v>655</v>
      </c>
    </row>
    <row r="46">
      <c r="A46" s="15" t="s">
        <v>656</v>
      </c>
      <c r="B46" s="16" t="s">
        <v>616</v>
      </c>
      <c r="C46" s="16" t="s">
        <v>614</v>
      </c>
      <c r="D46" s="16" t="s">
        <v>657</v>
      </c>
      <c r="E46" s="16" t="s">
        <v>550</v>
      </c>
    </row>
    <row r="47">
      <c r="A47" s="15" t="s">
        <v>658</v>
      </c>
      <c r="B47" s="16" t="s">
        <v>659</v>
      </c>
      <c r="C47" s="16" t="s">
        <v>581</v>
      </c>
      <c r="D47" s="16" t="s">
        <v>571</v>
      </c>
      <c r="E47" s="16" t="s">
        <v>582</v>
      </c>
    </row>
    <row r="48">
      <c r="A48" s="15" t="s">
        <v>660</v>
      </c>
      <c r="B48" s="16" t="s">
        <v>603</v>
      </c>
      <c r="C48" s="16" t="s">
        <v>604</v>
      </c>
      <c r="D48" s="16" t="s">
        <v>633</v>
      </c>
      <c r="E48" s="16" t="s">
        <v>634</v>
      </c>
    </row>
    <row r="49">
      <c r="A49" s="15" t="s">
        <v>661</v>
      </c>
      <c r="B49" s="16" t="s">
        <v>562</v>
      </c>
      <c r="C49" s="16" t="s">
        <v>500</v>
      </c>
      <c r="D49" s="16" t="s">
        <v>544</v>
      </c>
      <c r="E49" s="16" t="s">
        <v>563</v>
      </c>
    </row>
    <row r="50">
      <c r="A50" s="15" t="s">
        <v>662</v>
      </c>
      <c r="B50" s="16" t="s">
        <v>663</v>
      </c>
      <c r="C50" s="16" t="s">
        <v>664</v>
      </c>
      <c r="D50" s="16" t="s">
        <v>665</v>
      </c>
      <c r="E50" s="16" t="s">
        <v>666</v>
      </c>
    </row>
    <row r="51">
      <c r="A51" s="15" t="s">
        <v>667</v>
      </c>
      <c r="B51" s="16" t="s">
        <v>560</v>
      </c>
      <c r="C51" s="16" t="s">
        <v>668</v>
      </c>
      <c r="D51" s="16" t="s">
        <v>620</v>
      </c>
      <c r="E51" s="16" t="s">
        <v>669</v>
      </c>
    </row>
    <row r="52">
      <c r="A52" s="15" t="s">
        <v>670</v>
      </c>
      <c r="B52" s="16" t="s">
        <v>671</v>
      </c>
      <c r="C52" s="16" t="s">
        <v>588</v>
      </c>
      <c r="D52" s="16" t="s">
        <v>587</v>
      </c>
      <c r="E52" s="16" t="s">
        <v>672</v>
      </c>
    </row>
    <row r="53">
      <c r="A53" s="15" t="s">
        <v>673</v>
      </c>
      <c r="B53" s="16" t="s">
        <v>604</v>
      </c>
      <c r="C53" s="16" t="s">
        <v>603</v>
      </c>
      <c r="D53" s="16" t="s">
        <v>633</v>
      </c>
      <c r="E53" s="16" t="s">
        <v>530</v>
      </c>
    </row>
    <row r="54">
      <c r="A54" s="15" t="s">
        <v>674</v>
      </c>
      <c r="B54" s="16" t="s">
        <v>563</v>
      </c>
      <c r="C54" s="16" t="s">
        <v>512</v>
      </c>
      <c r="D54" s="16" t="s">
        <v>597</v>
      </c>
      <c r="E54" s="16" t="s">
        <v>598</v>
      </c>
    </row>
    <row r="55">
      <c r="A55" s="15" t="s">
        <v>675</v>
      </c>
      <c r="B55" s="16" t="s">
        <v>657</v>
      </c>
      <c r="C55" s="16" t="s">
        <v>616</v>
      </c>
      <c r="D55" s="16" t="s">
        <v>676</v>
      </c>
      <c r="E55" s="16" t="s">
        <v>550</v>
      </c>
    </row>
    <row r="56">
      <c r="A56" s="15" t="s">
        <v>677</v>
      </c>
      <c r="B56" s="16" t="s">
        <v>678</v>
      </c>
      <c r="C56" s="16" t="s">
        <v>679</v>
      </c>
      <c r="D56" s="16" t="s">
        <v>649</v>
      </c>
      <c r="E56" s="16" t="s">
        <v>650</v>
      </c>
    </row>
    <row r="57">
      <c r="A57" s="15" t="s">
        <v>680</v>
      </c>
      <c r="B57" s="16" t="s">
        <v>681</v>
      </c>
      <c r="C57" s="16" t="s">
        <v>682</v>
      </c>
      <c r="D57" s="16" t="s">
        <v>683</v>
      </c>
      <c r="E57" s="16" t="s">
        <v>684</v>
      </c>
    </row>
    <row r="58">
      <c r="A58" s="15" t="s">
        <v>685</v>
      </c>
      <c r="B58" s="16" t="s">
        <v>650</v>
      </c>
      <c r="C58" s="16" t="s">
        <v>500</v>
      </c>
      <c r="D58" s="16" t="s">
        <v>649</v>
      </c>
      <c r="E58" s="16" t="s">
        <v>587</v>
      </c>
    </row>
    <row r="59">
      <c r="A59" s="15" t="s">
        <v>686</v>
      </c>
      <c r="B59" s="16" t="s">
        <v>529</v>
      </c>
      <c r="C59" s="16" t="s">
        <v>527</v>
      </c>
      <c r="D59" s="16" t="s">
        <v>528</v>
      </c>
      <c r="E59" s="16" t="s">
        <v>577</v>
      </c>
    </row>
    <row r="60">
      <c r="A60" s="15" t="s">
        <v>687</v>
      </c>
      <c r="B60" s="16" t="s">
        <v>519</v>
      </c>
      <c r="C60" s="16" t="s">
        <v>620</v>
      </c>
      <c r="D60" s="16" t="s">
        <v>514</v>
      </c>
      <c r="E60" s="16" t="s">
        <v>570</v>
      </c>
    </row>
    <row r="61">
      <c r="A61" s="15" t="s">
        <v>688</v>
      </c>
      <c r="B61" s="16" t="s">
        <v>647</v>
      </c>
      <c r="C61" s="16" t="s">
        <v>644</v>
      </c>
      <c r="D61" s="16" t="s">
        <v>689</v>
      </c>
      <c r="E61" s="16" t="s">
        <v>646</v>
      </c>
    </row>
    <row r="62">
      <c r="A62" s="15" t="s">
        <v>690</v>
      </c>
      <c r="B62" s="16" t="s">
        <v>545</v>
      </c>
      <c r="C62" s="16" t="s">
        <v>544</v>
      </c>
      <c r="D62" s="16" t="s">
        <v>499</v>
      </c>
      <c r="E62" s="16" t="s">
        <v>542</v>
      </c>
    </row>
    <row r="63">
      <c r="A63" s="15" t="s">
        <v>691</v>
      </c>
      <c r="B63" s="16" t="s">
        <v>552</v>
      </c>
      <c r="C63" s="16" t="s">
        <v>553</v>
      </c>
      <c r="D63" s="16" t="s">
        <v>554</v>
      </c>
      <c r="E63" s="16" t="s">
        <v>555</v>
      </c>
    </row>
    <row r="64">
      <c r="A64" s="15" t="s">
        <v>692</v>
      </c>
      <c r="B64" s="16" t="s">
        <v>570</v>
      </c>
      <c r="C64" s="16" t="s">
        <v>649</v>
      </c>
      <c r="D64" s="16" t="s">
        <v>571</v>
      </c>
      <c r="E64" s="16" t="s">
        <v>559</v>
      </c>
    </row>
    <row r="65">
      <c r="A65" s="15" t="s">
        <v>693</v>
      </c>
      <c r="B65" s="16" t="s">
        <v>689</v>
      </c>
      <c r="C65" s="16" t="s">
        <v>647</v>
      </c>
      <c r="D65" s="16" t="s">
        <v>644</v>
      </c>
      <c r="E65" s="16" t="s">
        <v>694</v>
      </c>
    </row>
    <row r="66">
      <c r="A66" s="15" t="s">
        <v>695</v>
      </c>
      <c r="B66" s="16" t="s">
        <v>557</v>
      </c>
      <c r="C66" s="16" t="s">
        <v>696</v>
      </c>
      <c r="D66" s="16" t="s">
        <v>559</v>
      </c>
      <c r="E66" s="16" t="s">
        <v>558</v>
      </c>
    </row>
    <row r="67">
      <c r="A67" s="15" t="s">
        <v>697</v>
      </c>
      <c r="B67" s="16" t="s">
        <v>504</v>
      </c>
      <c r="C67" s="16" t="s">
        <v>505</v>
      </c>
      <c r="D67" s="16" t="s">
        <v>503</v>
      </c>
      <c r="E67" s="16" t="s">
        <v>574</v>
      </c>
    </row>
    <row r="68">
      <c r="A68" s="15" t="s">
        <v>698</v>
      </c>
      <c r="B68" s="16" t="s">
        <v>699</v>
      </c>
      <c r="C68" s="16" t="s">
        <v>602</v>
      </c>
      <c r="D68" s="16" t="s">
        <v>578</v>
      </c>
      <c r="E68" s="16" t="s">
        <v>604</v>
      </c>
    </row>
    <row r="69">
      <c r="A69" s="15" t="s">
        <v>700</v>
      </c>
      <c r="B69" s="16" t="s">
        <v>701</v>
      </c>
      <c r="C69" s="16" t="s">
        <v>581</v>
      </c>
      <c r="D69" s="16" t="s">
        <v>582</v>
      </c>
      <c r="E69" s="16" t="s">
        <v>583</v>
      </c>
    </row>
    <row r="70">
      <c r="A70" s="15" t="s">
        <v>702</v>
      </c>
      <c r="B70" s="16" t="s">
        <v>703</v>
      </c>
      <c r="C70" s="16" t="s">
        <v>704</v>
      </c>
      <c r="D70" s="16" t="s">
        <v>705</v>
      </c>
      <c r="E70" s="16" t="s">
        <v>706</v>
      </c>
    </row>
    <row r="71">
      <c r="A71" s="15" t="s">
        <v>707</v>
      </c>
      <c r="B71" s="16" t="s">
        <v>708</v>
      </c>
      <c r="C71" s="16" t="s">
        <v>607</v>
      </c>
      <c r="D71" s="16" t="s">
        <v>543</v>
      </c>
      <c r="E71" s="16" t="s">
        <v>542</v>
      </c>
    </row>
    <row r="72">
      <c r="A72" s="15" t="s">
        <v>709</v>
      </c>
      <c r="B72" s="16" t="s">
        <v>638</v>
      </c>
      <c r="C72" s="16" t="s">
        <v>710</v>
      </c>
      <c r="D72" s="16" t="s">
        <v>637</v>
      </c>
      <c r="E72" s="16" t="s">
        <v>587</v>
      </c>
    </row>
    <row r="73">
      <c r="A73" s="15" t="s">
        <v>711</v>
      </c>
      <c r="B73" s="16" t="s">
        <v>631</v>
      </c>
      <c r="C73" s="16" t="s">
        <v>629</v>
      </c>
      <c r="D73" s="16" t="s">
        <v>558</v>
      </c>
      <c r="E73" s="16" t="s">
        <v>618</v>
      </c>
    </row>
    <row r="74">
      <c r="A74" s="15" t="s">
        <v>712</v>
      </c>
      <c r="B74" s="16" t="s">
        <v>578</v>
      </c>
      <c r="C74" s="16" t="s">
        <v>602</v>
      </c>
      <c r="D74" s="16" t="s">
        <v>699</v>
      </c>
      <c r="E74" s="16" t="s">
        <v>713</v>
      </c>
    </row>
    <row r="75">
      <c r="A75" s="15" t="s">
        <v>714</v>
      </c>
      <c r="B75" s="16" t="s">
        <v>498</v>
      </c>
      <c r="C75" s="16" t="s">
        <v>650</v>
      </c>
      <c r="D75" s="16" t="s">
        <v>500</v>
      </c>
      <c r="E75" s="16" t="s">
        <v>570</v>
      </c>
    </row>
    <row r="76">
      <c r="A76" s="15" t="s">
        <v>715</v>
      </c>
      <c r="B76" s="16" t="s">
        <v>504</v>
      </c>
      <c r="C76" s="16" t="s">
        <v>505</v>
      </c>
      <c r="D76" s="16" t="s">
        <v>503</v>
      </c>
      <c r="E76" s="16" t="s">
        <v>574</v>
      </c>
    </row>
    <row r="77">
      <c r="A77" s="15" t="s">
        <v>716</v>
      </c>
      <c r="B77" s="16" t="s">
        <v>717</v>
      </c>
      <c r="C77" s="16" t="s">
        <v>607</v>
      </c>
      <c r="D77" s="16" t="s">
        <v>542</v>
      </c>
      <c r="E77" s="16" t="s">
        <v>718</v>
      </c>
    </row>
    <row r="78">
      <c r="A78" s="15" t="s">
        <v>719</v>
      </c>
      <c r="B78" s="16" t="s">
        <v>720</v>
      </c>
      <c r="C78" s="16" t="s">
        <v>721</v>
      </c>
      <c r="D78" s="16" t="s">
        <v>722</v>
      </c>
      <c r="E78" s="16" t="s">
        <v>723</v>
      </c>
    </row>
    <row r="79">
      <c r="A79" s="15" t="s">
        <v>724</v>
      </c>
      <c r="B79" s="16" t="s">
        <v>725</v>
      </c>
      <c r="C79" s="16" t="s">
        <v>717</v>
      </c>
      <c r="D79" s="16" t="s">
        <v>585</v>
      </c>
      <c r="E79" s="16" t="s">
        <v>726</v>
      </c>
    </row>
    <row r="80">
      <c r="A80" s="15" t="s">
        <v>727</v>
      </c>
      <c r="B80" s="16" t="s">
        <v>728</v>
      </c>
      <c r="C80" s="16" t="s">
        <v>729</v>
      </c>
      <c r="D80" s="16" t="s">
        <v>730</v>
      </c>
      <c r="E80" s="16" t="s">
        <v>731</v>
      </c>
    </row>
    <row r="81">
      <c r="A81" s="15" t="s">
        <v>732</v>
      </c>
      <c r="B81" s="16" t="s">
        <v>733</v>
      </c>
      <c r="C81" s="16" t="s">
        <v>513</v>
      </c>
      <c r="D81" s="16" t="s">
        <v>514</v>
      </c>
      <c r="E81" s="16" t="s">
        <v>515</v>
      </c>
    </row>
    <row r="82">
      <c r="A82" s="15" t="s">
        <v>734</v>
      </c>
      <c r="B82" s="16" t="s">
        <v>721</v>
      </c>
      <c r="C82" s="16" t="s">
        <v>720</v>
      </c>
      <c r="D82" s="16" t="s">
        <v>722</v>
      </c>
      <c r="E82" s="16" t="s">
        <v>723</v>
      </c>
    </row>
    <row r="83">
      <c r="A83" s="15" t="s">
        <v>735</v>
      </c>
      <c r="B83" s="16" t="s">
        <v>606</v>
      </c>
      <c r="C83" s="16" t="s">
        <v>543</v>
      </c>
      <c r="D83" s="16" t="s">
        <v>607</v>
      </c>
      <c r="E83" s="16" t="s">
        <v>718</v>
      </c>
    </row>
    <row r="84">
      <c r="A84" s="15" t="s">
        <v>736</v>
      </c>
      <c r="B84" s="16" t="s">
        <v>737</v>
      </c>
      <c r="C84" s="16" t="s">
        <v>633</v>
      </c>
      <c r="D84" s="16" t="s">
        <v>634</v>
      </c>
      <c r="E84" s="16" t="s">
        <v>738</v>
      </c>
    </row>
    <row r="85">
      <c r="A85" s="15" t="s">
        <v>739</v>
      </c>
      <c r="B85" s="16" t="s">
        <v>630</v>
      </c>
      <c r="C85" s="16" t="s">
        <v>629</v>
      </c>
      <c r="D85" s="16" t="s">
        <v>558</v>
      </c>
      <c r="E85" s="16" t="s">
        <v>631</v>
      </c>
    </row>
    <row r="86">
      <c r="A86" s="15" t="s">
        <v>740</v>
      </c>
      <c r="B86" s="16" t="s">
        <v>722</v>
      </c>
      <c r="C86" s="16" t="s">
        <v>721</v>
      </c>
      <c r="D86" s="16" t="s">
        <v>723</v>
      </c>
      <c r="E86" s="16" t="s">
        <v>741</v>
      </c>
    </row>
    <row r="87">
      <c r="A87" s="15" t="s">
        <v>742</v>
      </c>
      <c r="B87" s="16" t="s">
        <v>743</v>
      </c>
      <c r="C87" s="16" t="s">
        <v>618</v>
      </c>
      <c r="D87" s="16" t="s">
        <v>631</v>
      </c>
      <c r="E87" s="16" t="s">
        <v>641</v>
      </c>
    </row>
    <row r="88">
      <c r="A88" s="15" t="s">
        <v>744</v>
      </c>
      <c r="B88" s="16" t="s">
        <v>745</v>
      </c>
      <c r="C88" s="16" t="s">
        <v>746</v>
      </c>
      <c r="D88" s="16" t="s">
        <v>637</v>
      </c>
      <c r="E88" s="16" t="s">
        <v>747</v>
      </c>
    </row>
    <row r="89">
      <c r="A89" s="15" t="s">
        <v>748</v>
      </c>
      <c r="B89" s="16" t="s">
        <v>723</v>
      </c>
      <c r="C89" s="16" t="s">
        <v>722</v>
      </c>
      <c r="D89" s="16" t="s">
        <v>741</v>
      </c>
      <c r="E89" s="16" t="s">
        <v>749</v>
      </c>
    </row>
    <row r="90">
      <c r="A90" s="15" t="s">
        <v>750</v>
      </c>
      <c r="B90" s="16" t="s">
        <v>751</v>
      </c>
      <c r="C90" s="16" t="s">
        <v>542</v>
      </c>
      <c r="D90" s="16" t="s">
        <v>543</v>
      </c>
      <c r="E90" s="16" t="s">
        <v>514</v>
      </c>
    </row>
    <row r="91">
      <c r="A91" s="15" t="s">
        <v>752</v>
      </c>
      <c r="B91" s="16" t="s">
        <v>753</v>
      </c>
      <c r="C91" s="16" t="s">
        <v>597</v>
      </c>
      <c r="D91" s="16" t="s">
        <v>499</v>
      </c>
      <c r="E91" s="16" t="s">
        <v>598</v>
      </c>
    </row>
    <row r="92">
      <c r="A92" s="15" t="s">
        <v>754</v>
      </c>
      <c r="B92" s="16" t="s">
        <v>741</v>
      </c>
      <c r="C92" s="16" t="s">
        <v>723</v>
      </c>
      <c r="D92" s="16" t="s">
        <v>722</v>
      </c>
      <c r="E92" s="16" t="s">
        <v>749</v>
      </c>
    </row>
    <row r="93">
      <c r="A93" s="15" t="s">
        <v>755</v>
      </c>
      <c r="B93" s="16" t="s">
        <v>726</v>
      </c>
      <c r="C93" s="16" t="s">
        <v>725</v>
      </c>
      <c r="D93" s="16" t="s">
        <v>717</v>
      </c>
      <c r="E93" s="16" t="s">
        <v>585</v>
      </c>
    </row>
    <row r="94">
      <c r="A94" s="15" t="s">
        <v>756</v>
      </c>
      <c r="B94" s="16" t="s">
        <v>757</v>
      </c>
      <c r="C94" s="16" t="s">
        <v>563</v>
      </c>
      <c r="D94" s="16" t="s">
        <v>717</v>
      </c>
      <c r="E94" s="16" t="s">
        <v>585</v>
      </c>
    </row>
    <row r="95">
      <c r="A95" s="15" t="s">
        <v>758</v>
      </c>
      <c r="B95" s="16" t="s">
        <v>530</v>
      </c>
      <c r="C95" s="16" t="s">
        <v>527</v>
      </c>
      <c r="D95" s="16" t="s">
        <v>528</v>
      </c>
      <c r="E95" s="16" t="s">
        <v>577</v>
      </c>
    </row>
    <row r="96">
      <c r="A96" s="15" t="s">
        <v>759</v>
      </c>
      <c r="B96" s="16" t="s">
        <v>760</v>
      </c>
      <c r="C96" s="16" t="s">
        <v>500</v>
      </c>
      <c r="D96" s="16" t="s">
        <v>649</v>
      </c>
      <c r="E96" s="16" t="s">
        <v>761</v>
      </c>
    </row>
    <row r="97">
      <c r="A97" s="15" t="s">
        <v>762</v>
      </c>
      <c r="B97" s="16" t="s">
        <v>504</v>
      </c>
      <c r="C97" s="16" t="s">
        <v>503</v>
      </c>
      <c r="D97" s="16" t="s">
        <v>505</v>
      </c>
      <c r="E97" s="16" t="s">
        <v>574</v>
      </c>
    </row>
    <row r="98">
      <c r="A98" s="15" t="s">
        <v>763</v>
      </c>
      <c r="B98" s="16" t="s">
        <v>641</v>
      </c>
      <c r="C98" s="16" t="s">
        <v>631</v>
      </c>
      <c r="D98" s="16" t="s">
        <v>629</v>
      </c>
      <c r="E98" s="16" t="s">
        <v>743</v>
      </c>
    </row>
    <row r="99">
      <c r="A99" s="15" t="s">
        <v>764</v>
      </c>
      <c r="B99" s="16" t="s">
        <v>552</v>
      </c>
      <c r="C99" s="16" t="s">
        <v>553</v>
      </c>
      <c r="D99" s="16" t="s">
        <v>554</v>
      </c>
      <c r="E99" s="16" t="s">
        <v>555</v>
      </c>
    </row>
    <row r="100">
      <c r="A100" s="15" t="s">
        <v>765</v>
      </c>
      <c r="B100" s="16" t="s">
        <v>637</v>
      </c>
      <c r="C100" s="16" t="s">
        <v>499</v>
      </c>
      <c r="D100" s="16" t="s">
        <v>597</v>
      </c>
      <c r="E100" s="16" t="s">
        <v>545</v>
      </c>
    </row>
    <row r="101">
      <c r="A101" s="15" t="s">
        <v>766</v>
      </c>
      <c r="B101" s="16" t="s">
        <v>694</v>
      </c>
      <c r="C101" s="16" t="s">
        <v>767</v>
      </c>
      <c r="D101" s="16" t="s">
        <v>523</v>
      </c>
      <c r="E101" s="16" t="s">
        <v>522</v>
      </c>
    </row>
    <row r="102">
      <c r="A102" s="15" t="s">
        <v>768</v>
      </c>
      <c r="B102" s="16" t="s">
        <v>769</v>
      </c>
      <c r="C102" s="16" t="s">
        <v>513</v>
      </c>
      <c r="D102" s="16" t="s">
        <v>733</v>
      </c>
      <c r="E102" s="16" t="s">
        <v>515</v>
      </c>
    </row>
    <row r="103">
      <c r="A103" s="15" t="s">
        <v>770</v>
      </c>
      <c r="B103" s="16" t="s">
        <v>607</v>
      </c>
      <c r="C103" s="16" t="s">
        <v>542</v>
      </c>
      <c r="D103" s="16" t="s">
        <v>543</v>
      </c>
      <c r="E103" s="16" t="s">
        <v>718</v>
      </c>
    </row>
    <row r="104">
      <c r="A104" s="15" t="s">
        <v>771</v>
      </c>
      <c r="B104" s="16" t="s">
        <v>504</v>
      </c>
      <c r="C104" s="16" t="s">
        <v>502</v>
      </c>
      <c r="D104" s="16" t="s">
        <v>503</v>
      </c>
      <c r="E104" s="16" t="s">
        <v>505</v>
      </c>
    </row>
    <row r="105">
      <c r="A105" s="15" t="s">
        <v>772</v>
      </c>
      <c r="B105" s="16" t="s">
        <v>773</v>
      </c>
      <c r="C105" s="16" t="s">
        <v>558</v>
      </c>
      <c r="D105" s="16" t="s">
        <v>559</v>
      </c>
      <c r="E105" s="16" t="s">
        <v>557</v>
      </c>
    </row>
    <row r="106">
      <c r="A106" s="15" t="s">
        <v>774</v>
      </c>
      <c r="B106" s="16" t="s">
        <v>775</v>
      </c>
      <c r="C106" s="16" t="s">
        <v>776</v>
      </c>
      <c r="D106" s="16" t="s">
        <v>777</v>
      </c>
      <c r="E106" s="16" t="s">
        <v>778</v>
      </c>
    </row>
    <row r="107">
      <c r="A107" s="15" t="s">
        <v>779</v>
      </c>
      <c r="B107" s="16" t="s">
        <v>249</v>
      </c>
      <c r="C107" s="16" t="s">
        <v>133</v>
      </c>
      <c r="D107" s="16" t="s">
        <v>780</v>
      </c>
      <c r="E107" s="16" t="s">
        <v>114</v>
      </c>
    </row>
    <row r="108">
      <c r="B108" s="20"/>
      <c r="C108" s="20"/>
      <c r="D108" s="20"/>
      <c r="E108" s="20"/>
    </row>
    <row r="109">
      <c r="B109" s="20"/>
      <c r="C109" s="20"/>
      <c r="D109" s="20"/>
      <c r="E109" s="20"/>
    </row>
    <row r="110">
      <c r="B110" s="20"/>
      <c r="C110" s="20"/>
      <c r="D110" s="20"/>
      <c r="E110" s="20"/>
    </row>
    <row r="111">
      <c r="B111" s="20"/>
      <c r="C111" s="20"/>
      <c r="D111" s="20"/>
      <c r="E111" s="20"/>
    </row>
    <row r="112">
      <c r="B112" s="20"/>
      <c r="C112" s="20"/>
      <c r="D112" s="20"/>
      <c r="E112" s="20"/>
    </row>
    <row r="113">
      <c r="B113" s="20"/>
      <c r="C113" s="20"/>
      <c r="D113" s="20"/>
      <c r="E113" s="20"/>
    </row>
    <row r="114">
      <c r="B114" s="20"/>
      <c r="C114" s="20"/>
      <c r="D114" s="20"/>
      <c r="E114" s="20"/>
    </row>
    <row r="115">
      <c r="B115" s="20"/>
      <c r="C115" s="20"/>
      <c r="D115" s="20"/>
      <c r="E115" s="20"/>
    </row>
    <row r="116">
      <c r="B116" s="20"/>
      <c r="C116" s="20"/>
      <c r="D116" s="20"/>
      <c r="E116" s="20"/>
    </row>
    <row r="117">
      <c r="B117" s="20"/>
      <c r="C117" s="20"/>
      <c r="D117" s="20"/>
      <c r="E117" s="20"/>
    </row>
    <row r="118">
      <c r="B118" s="20"/>
      <c r="C118" s="20"/>
      <c r="D118" s="20"/>
      <c r="E118" s="20"/>
    </row>
    <row r="119">
      <c r="B119" s="20"/>
      <c r="C119" s="20"/>
      <c r="D119" s="20"/>
      <c r="E119" s="20"/>
    </row>
    <row r="120">
      <c r="B120" s="20"/>
      <c r="C120" s="20"/>
      <c r="D120" s="20"/>
      <c r="E120" s="20"/>
    </row>
    <row r="121">
      <c r="B121" s="20"/>
      <c r="C121" s="20"/>
      <c r="D121" s="20"/>
      <c r="E121" s="20"/>
    </row>
    <row r="122">
      <c r="B122" s="20"/>
      <c r="C122" s="20"/>
      <c r="D122" s="20"/>
      <c r="E122" s="20"/>
    </row>
    <row r="123">
      <c r="B123" s="20"/>
      <c r="C123" s="20"/>
      <c r="D123" s="20"/>
      <c r="E123" s="20"/>
    </row>
    <row r="124">
      <c r="B124" s="20"/>
      <c r="C124" s="20"/>
      <c r="D124" s="20"/>
      <c r="E124" s="20"/>
    </row>
    <row r="125">
      <c r="B125" s="20"/>
      <c r="C125" s="20"/>
      <c r="D125" s="20"/>
      <c r="E125" s="20"/>
    </row>
    <row r="126">
      <c r="B126" s="20"/>
      <c r="C126" s="20"/>
      <c r="D126" s="20"/>
      <c r="E126" s="20"/>
    </row>
    <row r="127">
      <c r="B127" s="20"/>
      <c r="C127" s="20"/>
      <c r="D127" s="20"/>
      <c r="E127" s="20"/>
    </row>
    <row r="128">
      <c r="B128" s="20"/>
      <c r="C128" s="20"/>
      <c r="D128" s="20"/>
      <c r="E128" s="20"/>
    </row>
    <row r="129">
      <c r="B129" s="20"/>
      <c r="C129" s="20"/>
      <c r="D129" s="20"/>
      <c r="E129" s="20"/>
    </row>
    <row r="130">
      <c r="B130" s="20"/>
      <c r="C130" s="20"/>
      <c r="D130" s="20"/>
      <c r="E130" s="20"/>
    </row>
    <row r="131">
      <c r="B131" s="20"/>
      <c r="C131" s="20"/>
      <c r="D131" s="20"/>
      <c r="E131" s="20"/>
    </row>
    <row r="132">
      <c r="B132" s="20"/>
      <c r="C132" s="20"/>
      <c r="D132" s="20"/>
      <c r="E132" s="20"/>
    </row>
    <row r="133">
      <c r="B133" s="20"/>
      <c r="C133" s="20"/>
      <c r="D133" s="20"/>
      <c r="E133" s="20"/>
    </row>
    <row r="134">
      <c r="B134" s="20"/>
      <c r="C134" s="20"/>
      <c r="D134" s="20"/>
      <c r="E134" s="20"/>
    </row>
    <row r="135">
      <c r="B135" s="20"/>
      <c r="C135" s="20"/>
      <c r="D135" s="20"/>
      <c r="E135" s="20"/>
    </row>
    <row r="136">
      <c r="B136" s="20"/>
      <c r="C136" s="20"/>
      <c r="D136" s="20"/>
      <c r="E136" s="20"/>
    </row>
    <row r="137">
      <c r="B137" s="20"/>
      <c r="C137" s="20"/>
      <c r="D137" s="20"/>
      <c r="E137" s="20"/>
    </row>
    <row r="138">
      <c r="B138" s="20"/>
      <c r="C138" s="20"/>
      <c r="D138" s="20"/>
      <c r="E138" s="20"/>
    </row>
    <row r="139">
      <c r="B139" s="20"/>
      <c r="C139" s="20"/>
      <c r="D139" s="20"/>
      <c r="E139" s="20"/>
    </row>
    <row r="140">
      <c r="B140" s="20"/>
      <c r="C140" s="20"/>
      <c r="D140" s="20"/>
      <c r="E140" s="20"/>
    </row>
    <row r="141">
      <c r="B141" s="20"/>
      <c r="C141" s="20"/>
      <c r="D141" s="20"/>
      <c r="E141" s="20"/>
    </row>
    <row r="142">
      <c r="B142" s="20"/>
      <c r="C142" s="20"/>
      <c r="D142" s="20"/>
      <c r="E142" s="20"/>
    </row>
    <row r="143">
      <c r="B143" s="20"/>
      <c r="C143" s="20"/>
      <c r="D143" s="20"/>
      <c r="E143" s="20"/>
    </row>
    <row r="144">
      <c r="B144" s="20"/>
      <c r="C144" s="20"/>
      <c r="D144" s="20"/>
      <c r="E144" s="20"/>
    </row>
    <row r="145">
      <c r="B145" s="20"/>
      <c r="C145" s="20"/>
      <c r="D145" s="20"/>
      <c r="E145" s="20"/>
    </row>
    <row r="146">
      <c r="B146" s="20"/>
      <c r="C146" s="20"/>
      <c r="D146" s="20"/>
      <c r="E146" s="20"/>
    </row>
    <row r="147">
      <c r="B147" s="20"/>
      <c r="C147" s="20"/>
      <c r="D147" s="20"/>
      <c r="E147" s="20"/>
    </row>
    <row r="148">
      <c r="B148" s="20"/>
      <c r="C148" s="20"/>
      <c r="D148" s="20"/>
      <c r="E148" s="20"/>
    </row>
    <row r="149">
      <c r="B149" s="20"/>
      <c r="C149" s="20"/>
      <c r="D149" s="20"/>
      <c r="E149" s="20"/>
    </row>
    <row r="150">
      <c r="B150" s="20"/>
      <c r="C150" s="20"/>
      <c r="D150" s="20"/>
      <c r="E150" s="20"/>
    </row>
    <row r="151">
      <c r="B151" s="20"/>
      <c r="C151" s="20"/>
      <c r="D151" s="20"/>
      <c r="E151" s="20"/>
    </row>
    <row r="152">
      <c r="B152" s="20"/>
      <c r="C152" s="20"/>
      <c r="D152" s="20"/>
      <c r="E152" s="20"/>
    </row>
    <row r="153">
      <c r="B153" s="20"/>
      <c r="C153" s="20"/>
      <c r="D153" s="20"/>
      <c r="E153" s="20"/>
    </row>
    <row r="154">
      <c r="B154" s="20"/>
      <c r="C154" s="20"/>
      <c r="D154" s="20"/>
      <c r="E154" s="20"/>
    </row>
    <row r="155">
      <c r="B155" s="20"/>
      <c r="C155" s="20"/>
      <c r="D155" s="20"/>
      <c r="E155" s="20"/>
    </row>
    <row r="156">
      <c r="B156" s="20"/>
      <c r="C156" s="20"/>
      <c r="D156" s="20"/>
      <c r="E156" s="20"/>
    </row>
    <row r="157">
      <c r="B157" s="20"/>
      <c r="C157" s="20"/>
      <c r="D157" s="20"/>
      <c r="E157" s="20"/>
    </row>
    <row r="158">
      <c r="B158" s="20"/>
      <c r="C158" s="20"/>
      <c r="D158" s="20"/>
      <c r="E158" s="20"/>
    </row>
    <row r="159">
      <c r="B159" s="20"/>
      <c r="C159" s="20"/>
      <c r="D159" s="20"/>
      <c r="E159" s="20"/>
    </row>
    <row r="160">
      <c r="B160" s="20"/>
      <c r="C160" s="20"/>
      <c r="D160" s="20"/>
      <c r="E160" s="20"/>
    </row>
    <row r="161">
      <c r="B161" s="20"/>
      <c r="C161" s="20"/>
      <c r="D161" s="20"/>
      <c r="E161" s="20"/>
    </row>
    <row r="162">
      <c r="B162" s="20"/>
      <c r="C162" s="20"/>
      <c r="D162" s="20"/>
      <c r="E162" s="20"/>
    </row>
    <row r="163">
      <c r="B163" s="20"/>
      <c r="C163" s="20"/>
      <c r="D163" s="20"/>
      <c r="E163" s="20"/>
    </row>
    <row r="164">
      <c r="B164" s="20"/>
      <c r="C164" s="20"/>
      <c r="D164" s="20"/>
      <c r="E164" s="20"/>
    </row>
    <row r="165">
      <c r="B165" s="20"/>
      <c r="C165" s="20"/>
      <c r="D165" s="20"/>
      <c r="E165" s="20"/>
    </row>
    <row r="166">
      <c r="B166" s="20"/>
      <c r="C166" s="20"/>
      <c r="D166" s="20"/>
      <c r="E166" s="20"/>
    </row>
    <row r="167">
      <c r="B167" s="20"/>
      <c r="C167" s="20"/>
      <c r="D167" s="20"/>
      <c r="E167" s="20"/>
    </row>
    <row r="168">
      <c r="B168" s="20"/>
      <c r="C168" s="20"/>
      <c r="D168" s="20"/>
      <c r="E168" s="20"/>
    </row>
    <row r="169">
      <c r="B169" s="20"/>
      <c r="C169" s="20"/>
      <c r="D169" s="20"/>
      <c r="E169" s="20"/>
    </row>
    <row r="170">
      <c r="B170" s="20"/>
      <c r="C170" s="20"/>
      <c r="D170" s="20"/>
      <c r="E170" s="20"/>
    </row>
    <row r="171">
      <c r="B171" s="20"/>
      <c r="C171" s="20"/>
      <c r="D171" s="20"/>
      <c r="E171" s="20"/>
    </row>
    <row r="172">
      <c r="B172" s="20"/>
      <c r="C172" s="20"/>
      <c r="D172" s="20"/>
      <c r="E172" s="20"/>
    </row>
    <row r="173">
      <c r="B173" s="20"/>
      <c r="C173" s="20"/>
      <c r="D173" s="20"/>
      <c r="E173" s="20"/>
    </row>
    <row r="174">
      <c r="B174" s="20"/>
      <c r="C174" s="20"/>
      <c r="D174" s="20"/>
      <c r="E174" s="20"/>
    </row>
    <row r="175">
      <c r="B175" s="20"/>
      <c r="C175" s="20"/>
      <c r="D175" s="20"/>
      <c r="E175" s="20"/>
    </row>
    <row r="176">
      <c r="B176" s="20"/>
      <c r="C176" s="20"/>
      <c r="D176" s="20"/>
      <c r="E176" s="20"/>
    </row>
    <row r="177">
      <c r="B177" s="20"/>
      <c r="C177" s="20"/>
      <c r="D177" s="20"/>
      <c r="E177" s="20"/>
    </row>
    <row r="178">
      <c r="B178" s="20"/>
      <c r="C178" s="20"/>
      <c r="D178" s="20"/>
      <c r="E178" s="20"/>
    </row>
    <row r="179">
      <c r="B179" s="20"/>
      <c r="C179" s="20"/>
      <c r="D179" s="20"/>
      <c r="E179" s="20"/>
    </row>
    <row r="180">
      <c r="B180" s="20"/>
      <c r="C180" s="20"/>
      <c r="D180" s="20"/>
      <c r="E180" s="20"/>
    </row>
    <row r="181">
      <c r="B181" s="20"/>
      <c r="C181" s="20"/>
      <c r="D181" s="20"/>
      <c r="E181" s="20"/>
    </row>
    <row r="182">
      <c r="B182" s="20"/>
      <c r="C182" s="20"/>
      <c r="D182" s="20"/>
      <c r="E182" s="20"/>
    </row>
    <row r="183">
      <c r="B183" s="20"/>
      <c r="C183" s="20"/>
      <c r="D183" s="20"/>
      <c r="E183" s="20"/>
    </row>
    <row r="184">
      <c r="B184" s="20"/>
      <c r="C184" s="20"/>
      <c r="D184" s="20"/>
      <c r="E184" s="20"/>
    </row>
    <row r="185">
      <c r="B185" s="20"/>
      <c r="C185" s="20"/>
      <c r="D185" s="20"/>
      <c r="E185" s="20"/>
    </row>
    <row r="186">
      <c r="B186" s="20"/>
      <c r="C186" s="20"/>
      <c r="D186" s="20"/>
      <c r="E186" s="20"/>
    </row>
    <row r="187">
      <c r="B187" s="20"/>
      <c r="C187" s="20"/>
      <c r="D187" s="20"/>
      <c r="E187" s="20"/>
    </row>
    <row r="188">
      <c r="B188" s="20"/>
      <c r="C188" s="20"/>
      <c r="D188" s="20"/>
      <c r="E188" s="20"/>
    </row>
    <row r="189">
      <c r="B189" s="20"/>
      <c r="C189" s="20"/>
      <c r="D189" s="20"/>
      <c r="E189" s="20"/>
    </row>
    <row r="190">
      <c r="B190" s="20"/>
      <c r="C190" s="20"/>
      <c r="D190" s="20"/>
      <c r="E190" s="20"/>
    </row>
    <row r="191">
      <c r="B191" s="20"/>
      <c r="C191" s="20"/>
      <c r="D191" s="20"/>
      <c r="E191" s="20"/>
    </row>
    <row r="192">
      <c r="B192" s="20"/>
      <c r="C192" s="20"/>
      <c r="D192" s="20"/>
      <c r="E192" s="20"/>
    </row>
    <row r="193">
      <c r="B193" s="20"/>
      <c r="C193" s="20"/>
      <c r="D193" s="20"/>
      <c r="E193" s="20"/>
    </row>
    <row r="194">
      <c r="B194" s="20"/>
      <c r="C194" s="20"/>
      <c r="D194" s="20"/>
      <c r="E194" s="20"/>
    </row>
    <row r="195">
      <c r="B195" s="20"/>
      <c r="C195" s="20"/>
      <c r="D195" s="20"/>
      <c r="E195" s="20"/>
    </row>
    <row r="196">
      <c r="B196" s="20"/>
      <c r="C196" s="20"/>
      <c r="D196" s="20"/>
      <c r="E196" s="20"/>
    </row>
    <row r="197">
      <c r="B197" s="20"/>
      <c r="C197" s="20"/>
      <c r="D197" s="20"/>
      <c r="E197" s="20"/>
    </row>
    <row r="198">
      <c r="B198" s="20"/>
      <c r="C198" s="20"/>
      <c r="D198" s="20"/>
      <c r="E198" s="20"/>
    </row>
    <row r="199">
      <c r="B199" s="20"/>
      <c r="C199" s="20"/>
      <c r="D199" s="20"/>
      <c r="E199" s="20"/>
    </row>
    <row r="200">
      <c r="B200" s="20"/>
      <c r="C200" s="20"/>
      <c r="D200" s="20"/>
      <c r="E200" s="20"/>
    </row>
    <row r="201">
      <c r="B201" s="20"/>
      <c r="C201" s="20"/>
      <c r="D201" s="20"/>
      <c r="E201" s="20"/>
    </row>
    <row r="202">
      <c r="B202" s="20"/>
      <c r="C202" s="20"/>
      <c r="D202" s="20"/>
      <c r="E202" s="20"/>
    </row>
    <row r="203">
      <c r="B203" s="20"/>
      <c r="C203" s="20"/>
      <c r="D203" s="20"/>
      <c r="E203" s="20"/>
    </row>
    <row r="204">
      <c r="B204" s="20"/>
      <c r="C204" s="20"/>
      <c r="D204" s="20"/>
      <c r="E204" s="20"/>
    </row>
    <row r="205">
      <c r="B205" s="20"/>
      <c r="C205" s="20"/>
      <c r="D205" s="20"/>
      <c r="E205" s="20"/>
    </row>
    <row r="206">
      <c r="B206" s="20"/>
      <c r="C206" s="20"/>
      <c r="D206" s="20"/>
      <c r="E206" s="20"/>
    </row>
    <row r="207">
      <c r="B207" s="20"/>
      <c r="C207" s="20"/>
      <c r="D207" s="20"/>
      <c r="E207" s="20"/>
    </row>
    <row r="208">
      <c r="B208" s="20"/>
      <c r="C208" s="20"/>
      <c r="D208" s="20"/>
      <c r="E208" s="20"/>
    </row>
    <row r="209">
      <c r="B209" s="20"/>
      <c r="C209" s="20"/>
      <c r="D209" s="20"/>
      <c r="E209" s="20"/>
    </row>
    <row r="210">
      <c r="B210" s="20"/>
      <c r="C210" s="20"/>
      <c r="D210" s="20"/>
      <c r="E210" s="20"/>
    </row>
    <row r="211">
      <c r="B211" s="20"/>
      <c r="C211" s="20"/>
      <c r="D211" s="20"/>
      <c r="E211" s="20"/>
    </row>
    <row r="212">
      <c r="B212" s="20"/>
      <c r="C212" s="20"/>
      <c r="D212" s="20"/>
      <c r="E212" s="20"/>
    </row>
    <row r="213">
      <c r="B213" s="20"/>
      <c r="C213" s="20"/>
      <c r="D213" s="20"/>
      <c r="E213" s="20"/>
    </row>
    <row r="214">
      <c r="B214" s="20"/>
      <c r="C214" s="20"/>
      <c r="D214" s="20"/>
      <c r="E214" s="20"/>
    </row>
    <row r="215">
      <c r="B215" s="20"/>
      <c r="C215" s="20"/>
      <c r="D215" s="20"/>
      <c r="E215" s="20"/>
    </row>
    <row r="216">
      <c r="B216" s="20"/>
      <c r="C216" s="20"/>
      <c r="D216" s="20"/>
      <c r="E216" s="20"/>
    </row>
    <row r="217">
      <c r="B217" s="20"/>
      <c r="C217" s="20"/>
      <c r="D217" s="20"/>
      <c r="E217" s="20"/>
    </row>
    <row r="218">
      <c r="B218" s="20"/>
      <c r="C218" s="20"/>
      <c r="D218" s="20"/>
      <c r="E218" s="20"/>
    </row>
    <row r="219">
      <c r="B219" s="20"/>
      <c r="C219" s="20"/>
      <c r="D219" s="20"/>
      <c r="E219" s="20"/>
    </row>
    <row r="220">
      <c r="B220" s="20"/>
      <c r="C220" s="20"/>
      <c r="D220" s="20"/>
      <c r="E220" s="20"/>
    </row>
    <row r="221">
      <c r="B221" s="20"/>
      <c r="C221" s="20"/>
      <c r="D221" s="20"/>
      <c r="E221" s="20"/>
    </row>
    <row r="222">
      <c r="B222" s="20"/>
      <c r="C222" s="20"/>
      <c r="D222" s="20"/>
      <c r="E222" s="20"/>
    </row>
    <row r="223">
      <c r="B223" s="20"/>
      <c r="C223" s="20"/>
      <c r="D223" s="20"/>
      <c r="E223" s="20"/>
    </row>
    <row r="224">
      <c r="B224" s="20"/>
      <c r="C224" s="20"/>
      <c r="D224" s="20"/>
      <c r="E224" s="20"/>
    </row>
    <row r="225">
      <c r="B225" s="20"/>
      <c r="C225" s="20"/>
      <c r="D225" s="20"/>
      <c r="E225" s="20"/>
    </row>
    <row r="226">
      <c r="B226" s="20"/>
      <c r="C226" s="20"/>
      <c r="D226" s="20"/>
      <c r="E226" s="20"/>
    </row>
    <row r="227">
      <c r="B227" s="20"/>
      <c r="C227" s="20"/>
      <c r="D227" s="20"/>
      <c r="E227" s="20"/>
    </row>
    <row r="228">
      <c r="B228" s="20"/>
      <c r="C228" s="20"/>
      <c r="D228" s="20"/>
      <c r="E228" s="20"/>
    </row>
    <row r="229">
      <c r="B229" s="20"/>
      <c r="C229" s="20"/>
      <c r="D229" s="20"/>
      <c r="E229" s="20"/>
    </row>
    <row r="230">
      <c r="B230" s="20"/>
      <c r="C230" s="20"/>
      <c r="D230" s="20"/>
      <c r="E230" s="20"/>
    </row>
    <row r="231">
      <c r="B231" s="20"/>
      <c r="C231" s="20"/>
      <c r="D231" s="20"/>
      <c r="E231" s="20"/>
    </row>
    <row r="232">
      <c r="B232" s="20"/>
      <c r="C232" s="20"/>
      <c r="D232" s="20"/>
      <c r="E232" s="20"/>
    </row>
    <row r="233">
      <c r="B233" s="20"/>
      <c r="C233" s="20"/>
      <c r="D233" s="20"/>
      <c r="E233" s="20"/>
    </row>
    <row r="234">
      <c r="B234" s="20"/>
      <c r="C234" s="20"/>
      <c r="D234" s="20"/>
      <c r="E234" s="20"/>
    </row>
    <row r="235">
      <c r="B235" s="20"/>
      <c r="C235" s="20"/>
      <c r="D235" s="20"/>
      <c r="E235" s="20"/>
    </row>
    <row r="236">
      <c r="B236" s="20"/>
      <c r="C236" s="20"/>
      <c r="D236" s="20"/>
      <c r="E236" s="20"/>
    </row>
    <row r="237">
      <c r="B237" s="20"/>
      <c r="C237" s="20"/>
      <c r="D237" s="20"/>
      <c r="E237" s="20"/>
    </row>
    <row r="238">
      <c r="B238" s="20"/>
      <c r="C238" s="20"/>
      <c r="D238" s="20"/>
      <c r="E238" s="20"/>
    </row>
    <row r="239">
      <c r="B239" s="20"/>
      <c r="C239" s="20"/>
      <c r="D239" s="20"/>
      <c r="E239" s="20"/>
    </row>
    <row r="240">
      <c r="B240" s="20"/>
      <c r="C240" s="20"/>
      <c r="D240" s="20"/>
      <c r="E240" s="20"/>
    </row>
    <row r="241">
      <c r="B241" s="20"/>
      <c r="C241" s="20"/>
      <c r="D241" s="20"/>
      <c r="E241" s="20"/>
    </row>
    <row r="242">
      <c r="B242" s="20"/>
      <c r="C242" s="20"/>
      <c r="D242" s="20"/>
      <c r="E242" s="20"/>
    </row>
    <row r="243">
      <c r="B243" s="20"/>
      <c r="C243" s="20"/>
      <c r="D243" s="20"/>
      <c r="E243" s="20"/>
    </row>
    <row r="244">
      <c r="B244" s="20"/>
      <c r="C244" s="20"/>
      <c r="D244" s="20"/>
      <c r="E244" s="20"/>
    </row>
    <row r="245">
      <c r="B245" s="20"/>
      <c r="C245" s="20"/>
      <c r="D245" s="20"/>
      <c r="E245" s="20"/>
    </row>
    <row r="246">
      <c r="B246" s="20"/>
      <c r="C246" s="20"/>
      <c r="D246" s="20"/>
      <c r="E246" s="20"/>
    </row>
    <row r="247">
      <c r="B247" s="20"/>
      <c r="C247" s="20"/>
      <c r="D247" s="20"/>
      <c r="E247" s="20"/>
    </row>
    <row r="248">
      <c r="B248" s="20"/>
      <c r="C248" s="20"/>
      <c r="D248" s="20"/>
      <c r="E248" s="20"/>
    </row>
    <row r="249">
      <c r="B249" s="20"/>
      <c r="C249" s="20"/>
      <c r="D249" s="20"/>
      <c r="E249" s="20"/>
    </row>
    <row r="250">
      <c r="B250" s="20"/>
      <c r="C250" s="20"/>
      <c r="D250" s="20"/>
      <c r="E250" s="20"/>
    </row>
    <row r="251">
      <c r="B251" s="20"/>
      <c r="C251" s="20"/>
      <c r="D251" s="20"/>
      <c r="E251" s="20"/>
    </row>
    <row r="252">
      <c r="B252" s="20"/>
      <c r="C252" s="20"/>
      <c r="D252" s="20"/>
      <c r="E252" s="20"/>
    </row>
    <row r="253">
      <c r="B253" s="20"/>
      <c r="C253" s="20"/>
      <c r="D253" s="20"/>
      <c r="E253" s="20"/>
    </row>
    <row r="254">
      <c r="B254" s="20"/>
      <c r="C254" s="20"/>
      <c r="D254" s="20"/>
      <c r="E254" s="20"/>
    </row>
    <row r="255">
      <c r="B255" s="20"/>
      <c r="C255" s="20"/>
      <c r="D255" s="20"/>
      <c r="E255" s="20"/>
    </row>
    <row r="256">
      <c r="B256" s="20"/>
      <c r="C256" s="20"/>
      <c r="D256" s="20"/>
      <c r="E256" s="20"/>
    </row>
    <row r="257">
      <c r="B257" s="20"/>
      <c r="C257" s="20"/>
      <c r="D257" s="20"/>
      <c r="E257" s="20"/>
    </row>
    <row r="258">
      <c r="B258" s="20"/>
      <c r="C258" s="20"/>
      <c r="D258" s="20"/>
      <c r="E258" s="20"/>
    </row>
    <row r="259">
      <c r="B259" s="20"/>
      <c r="C259" s="20"/>
      <c r="D259" s="20"/>
      <c r="E259" s="20"/>
    </row>
    <row r="260">
      <c r="B260" s="20"/>
      <c r="C260" s="20"/>
      <c r="D260" s="20"/>
      <c r="E260" s="20"/>
    </row>
    <row r="261">
      <c r="B261" s="20"/>
      <c r="C261" s="20"/>
      <c r="D261" s="20"/>
      <c r="E261" s="20"/>
    </row>
    <row r="262">
      <c r="B262" s="20"/>
      <c r="C262" s="20"/>
      <c r="D262" s="20"/>
      <c r="E262" s="20"/>
    </row>
    <row r="263">
      <c r="B263" s="20"/>
      <c r="C263" s="20"/>
      <c r="D263" s="20"/>
      <c r="E263" s="20"/>
    </row>
    <row r="264">
      <c r="B264" s="20"/>
      <c r="C264" s="20"/>
      <c r="D264" s="20"/>
      <c r="E264" s="20"/>
    </row>
    <row r="265">
      <c r="B265" s="20"/>
      <c r="C265" s="20"/>
      <c r="D265" s="20"/>
      <c r="E265" s="20"/>
    </row>
    <row r="266">
      <c r="B266" s="20"/>
      <c r="C266" s="20"/>
      <c r="D266" s="20"/>
      <c r="E266" s="20"/>
    </row>
    <row r="267">
      <c r="B267" s="20"/>
      <c r="C267" s="20"/>
      <c r="D267" s="20"/>
      <c r="E267" s="20"/>
    </row>
    <row r="268">
      <c r="B268" s="20"/>
      <c r="C268" s="20"/>
      <c r="D268" s="20"/>
      <c r="E268" s="20"/>
    </row>
    <row r="269">
      <c r="B269" s="20"/>
      <c r="C269" s="20"/>
      <c r="D269" s="20"/>
      <c r="E269" s="20"/>
    </row>
    <row r="270">
      <c r="B270" s="20"/>
      <c r="C270" s="20"/>
      <c r="D270" s="20"/>
      <c r="E270" s="20"/>
    </row>
    <row r="271">
      <c r="B271" s="20"/>
      <c r="C271" s="20"/>
      <c r="D271" s="20"/>
      <c r="E271" s="20"/>
    </row>
    <row r="272">
      <c r="B272" s="20"/>
      <c r="C272" s="20"/>
      <c r="D272" s="20"/>
      <c r="E272" s="20"/>
    </row>
    <row r="273">
      <c r="B273" s="20"/>
      <c r="C273" s="20"/>
      <c r="D273" s="20"/>
      <c r="E273" s="20"/>
    </row>
    <row r="274">
      <c r="B274" s="20"/>
      <c r="C274" s="20"/>
      <c r="D274" s="20"/>
      <c r="E274" s="20"/>
    </row>
    <row r="275">
      <c r="B275" s="20"/>
      <c r="C275" s="20"/>
      <c r="D275" s="20"/>
      <c r="E275" s="20"/>
    </row>
    <row r="276">
      <c r="B276" s="20"/>
      <c r="C276" s="20"/>
      <c r="D276" s="20"/>
      <c r="E276" s="20"/>
    </row>
    <row r="277">
      <c r="B277" s="20"/>
      <c r="C277" s="20"/>
      <c r="D277" s="20"/>
      <c r="E277" s="20"/>
    </row>
    <row r="278">
      <c r="B278" s="20"/>
      <c r="C278" s="20"/>
      <c r="D278" s="20"/>
      <c r="E278" s="20"/>
    </row>
    <row r="279">
      <c r="B279" s="20"/>
      <c r="C279" s="20"/>
      <c r="D279" s="20"/>
      <c r="E279" s="20"/>
    </row>
    <row r="280">
      <c r="B280" s="20"/>
      <c r="C280" s="20"/>
      <c r="D280" s="20"/>
      <c r="E280" s="20"/>
    </row>
    <row r="281">
      <c r="B281" s="20"/>
      <c r="C281" s="20"/>
      <c r="D281" s="20"/>
      <c r="E281" s="20"/>
    </row>
    <row r="282">
      <c r="B282" s="20"/>
      <c r="C282" s="20"/>
      <c r="D282" s="20"/>
      <c r="E282" s="20"/>
    </row>
    <row r="283">
      <c r="B283" s="20"/>
      <c r="C283" s="20"/>
      <c r="D283" s="20"/>
      <c r="E283" s="20"/>
    </row>
    <row r="284">
      <c r="B284" s="20"/>
      <c r="C284" s="20"/>
      <c r="D284" s="20"/>
      <c r="E284" s="20"/>
    </row>
    <row r="285">
      <c r="B285" s="20"/>
      <c r="C285" s="20"/>
      <c r="D285" s="20"/>
      <c r="E285" s="20"/>
    </row>
    <row r="286">
      <c r="B286" s="20"/>
      <c r="C286" s="20"/>
      <c r="D286" s="20"/>
      <c r="E286" s="20"/>
    </row>
    <row r="287">
      <c r="B287" s="20"/>
      <c r="C287" s="20"/>
      <c r="D287" s="20"/>
      <c r="E287" s="20"/>
    </row>
    <row r="288">
      <c r="B288" s="20"/>
      <c r="C288" s="20"/>
      <c r="D288" s="20"/>
      <c r="E288" s="20"/>
    </row>
    <row r="289">
      <c r="B289" s="20"/>
      <c r="C289" s="20"/>
      <c r="D289" s="20"/>
      <c r="E289" s="20"/>
    </row>
    <row r="290">
      <c r="B290" s="20"/>
      <c r="C290" s="20"/>
      <c r="D290" s="20"/>
      <c r="E290" s="20"/>
    </row>
    <row r="291">
      <c r="B291" s="20"/>
      <c r="C291" s="20"/>
      <c r="D291" s="20"/>
      <c r="E291" s="20"/>
    </row>
    <row r="292">
      <c r="B292" s="20"/>
      <c r="C292" s="20"/>
      <c r="D292" s="20"/>
      <c r="E292" s="20"/>
    </row>
    <row r="293">
      <c r="B293" s="20"/>
      <c r="C293" s="20"/>
      <c r="D293" s="20"/>
      <c r="E293" s="20"/>
    </row>
    <row r="294">
      <c r="B294" s="20"/>
      <c r="C294" s="20"/>
      <c r="D294" s="20"/>
      <c r="E294" s="20"/>
    </row>
    <row r="295">
      <c r="B295" s="20"/>
      <c r="C295" s="20"/>
      <c r="D295" s="20"/>
      <c r="E295" s="20"/>
    </row>
    <row r="296">
      <c r="B296" s="20"/>
      <c r="C296" s="20"/>
      <c r="D296" s="20"/>
      <c r="E296" s="20"/>
    </row>
    <row r="297">
      <c r="B297" s="20"/>
      <c r="C297" s="20"/>
      <c r="D297" s="20"/>
      <c r="E297" s="20"/>
    </row>
    <row r="298">
      <c r="B298" s="20"/>
      <c r="C298" s="20"/>
      <c r="D298" s="20"/>
      <c r="E298" s="20"/>
    </row>
    <row r="299">
      <c r="B299" s="20"/>
      <c r="C299" s="20"/>
      <c r="D299" s="20"/>
      <c r="E299" s="20"/>
    </row>
    <row r="300">
      <c r="B300" s="20"/>
      <c r="C300" s="20"/>
      <c r="D300" s="20"/>
      <c r="E300" s="20"/>
    </row>
    <row r="301">
      <c r="B301" s="20"/>
      <c r="C301" s="20"/>
      <c r="D301" s="20"/>
      <c r="E301" s="20"/>
    </row>
    <row r="302">
      <c r="B302" s="20"/>
      <c r="C302" s="20"/>
      <c r="D302" s="20"/>
      <c r="E302" s="20"/>
    </row>
    <row r="303">
      <c r="B303" s="20"/>
      <c r="C303" s="20"/>
      <c r="D303" s="20"/>
      <c r="E303" s="20"/>
    </row>
    <row r="304">
      <c r="B304" s="20"/>
      <c r="C304" s="20"/>
      <c r="D304" s="20"/>
      <c r="E304" s="20"/>
    </row>
    <row r="305">
      <c r="B305" s="20"/>
      <c r="C305" s="20"/>
      <c r="D305" s="20"/>
      <c r="E305" s="20"/>
    </row>
    <row r="306">
      <c r="B306" s="20"/>
      <c r="C306" s="20"/>
      <c r="D306" s="20"/>
      <c r="E306" s="20"/>
    </row>
    <row r="307">
      <c r="B307" s="20"/>
      <c r="C307" s="20"/>
      <c r="D307" s="20"/>
      <c r="E307" s="20"/>
    </row>
    <row r="308">
      <c r="B308" s="20"/>
      <c r="C308" s="20"/>
      <c r="D308" s="20"/>
      <c r="E308" s="20"/>
    </row>
    <row r="309">
      <c r="B309" s="20"/>
      <c r="C309" s="20"/>
      <c r="D309" s="20"/>
      <c r="E309" s="20"/>
    </row>
    <row r="310">
      <c r="B310" s="20"/>
      <c r="C310" s="20"/>
      <c r="D310" s="20"/>
      <c r="E310" s="20"/>
    </row>
    <row r="311">
      <c r="B311" s="20"/>
      <c r="C311" s="20"/>
      <c r="D311" s="20"/>
      <c r="E311" s="20"/>
    </row>
    <row r="312">
      <c r="B312" s="20"/>
      <c r="C312" s="20"/>
      <c r="D312" s="20"/>
      <c r="E312" s="20"/>
    </row>
    <row r="313">
      <c r="B313" s="20"/>
      <c r="C313" s="20"/>
      <c r="D313" s="20"/>
      <c r="E313" s="20"/>
    </row>
    <row r="314">
      <c r="B314" s="20"/>
      <c r="C314" s="20"/>
      <c r="D314" s="20"/>
      <c r="E314" s="20"/>
    </row>
    <row r="315">
      <c r="B315" s="20"/>
      <c r="C315" s="20"/>
      <c r="D315" s="20"/>
      <c r="E315" s="20"/>
    </row>
    <row r="316">
      <c r="B316" s="20"/>
      <c r="C316" s="20"/>
      <c r="D316" s="20"/>
      <c r="E316" s="20"/>
    </row>
    <row r="317">
      <c r="B317" s="20"/>
      <c r="C317" s="20"/>
      <c r="D317" s="20"/>
      <c r="E317" s="20"/>
    </row>
    <row r="318">
      <c r="B318" s="20"/>
      <c r="C318" s="20"/>
      <c r="D318" s="20"/>
      <c r="E318" s="20"/>
    </row>
    <row r="319">
      <c r="B319" s="20"/>
      <c r="C319" s="20"/>
      <c r="D319" s="20"/>
      <c r="E319" s="20"/>
    </row>
    <row r="320">
      <c r="B320" s="20"/>
      <c r="C320" s="20"/>
      <c r="D320" s="20"/>
      <c r="E320" s="20"/>
    </row>
    <row r="321">
      <c r="B321" s="20"/>
      <c r="C321" s="20"/>
      <c r="D321" s="20"/>
      <c r="E321" s="20"/>
    </row>
    <row r="322">
      <c r="B322" s="20"/>
      <c r="C322" s="20"/>
      <c r="D322" s="20"/>
      <c r="E322" s="20"/>
    </row>
    <row r="323">
      <c r="B323" s="20"/>
      <c r="C323" s="20"/>
      <c r="D323" s="20"/>
      <c r="E323" s="20"/>
    </row>
    <row r="324">
      <c r="B324" s="20"/>
      <c r="C324" s="20"/>
      <c r="D324" s="20"/>
      <c r="E324" s="20"/>
    </row>
    <row r="325">
      <c r="B325" s="20"/>
      <c r="C325" s="20"/>
      <c r="D325" s="20"/>
      <c r="E325" s="20"/>
    </row>
    <row r="326">
      <c r="B326" s="20"/>
      <c r="C326" s="20"/>
      <c r="D326" s="20"/>
      <c r="E326" s="20"/>
    </row>
    <row r="327">
      <c r="B327" s="20"/>
      <c r="C327" s="20"/>
      <c r="D327" s="20"/>
      <c r="E327" s="20"/>
    </row>
    <row r="328">
      <c r="B328" s="20"/>
      <c r="C328" s="20"/>
      <c r="D328" s="20"/>
      <c r="E328" s="20"/>
    </row>
    <row r="329">
      <c r="B329" s="20"/>
      <c r="C329" s="20"/>
      <c r="D329" s="20"/>
      <c r="E329" s="20"/>
    </row>
    <row r="330">
      <c r="B330" s="20"/>
      <c r="C330" s="20"/>
      <c r="D330" s="20"/>
      <c r="E330" s="20"/>
    </row>
    <row r="331">
      <c r="B331" s="20"/>
      <c r="C331" s="20"/>
      <c r="D331" s="20"/>
      <c r="E331" s="20"/>
    </row>
    <row r="332">
      <c r="B332" s="20"/>
      <c r="C332" s="20"/>
      <c r="D332" s="20"/>
      <c r="E332" s="20"/>
    </row>
    <row r="333">
      <c r="B333" s="20"/>
      <c r="C333" s="20"/>
      <c r="D333" s="20"/>
      <c r="E333" s="20"/>
    </row>
    <row r="334">
      <c r="B334" s="20"/>
      <c r="C334" s="20"/>
      <c r="D334" s="20"/>
      <c r="E334" s="20"/>
    </row>
    <row r="335">
      <c r="B335" s="20"/>
      <c r="C335" s="20"/>
      <c r="D335" s="20"/>
      <c r="E335" s="20"/>
    </row>
    <row r="336">
      <c r="B336" s="20"/>
      <c r="C336" s="20"/>
      <c r="D336" s="20"/>
      <c r="E336" s="20"/>
    </row>
    <row r="337">
      <c r="B337" s="20"/>
      <c r="C337" s="20"/>
      <c r="D337" s="20"/>
      <c r="E337" s="20"/>
    </row>
    <row r="338">
      <c r="B338" s="20"/>
      <c r="C338" s="20"/>
      <c r="D338" s="20"/>
      <c r="E338" s="20"/>
    </row>
    <row r="339">
      <c r="B339" s="20"/>
      <c r="C339" s="20"/>
      <c r="D339" s="20"/>
      <c r="E339" s="20"/>
    </row>
    <row r="340">
      <c r="B340" s="20"/>
      <c r="C340" s="20"/>
      <c r="D340" s="20"/>
      <c r="E340" s="20"/>
    </row>
    <row r="341">
      <c r="B341" s="20"/>
      <c r="C341" s="20"/>
      <c r="D341" s="20"/>
      <c r="E341" s="20"/>
    </row>
    <row r="342">
      <c r="B342" s="20"/>
      <c r="C342" s="20"/>
      <c r="D342" s="20"/>
      <c r="E342" s="20"/>
    </row>
    <row r="343">
      <c r="B343" s="20"/>
      <c r="C343" s="20"/>
      <c r="D343" s="20"/>
      <c r="E343" s="20"/>
    </row>
    <row r="344">
      <c r="B344" s="20"/>
      <c r="C344" s="20"/>
      <c r="D344" s="20"/>
      <c r="E344" s="20"/>
    </row>
    <row r="345">
      <c r="B345" s="20"/>
      <c r="C345" s="20"/>
      <c r="D345" s="20"/>
      <c r="E345" s="20"/>
    </row>
    <row r="346">
      <c r="B346" s="20"/>
      <c r="C346" s="20"/>
      <c r="D346" s="20"/>
      <c r="E346" s="20"/>
    </row>
    <row r="347">
      <c r="B347" s="20"/>
      <c r="C347" s="20"/>
      <c r="D347" s="20"/>
      <c r="E347" s="20"/>
    </row>
    <row r="348">
      <c r="B348" s="20"/>
      <c r="C348" s="20"/>
      <c r="D348" s="20"/>
      <c r="E348" s="20"/>
    </row>
    <row r="349">
      <c r="B349" s="20"/>
      <c r="C349" s="20"/>
      <c r="D349" s="20"/>
      <c r="E349" s="20"/>
    </row>
    <row r="350">
      <c r="B350" s="20"/>
      <c r="C350" s="20"/>
      <c r="D350" s="20"/>
      <c r="E350" s="20"/>
    </row>
    <row r="351">
      <c r="B351" s="20"/>
      <c r="C351" s="20"/>
      <c r="D351" s="20"/>
      <c r="E351" s="20"/>
    </row>
    <row r="352">
      <c r="B352" s="20"/>
      <c r="C352" s="20"/>
      <c r="D352" s="20"/>
      <c r="E352" s="20"/>
    </row>
    <row r="353">
      <c r="B353" s="20"/>
      <c r="C353" s="20"/>
      <c r="D353" s="20"/>
      <c r="E353" s="20"/>
    </row>
    <row r="354">
      <c r="B354" s="20"/>
      <c r="C354" s="20"/>
      <c r="D354" s="20"/>
      <c r="E354" s="20"/>
    </row>
    <row r="355">
      <c r="B355" s="20"/>
      <c r="C355" s="20"/>
      <c r="D355" s="20"/>
      <c r="E355" s="20"/>
    </row>
    <row r="356">
      <c r="B356" s="20"/>
      <c r="C356" s="20"/>
      <c r="D356" s="20"/>
      <c r="E356" s="20"/>
    </row>
    <row r="357">
      <c r="B357" s="20"/>
      <c r="C357" s="20"/>
      <c r="D357" s="20"/>
      <c r="E357" s="20"/>
    </row>
    <row r="358">
      <c r="B358" s="20"/>
      <c r="C358" s="20"/>
      <c r="D358" s="20"/>
      <c r="E358" s="20"/>
    </row>
    <row r="359">
      <c r="B359" s="20"/>
      <c r="C359" s="20"/>
      <c r="D359" s="20"/>
      <c r="E359" s="20"/>
    </row>
    <row r="360">
      <c r="B360" s="20"/>
      <c r="C360" s="20"/>
      <c r="D360" s="20"/>
      <c r="E360" s="20"/>
    </row>
    <row r="361">
      <c r="B361" s="20"/>
      <c r="C361" s="20"/>
      <c r="D361" s="20"/>
      <c r="E361" s="20"/>
    </row>
    <row r="362">
      <c r="B362" s="20"/>
      <c r="C362" s="20"/>
      <c r="D362" s="20"/>
      <c r="E362" s="20"/>
    </row>
    <row r="363">
      <c r="B363" s="20"/>
      <c r="C363" s="20"/>
      <c r="D363" s="20"/>
      <c r="E363" s="20"/>
    </row>
    <row r="364">
      <c r="B364" s="20"/>
      <c r="C364" s="20"/>
      <c r="D364" s="20"/>
      <c r="E364" s="20"/>
    </row>
    <row r="365">
      <c r="B365" s="20"/>
      <c r="C365" s="20"/>
      <c r="D365" s="20"/>
      <c r="E365" s="20"/>
    </row>
    <row r="366">
      <c r="B366" s="20"/>
      <c r="C366" s="20"/>
      <c r="D366" s="20"/>
      <c r="E366" s="20"/>
    </row>
    <row r="367">
      <c r="B367" s="20"/>
      <c r="C367" s="20"/>
      <c r="D367" s="20"/>
      <c r="E367" s="20"/>
    </row>
    <row r="368">
      <c r="B368" s="20"/>
      <c r="C368" s="20"/>
      <c r="D368" s="20"/>
      <c r="E368" s="20"/>
    </row>
    <row r="369">
      <c r="B369" s="20"/>
      <c r="C369" s="20"/>
      <c r="D369" s="20"/>
      <c r="E369" s="20"/>
    </row>
    <row r="370">
      <c r="B370" s="20"/>
      <c r="C370" s="20"/>
      <c r="D370" s="20"/>
      <c r="E370" s="20"/>
    </row>
    <row r="371">
      <c r="B371" s="20"/>
      <c r="C371" s="20"/>
      <c r="D371" s="20"/>
      <c r="E371" s="20"/>
    </row>
    <row r="372">
      <c r="B372" s="20"/>
      <c r="C372" s="20"/>
      <c r="D372" s="20"/>
      <c r="E372" s="20"/>
    </row>
    <row r="373">
      <c r="B373" s="20"/>
      <c r="C373" s="20"/>
      <c r="D373" s="20"/>
      <c r="E373" s="20"/>
    </row>
    <row r="374">
      <c r="B374" s="20"/>
      <c r="C374" s="20"/>
      <c r="D374" s="20"/>
      <c r="E374" s="20"/>
    </row>
    <row r="375">
      <c r="B375" s="20"/>
      <c r="C375" s="20"/>
      <c r="D375" s="20"/>
      <c r="E375" s="20"/>
    </row>
    <row r="376">
      <c r="B376" s="20"/>
      <c r="C376" s="20"/>
      <c r="D376" s="20"/>
      <c r="E376" s="20"/>
    </row>
    <row r="377">
      <c r="B377" s="20"/>
      <c r="C377" s="20"/>
      <c r="D377" s="20"/>
      <c r="E377" s="20"/>
    </row>
    <row r="378">
      <c r="B378" s="20"/>
      <c r="C378" s="20"/>
      <c r="D378" s="20"/>
      <c r="E378" s="20"/>
    </row>
    <row r="379">
      <c r="B379" s="20"/>
      <c r="C379" s="20"/>
      <c r="D379" s="20"/>
      <c r="E379" s="20"/>
    </row>
    <row r="380">
      <c r="B380" s="20"/>
      <c r="C380" s="20"/>
      <c r="D380" s="20"/>
      <c r="E380" s="20"/>
    </row>
    <row r="381">
      <c r="B381" s="20"/>
      <c r="C381" s="20"/>
      <c r="D381" s="20"/>
      <c r="E381" s="20"/>
    </row>
    <row r="382">
      <c r="B382" s="20"/>
      <c r="C382" s="20"/>
      <c r="D382" s="20"/>
      <c r="E382" s="20"/>
    </row>
    <row r="383">
      <c r="B383" s="20"/>
      <c r="C383" s="20"/>
      <c r="D383" s="20"/>
      <c r="E383" s="20"/>
    </row>
    <row r="384">
      <c r="B384" s="20"/>
      <c r="C384" s="20"/>
      <c r="D384" s="20"/>
      <c r="E384" s="20"/>
    </row>
    <row r="385">
      <c r="B385" s="20"/>
      <c r="C385" s="20"/>
      <c r="D385" s="20"/>
      <c r="E385" s="20"/>
    </row>
    <row r="386">
      <c r="B386" s="20"/>
      <c r="C386" s="20"/>
      <c r="D386" s="20"/>
      <c r="E386" s="20"/>
    </row>
    <row r="387">
      <c r="B387" s="20"/>
      <c r="C387" s="20"/>
      <c r="D387" s="20"/>
      <c r="E387" s="20"/>
    </row>
    <row r="388">
      <c r="B388" s="20"/>
      <c r="C388" s="20"/>
      <c r="D388" s="20"/>
      <c r="E388" s="20"/>
    </row>
    <row r="389">
      <c r="B389" s="20"/>
      <c r="C389" s="20"/>
      <c r="D389" s="20"/>
      <c r="E389" s="20"/>
    </row>
    <row r="390">
      <c r="B390" s="20"/>
      <c r="C390" s="20"/>
      <c r="D390" s="20"/>
      <c r="E390" s="20"/>
    </row>
    <row r="391">
      <c r="B391" s="20"/>
      <c r="C391" s="20"/>
      <c r="D391" s="20"/>
      <c r="E391" s="20"/>
    </row>
    <row r="392">
      <c r="B392" s="20"/>
      <c r="C392" s="20"/>
      <c r="D392" s="20"/>
      <c r="E392" s="20"/>
    </row>
    <row r="393">
      <c r="B393" s="20"/>
      <c r="C393" s="20"/>
      <c r="D393" s="20"/>
      <c r="E393" s="20"/>
    </row>
    <row r="394">
      <c r="B394" s="20"/>
      <c r="C394" s="20"/>
      <c r="D394" s="20"/>
      <c r="E394" s="20"/>
    </row>
    <row r="395">
      <c r="B395" s="20"/>
      <c r="C395" s="20"/>
      <c r="D395" s="20"/>
      <c r="E395" s="20"/>
    </row>
    <row r="396">
      <c r="B396" s="20"/>
      <c r="C396" s="20"/>
      <c r="D396" s="20"/>
      <c r="E396" s="20"/>
    </row>
    <row r="397">
      <c r="B397" s="20"/>
      <c r="C397" s="20"/>
      <c r="D397" s="20"/>
      <c r="E397" s="20"/>
    </row>
    <row r="398">
      <c r="B398" s="20"/>
      <c r="C398" s="20"/>
      <c r="D398" s="20"/>
      <c r="E398" s="20"/>
    </row>
    <row r="399">
      <c r="B399" s="20"/>
      <c r="C399" s="20"/>
      <c r="D399" s="20"/>
      <c r="E399" s="20"/>
    </row>
    <row r="400">
      <c r="B400" s="20"/>
      <c r="C400" s="20"/>
      <c r="D400" s="20"/>
      <c r="E400" s="20"/>
    </row>
    <row r="401">
      <c r="B401" s="20"/>
      <c r="C401" s="20"/>
      <c r="D401" s="20"/>
      <c r="E401" s="20"/>
    </row>
    <row r="402">
      <c r="B402" s="20"/>
      <c r="C402" s="20"/>
      <c r="D402" s="20"/>
      <c r="E402" s="20"/>
    </row>
    <row r="403">
      <c r="B403" s="20"/>
      <c r="C403" s="20"/>
      <c r="D403" s="20"/>
      <c r="E403" s="20"/>
    </row>
    <row r="404">
      <c r="B404" s="20"/>
      <c r="C404" s="20"/>
      <c r="D404" s="20"/>
      <c r="E404" s="20"/>
    </row>
    <row r="405">
      <c r="B405" s="20"/>
      <c r="C405" s="20"/>
      <c r="D405" s="20"/>
      <c r="E405" s="20"/>
    </row>
    <row r="406">
      <c r="B406" s="20"/>
      <c r="C406" s="20"/>
      <c r="D406" s="20"/>
      <c r="E406" s="20"/>
    </row>
    <row r="407">
      <c r="B407" s="20"/>
      <c r="C407" s="20"/>
      <c r="D407" s="20"/>
      <c r="E407" s="20"/>
    </row>
    <row r="408">
      <c r="B408" s="20"/>
      <c r="C408" s="20"/>
      <c r="D408" s="20"/>
      <c r="E408" s="20"/>
    </row>
    <row r="409">
      <c r="B409" s="20"/>
      <c r="C409" s="20"/>
      <c r="D409" s="20"/>
      <c r="E409" s="20"/>
    </row>
    <row r="410">
      <c r="B410" s="20"/>
      <c r="C410" s="20"/>
      <c r="D410" s="20"/>
      <c r="E410" s="20"/>
    </row>
    <row r="411">
      <c r="B411" s="20"/>
      <c r="C411" s="20"/>
      <c r="D411" s="20"/>
      <c r="E411" s="20"/>
    </row>
    <row r="412">
      <c r="B412" s="20"/>
      <c r="C412" s="20"/>
      <c r="D412" s="20"/>
      <c r="E412" s="20"/>
    </row>
    <row r="413">
      <c r="B413" s="20"/>
      <c r="C413" s="20"/>
      <c r="D413" s="20"/>
      <c r="E413" s="20"/>
    </row>
    <row r="414">
      <c r="B414" s="20"/>
      <c r="C414" s="20"/>
      <c r="D414" s="20"/>
      <c r="E414" s="20"/>
    </row>
    <row r="415">
      <c r="B415" s="20"/>
      <c r="C415" s="20"/>
      <c r="D415" s="20"/>
      <c r="E415" s="20"/>
    </row>
    <row r="416">
      <c r="B416" s="20"/>
      <c r="C416" s="20"/>
      <c r="D416" s="20"/>
      <c r="E416" s="20"/>
    </row>
    <row r="417">
      <c r="B417" s="20"/>
      <c r="C417" s="20"/>
      <c r="D417" s="20"/>
      <c r="E417" s="20"/>
    </row>
    <row r="418">
      <c r="B418" s="20"/>
      <c r="C418" s="20"/>
      <c r="D418" s="20"/>
      <c r="E418" s="20"/>
    </row>
    <row r="419">
      <c r="B419" s="20"/>
      <c r="C419" s="20"/>
      <c r="D419" s="20"/>
      <c r="E419" s="20"/>
    </row>
    <row r="420">
      <c r="B420" s="20"/>
      <c r="C420" s="20"/>
      <c r="D420" s="20"/>
      <c r="E420" s="20"/>
    </row>
    <row r="421">
      <c r="B421" s="20"/>
      <c r="C421" s="20"/>
      <c r="D421" s="20"/>
      <c r="E421" s="20"/>
    </row>
    <row r="422">
      <c r="B422" s="20"/>
      <c r="C422" s="20"/>
      <c r="D422" s="20"/>
      <c r="E422" s="20"/>
    </row>
    <row r="423">
      <c r="B423" s="20"/>
      <c r="C423" s="20"/>
      <c r="D423" s="20"/>
      <c r="E423" s="20"/>
    </row>
    <row r="424">
      <c r="B424" s="20"/>
      <c r="C424" s="20"/>
      <c r="D424" s="20"/>
      <c r="E424" s="20"/>
    </row>
    <row r="425">
      <c r="B425" s="20"/>
      <c r="C425" s="20"/>
      <c r="D425" s="20"/>
      <c r="E425" s="20"/>
    </row>
    <row r="426">
      <c r="B426" s="20"/>
      <c r="C426" s="20"/>
      <c r="D426" s="20"/>
      <c r="E426" s="20"/>
    </row>
    <row r="427">
      <c r="B427" s="20"/>
      <c r="C427" s="20"/>
      <c r="D427" s="20"/>
      <c r="E427" s="20"/>
    </row>
    <row r="428">
      <c r="B428" s="20"/>
      <c r="C428" s="20"/>
      <c r="D428" s="20"/>
      <c r="E428" s="20"/>
    </row>
    <row r="429">
      <c r="B429" s="20"/>
      <c r="C429" s="20"/>
      <c r="D429" s="20"/>
      <c r="E429" s="20"/>
    </row>
    <row r="430">
      <c r="B430" s="20"/>
      <c r="C430" s="20"/>
      <c r="D430" s="20"/>
      <c r="E430" s="20"/>
    </row>
    <row r="431">
      <c r="B431" s="20"/>
      <c r="C431" s="20"/>
      <c r="D431" s="20"/>
      <c r="E431" s="20"/>
    </row>
    <row r="432">
      <c r="B432" s="20"/>
      <c r="C432" s="20"/>
      <c r="D432" s="20"/>
      <c r="E432" s="20"/>
    </row>
    <row r="433">
      <c r="B433" s="20"/>
      <c r="C433" s="20"/>
      <c r="D433" s="20"/>
      <c r="E433" s="20"/>
    </row>
    <row r="434">
      <c r="B434" s="20"/>
      <c r="C434" s="20"/>
      <c r="D434" s="20"/>
      <c r="E434" s="20"/>
    </row>
    <row r="435">
      <c r="B435" s="20"/>
      <c r="C435" s="20"/>
      <c r="D435" s="20"/>
      <c r="E435" s="20"/>
    </row>
    <row r="436">
      <c r="B436" s="20"/>
      <c r="C436" s="20"/>
      <c r="D436" s="20"/>
      <c r="E436" s="20"/>
    </row>
    <row r="437">
      <c r="B437" s="20"/>
      <c r="C437" s="20"/>
      <c r="D437" s="20"/>
      <c r="E437" s="20"/>
    </row>
    <row r="438">
      <c r="B438" s="20"/>
      <c r="C438" s="20"/>
      <c r="D438" s="20"/>
      <c r="E438" s="20"/>
    </row>
    <row r="439">
      <c r="B439" s="20"/>
      <c r="C439" s="20"/>
      <c r="D439" s="20"/>
      <c r="E439" s="20"/>
    </row>
    <row r="440">
      <c r="B440" s="20"/>
      <c r="C440" s="20"/>
      <c r="D440" s="20"/>
      <c r="E440" s="20"/>
    </row>
    <row r="441">
      <c r="B441" s="20"/>
      <c r="C441" s="20"/>
      <c r="D441" s="20"/>
      <c r="E441" s="20"/>
    </row>
    <row r="442">
      <c r="B442" s="20"/>
      <c r="C442" s="20"/>
      <c r="D442" s="20"/>
      <c r="E442" s="20"/>
    </row>
    <row r="443">
      <c r="B443" s="20"/>
      <c r="C443" s="20"/>
      <c r="D443" s="20"/>
      <c r="E443" s="20"/>
    </row>
    <row r="444">
      <c r="B444" s="20"/>
      <c r="C444" s="20"/>
      <c r="D444" s="20"/>
      <c r="E444" s="20"/>
    </row>
    <row r="445">
      <c r="B445" s="20"/>
      <c r="C445" s="20"/>
      <c r="D445" s="20"/>
      <c r="E445" s="20"/>
    </row>
    <row r="446">
      <c r="B446" s="20"/>
      <c r="C446" s="20"/>
      <c r="D446" s="20"/>
      <c r="E446" s="20"/>
    </row>
    <row r="447">
      <c r="B447" s="20"/>
      <c r="C447" s="20"/>
      <c r="D447" s="20"/>
      <c r="E447" s="20"/>
    </row>
    <row r="448">
      <c r="B448" s="20"/>
      <c r="C448" s="20"/>
      <c r="D448" s="20"/>
      <c r="E448" s="20"/>
    </row>
    <row r="449">
      <c r="B449" s="20"/>
      <c r="C449" s="20"/>
      <c r="D449" s="20"/>
      <c r="E449" s="20"/>
    </row>
    <row r="450">
      <c r="B450" s="20"/>
      <c r="C450" s="20"/>
      <c r="D450" s="20"/>
      <c r="E450" s="20"/>
    </row>
    <row r="451">
      <c r="B451" s="20"/>
      <c r="C451" s="20"/>
      <c r="D451" s="20"/>
      <c r="E451" s="20"/>
    </row>
    <row r="452">
      <c r="B452" s="20"/>
      <c r="C452" s="20"/>
      <c r="D452" s="20"/>
      <c r="E452" s="20"/>
    </row>
    <row r="453">
      <c r="B453" s="20"/>
      <c r="C453" s="20"/>
      <c r="D453" s="20"/>
      <c r="E453" s="20"/>
    </row>
    <row r="454">
      <c r="B454" s="20"/>
      <c r="C454" s="20"/>
      <c r="D454" s="20"/>
      <c r="E454" s="20"/>
    </row>
    <row r="455">
      <c r="B455" s="20"/>
      <c r="C455" s="20"/>
      <c r="D455" s="20"/>
      <c r="E455" s="20"/>
    </row>
    <row r="456">
      <c r="B456" s="20"/>
      <c r="C456" s="20"/>
      <c r="D456" s="20"/>
      <c r="E456" s="20"/>
    </row>
    <row r="457">
      <c r="B457" s="20"/>
      <c r="C457" s="20"/>
      <c r="D457" s="20"/>
      <c r="E457" s="20"/>
    </row>
    <row r="458">
      <c r="B458" s="20"/>
      <c r="C458" s="20"/>
      <c r="D458" s="20"/>
      <c r="E458" s="20"/>
    </row>
    <row r="459">
      <c r="B459" s="20"/>
      <c r="C459" s="20"/>
      <c r="D459" s="20"/>
      <c r="E459" s="20"/>
    </row>
    <row r="460">
      <c r="B460" s="20"/>
      <c r="C460" s="20"/>
      <c r="D460" s="20"/>
      <c r="E460" s="20"/>
    </row>
    <row r="461">
      <c r="B461" s="20"/>
      <c r="C461" s="20"/>
      <c r="D461" s="20"/>
      <c r="E461" s="20"/>
    </row>
    <row r="462">
      <c r="B462" s="20"/>
      <c r="C462" s="20"/>
      <c r="D462" s="20"/>
      <c r="E462" s="20"/>
    </row>
    <row r="463">
      <c r="B463" s="20"/>
      <c r="C463" s="20"/>
      <c r="D463" s="20"/>
      <c r="E463" s="20"/>
    </row>
    <row r="464">
      <c r="B464" s="20"/>
      <c r="C464" s="20"/>
      <c r="D464" s="20"/>
      <c r="E464" s="20"/>
    </row>
    <row r="465">
      <c r="B465" s="20"/>
      <c r="C465" s="20"/>
      <c r="D465" s="20"/>
      <c r="E465" s="20"/>
    </row>
    <row r="466">
      <c r="B466" s="20"/>
      <c r="C466" s="20"/>
      <c r="D466" s="20"/>
      <c r="E466" s="20"/>
    </row>
    <row r="467">
      <c r="B467" s="20"/>
      <c r="C467" s="20"/>
      <c r="D467" s="20"/>
      <c r="E467" s="20"/>
    </row>
    <row r="468">
      <c r="B468" s="20"/>
      <c r="C468" s="20"/>
      <c r="D468" s="20"/>
      <c r="E468" s="20"/>
    </row>
    <row r="469">
      <c r="B469" s="20"/>
      <c r="C469" s="20"/>
      <c r="D469" s="20"/>
      <c r="E469" s="20"/>
    </row>
    <row r="470">
      <c r="B470" s="20"/>
      <c r="C470" s="20"/>
      <c r="D470" s="20"/>
      <c r="E470" s="20"/>
    </row>
    <row r="471">
      <c r="B471" s="20"/>
      <c r="C471" s="20"/>
      <c r="D471" s="20"/>
      <c r="E471" s="20"/>
    </row>
    <row r="472">
      <c r="B472" s="20"/>
      <c r="C472" s="20"/>
      <c r="D472" s="20"/>
      <c r="E472" s="20"/>
    </row>
    <row r="473">
      <c r="B473" s="20"/>
      <c r="C473" s="20"/>
      <c r="D473" s="20"/>
      <c r="E473" s="20"/>
    </row>
    <row r="474">
      <c r="B474" s="20"/>
      <c r="C474" s="20"/>
      <c r="D474" s="20"/>
      <c r="E474" s="20"/>
    </row>
    <row r="475">
      <c r="B475" s="20"/>
      <c r="C475" s="20"/>
      <c r="D475" s="20"/>
      <c r="E475" s="20"/>
    </row>
    <row r="476">
      <c r="B476" s="20"/>
      <c r="C476" s="20"/>
      <c r="D476" s="20"/>
      <c r="E476" s="20"/>
    </row>
    <row r="477">
      <c r="B477" s="20"/>
      <c r="C477" s="20"/>
      <c r="D477" s="20"/>
      <c r="E477" s="20"/>
    </row>
    <row r="478">
      <c r="B478" s="20"/>
      <c r="C478" s="20"/>
      <c r="D478" s="20"/>
      <c r="E478" s="20"/>
    </row>
    <row r="479">
      <c r="B479" s="20"/>
      <c r="C479" s="20"/>
      <c r="D479" s="20"/>
      <c r="E479" s="20"/>
    </row>
    <row r="480">
      <c r="B480" s="20"/>
      <c r="C480" s="20"/>
      <c r="D480" s="20"/>
      <c r="E480" s="20"/>
    </row>
    <row r="481">
      <c r="B481" s="20"/>
      <c r="C481" s="20"/>
      <c r="D481" s="20"/>
      <c r="E481" s="20"/>
    </row>
    <row r="482">
      <c r="B482" s="20"/>
      <c r="C482" s="20"/>
      <c r="D482" s="20"/>
      <c r="E482" s="20"/>
    </row>
    <row r="483">
      <c r="B483" s="20"/>
      <c r="C483" s="20"/>
      <c r="D483" s="20"/>
      <c r="E483" s="20"/>
    </row>
    <row r="484">
      <c r="B484" s="20"/>
      <c r="C484" s="20"/>
      <c r="D484" s="20"/>
      <c r="E484" s="20"/>
    </row>
    <row r="485">
      <c r="B485" s="20"/>
      <c r="C485" s="20"/>
      <c r="D485" s="20"/>
      <c r="E485" s="20"/>
    </row>
    <row r="486">
      <c r="B486" s="20"/>
      <c r="C486" s="20"/>
      <c r="D486" s="20"/>
      <c r="E486" s="20"/>
    </row>
    <row r="487">
      <c r="B487" s="20"/>
      <c r="C487" s="20"/>
      <c r="D487" s="20"/>
      <c r="E487" s="20"/>
    </row>
    <row r="488">
      <c r="B488" s="20"/>
      <c r="C488" s="20"/>
      <c r="D488" s="20"/>
      <c r="E488" s="20"/>
    </row>
    <row r="489">
      <c r="B489" s="20"/>
      <c r="C489" s="20"/>
      <c r="D489" s="20"/>
      <c r="E489" s="20"/>
    </row>
    <row r="490">
      <c r="B490" s="20"/>
      <c r="C490" s="20"/>
      <c r="D490" s="20"/>
      <c r="E490" s="20"/>
    </row>
    <row r="491">
      <c r="B491" s="20"/>
      <c r="C491" s="20"/>
      <c r="D491" s="20"/>
      <c r="E491" s="20"/>
    </row>
    <row r="492">
      <c r="B492" s="20"/>
      <c r="C492" s="20"/>
      <c r="D492" s="20"/>
      <c r="E492" s="20"/>
    </row>
    <row r="493">
      <c r="B493" s="20"/>
      <c r="C493" s="20"/>
      <c r="D493" s="20"/>
      <c r="E493" s="20"/>
    </row>
    <row r="494">
      <c r="B494" s="20"/>
      <c r="C494" s="20"/>
      <c r="D494" s="20"/>
      <c r="E494" s="20"/>
    </row>
    <row r="495">
      <c r="B495" s="20"/>
      <c r="C495" s="20"/>
      <c r="D495" s="20"/>
      <c r="E495" s="20"/>
    </row>
    <row r="496">
      <c r="B496" s="20"/>
      <c r="C496" s="20"/>
      <c r="D496" s="20"/>
      <c r="E496" s="20"/>
    </row>
    <row r="497">
      <c r="B497" s="20"/>
      <c r="C497" s="20"/>
      <c r="D497" s="20"/>
      <c r="E497" s="20"/>
    </row>
    <row r="498">
      <c r="B498" s="20"/>
      <c r="C498" s="20"/>
      <c r="D498" s="20"/>
      <c r="E498" s="20"/>
    </row>
    <row r="499">
      <c r="B499" s="20"/>
      <c r="C499" s="20"/>
      <c r="D499" s="20"/>
      <c r="E499" s="20"/>
    </row>
    <row r="500">
      <c r="B500" s="20"/>
      <c r="C500" s="20"/>
      <c r="D500" s="20"/>
      <c r="E500" s="20"/>
    </row>
    <row r="501">
      <c r="B501" s="20"/>
      <c r="C501" s="20"/>
      <c r="D501" s="20"/>
      <c r="E501" s="20"/>
    </row>
    <row r="502">
      <c r="B502" s="20"/>
      <c r="C502" s="20"/>
      <c r="D502" s="20"/>
      <c r="E502" s="20"/>
    </row>
    <row r="503">
      <c r="B503" s="20"/>
      <c r="C503" s="20"/>
      <c r="D503" s="20"/>
      <c r="E503" s="20"/>
    </row>
    <row r="504">
      <c r="B504" s="20"/>
      <c r="C504" s="20"/>
      <c r="D504" s="20"/>
      <c r="E504" s="20"/>
    </row>
    <row r="505">
      <c r="B505" s="20"/>
      <c r="C505" s="20"/>
      <c r="D505" s="20"/>
      <c r="E505" s="20"/>
    </row>
    <row r="506">
      <c r="B506" s="20"/>
      <c r="C506" s="20"/>
      <c r="D506" s="20"/>
      <c r="E506" s="20"/>
    </row>
    <row r="507">
      <c r="B507" s="20"/>
      <c r="C507" s="20"/>
      <c r="D507" s="20"/>
      <c r="E507" s="20"/>
    </row>
    <row r="508">
      <c r="B508" s="20"/>
      <c r="C508" s="20"/>
      <c r="D508" s="20"/>
      <c r="E508" s="20"/>
    </row>
    <row r="509">
      <c r="B509" s="20"/>
      <c r="C509" s="20"/>
      <c r="D509" s="20"/>
      <c r="E509" s="20"/>
    </row>
    <row r="510">
      <c r="B510" s="20"/>
      <c r="C510" s="20"/>
      <c r="D510" s="20"/>
      <c r="E510" s="20"/>
    </row>
    <row r="511">
      <c r="B511" s="20"/>
      <c r="C511" s="20"/>
      <c r="D511" s="20"/>
      <c r="E511" s="20"/>
    </row>
    <row r="512">
      <c r="B512" s="20"/>
      <c r="C512" s="20"/>
      <c r="D512" s="20"/>
      <c r="E512" s="20"/>
    </row>
    <row r="513">
      <c r="B513" s="20"/>
      <c r="C513" s="20"/>
      <c r="D513" s="20"/>
      <c r="E513" s="20"/>
    </row>
    <row r="514">
      <c r="B514" s="20"/>
      <c r="C514" s="20"/>
      <c r="D514" s="20"/>
      <c r="E514" s="20"/>
    </row>
    <row r="515">
      <c r="B515" s="20"/>
      <c r="C515" s="20"/>
      <c r="D515" s="20"/>
      <c r="E515" s="20"/>
    </row>
    <row r="516">
      <c r="B516" s="20"/>
      <c r="C516" s="20"/>
      <c r="D516" s="20"/>
      <c r="E516" s="20"/>
    </row>
    <row r="517">
      <c r="B517" s="20"/>
      <c r="C517" s="20"/>
      <c r="D517" s="20"/>
      <c r="E517" s="20"/>
    </row>
    <row r="518">
      <c r="B518" s="20"/>
      <c r="C518" s="20"/>
      <c r="D518" s="20"/>
      <c r="E518" s="20"/>
    </row>
    <row r="519">
      <c r="B519" s="20"/>
      <c r="C519" s="20"/>
      <c r="D519" s="20"/>
      <c r="E519" s="20"/>
    </row>
    <row r="520">
      <c r="B520" s="20"/>
      <c r="C520" s="20"/>
      <c r="D520" s="20"/>
      <c r="E520" s="20"/>
    </row>
    <row r="521">
      <c r="B521" s="20"/>
      <c r="C521" s="20"/>
      <c r="D521" s="20"/>
      <c r="E521" s="20"/>
    </row>
    <row r="522">
      <c r="B522" s="20"/>
      <c r="C522" s="20"/>
      <c r="D522" s="20"/>
      <c r="E522" s="20"/>
    </row>
    <row r="523">
      <c r="B523" s="20"/>
      <c r="C523" s="20"/>
      <c r="D523" s="20"/>
      <c r="E523" s="20"/>
    </row>
    <row r="524">
      <c r="B524" s="20"/>
      <c r="C524" s="20"/>
      <c r="D524" s="20"/>
      <c r="E524" s="20"/>
    </row>
    <row r="525">
      <c r="B525" s="20"/>
      <c r="C525" s="20"/>
      <c r="D525" s="20"/>
      <c r="E525" s="20"/>
    </row>
    <row r="526">
      <c r="B526" s="20"/>
      <c r="C526" s="20"/>
      <c r="D526" s="20"/>
      <c r="E526" s="20"/>
    </row>
    <row r="527">
      <c r="B527" s="20"/>
      <c r="C527" s="20"/>
      <c r="D527" s="20"/>
      <c r="E527" s="20"/>
    </row>
    <row r="528">
      <c r="B528" s="20"/>
      <c r="C528" s="20"/>
      <c r="D528" s="20"/>
      <c r="E528" s="20"/>
    </row>
    <row r="529">
      <c r="B529" s="20"/>
      <c r="C529" s="20"/>
      <c r="D529" s="20"/>
      <c r="E529" s="20"/>
    </row>
    <row r="530">
      <c r="B530" s="20"/>
      <c r="C530" s="20"/>
      <c r="D530" s="20"/>
      <c r="E530" s="20"/>
    </row>
    <row r="531">
      <c r="B531" s="20"/>
      <c r="C531" s="20"/>
      <c r="D531" s="20"/>
      <c r="E531" s="20"/>
    </row>
    <row r="532">
      <c r="B532" s="20"/>
      <c r="C532" s="20"/>
      <c r="D532" s="20"/>
      <c r="E532" s="20"/>
    </row>
    <row r="533">
      <c r="B533" s="20"/>
      <c r="C533" s="20"/>
      <c r="D533" s="20"/>
      <c r="E533" s="20"/>
    </row>
    <row r="534">
      <c r="B534" s="20"/>
      <c r="C534" s="20"/>
      <c r="D534" s="20"/>
      <c r="E534" s="20"/>
    </row>
    <row r="535">
      <c r="B535" s="20"/>
      <c r="C535" s="20"/>
      <c r="D535" s="20"/>
      <c r="E535" s="20"/>
    </row>
    <row r="536">
      <c r="B536" s="20"/>
      <c r="C536" s="20"/>
      <c r="D536" s="20"/>
      <c r="E536" s="20"/>
    </row>
    <row r="537">
      <c r="B537" s="20"/>
      <c r="C537" s="20"/>
      <c r="D537" s="20"/>
      <c r="E537" s="20"/>
    </row>
    <row r="538">
      <c r="B538" s="20"/>
      <c r="C538" s="20"/>
      <c r="D538" s="20"/>
      <c r="E538" s="20"/>
    </row>
    <row r="539">
      <c r="B539" s="20"/>
      <c r="C539" s="20"/>
      <c r="D539" s="20"/>
      <c r="E539" s="20"/>
    </row>
    <row r="540">
      <c r="B540" s="20"/>
      <c r="C540" s="20"/>
      <c r="D540" s="20"/>
      <c r="E540" s="20"/>
    </row>
    <row r="541">
      <c r="B541" s="20"/>
      <c r="C541" s="20"/>
      <c r="D541" s="20"/>
      <c r="E541" s="20"/>
    </row>
    <row r="542">
      <c r="B542" s="20"/>
      <c r="C542" s="20"/>
      <c r="D542" s="20"/>
      <c r="E542" s="20"/>
    </row>
    <row r="543">
      <c r="B543" s="20"/>
      <c r="C543" s="20"/>
      <c r="D543" s="20"/>
      <c r="E543" s="20"/>
    </row>
    <row r="544">
      <c r="B544" s="20"/>
      <c r="C544" s="20"/>
      <c r="D544" s="20"/>
      <c r="E544" s="20"/>
    </row>
    <row r="545">
      <c r="B545" s="20"/>
      <c r="C545" s="20"/>
      <c r="D545" s="20"/>
      <c r="E545" s="20"/>
    </row>
    <row r="546">
      <c r="B546" s="20"/>
      <c r="C546" s="20"/>
      <c r="D546" s="20"/>
      <c r="E546" s="20"/>
    </row>
    <row r="547">
      <c r="B547" s="20"/>
      <c r="C547" s="20"/>
      <c r="D547" s="20"/>
      <c r="E547" s="20"/>
    </row>
    <row r="548">
      <c r="B548" s="20"/>
      <c r="C548" s="20"/>
      <c r="D548" s="20"/>
      <c r="E548" s="20"/>
    </row>
    <row r="549">
      <c r="B549" s="20"/>
      <c r="C549" s="20"/>
      <c r="D549" s="20"/>
      <c r="E549" s="20"/>
    </row>
    <row r="550">
      <c r="B550" s="20"/>
      <c r="C550" s="20"/>
      <c r="D550" s="20"/>
      <c r="E550" s="20"/>
    </row>
    <row r="551">
      <c r="B551" s="20"/>
      <c r="C551" s="20"/>
      <c r="D551" s="20"/>
      <c r="E551" s="20"/>
    </row>
    <row r="552">
      <c r="B552" s="20"/>
      <c r="C552" s="20"/>
      <c r="D552" s="20"/>
      <c r="E552" s="20"/>
    </row>
    <row r="553">
      <c r="B553" s="20"/>
      <c r="C553" s="20"/>
      <c r="D553" s="20"/>
      <c r="E553" s="20"/>
    </row>
    <row r="554">
      <c r="B554" s="20"/>
      <c r="C554" s="20"/>
      <c r="D554" s="20"/>
      <c r="E554" s="20"/>
    </row>
    <row r="555">
      <c r="B555" s="20"/>
      <c r="C555" s="20"/>
      <c r="D555" s="20"/>
      <c r="E555" s="20"/>
    </row>
    <row r="556">
      <c r="B556" s="20"/>
      <c r="C556" s="20"/>
      <c r="D556" s="20"/>
      <c r="E556" s="20"/>
    </row>
    <row r="557">
      <c r="B557" s="20"/>
      <c r="C557" s="20"/>
      <c r="D557" s="20"/>
      <c r="E557" s="20"/>
    </row>
    <row r="558">
      <c r="B558" s="20"/>
      <c r="C558" s="20"/>
      <c r="D558" s="20"/>
      <c r="E558" s="20"/>
    </row>
    <row r="559">
      <c r="B559" s="20"/>
      <c r="C559" s="20"/>
      <c r="D559" s="20"/>
      <c r="E559" s="20"/>
    </row>
    <row r="560">
      <c r="B560" s="20"/>
      <c r="C560" s="20"/>
      <c r="D560" s="20"/>
      <c r="E560" s="20"/>
    </row>
    <row r="561">
      <c r="B561" s="20"/>
      <c r="C561" s="20"/>
      <c r="D561" s="20"/>
      <c r="E561" s="20"/>
    </row>
    <row r="562">
      <c r="B562" s="20"/>
      <c r="C562" s="20"/>
      <c r="D562" s="20"/>
      <c r="E562" s="20"/>
    </row>
    <row r="563">
      <c r="B563" s="20"/>
      <c r="C563" s="20"/>
      <c r="D563" s="20"/>
      <c r="E563" s="20"/>
    </row>
    <row r="564">
      <c r="B564" s="20"/>
      <c r="C564" s="20"/>
      <c r="D564" s="20"/>
      <c r="E564" s="20"/>
    </row>
    <row r="565">
      <c r="B565" s="20"/>
      <c r="C565" s="20"/>
      <c r="D565" s="20"/>
      <c r="E565" s="20"/>
    </row>
    <row r="566">
      <c r="B566" s="20"/>
      <c r="C566" s="20"/>
      <c r="D566" s="20"/>
      <c r="E566" s="20"/>
    </row>
    <row r="567">
      <c r="B567" s="20"/>
      <c r="C567" s="20"/>
      <c r="D567" s="20"/>
      <c r="E567" s="20"/>
    </row>
    <row r="568">
      <c r="B568" s="20"/>
      <c r="C568" s="20"/>
      <c r="D568" s="20"/>
      <c r="E568" s="20"/>
    </row>
    <row r="569">
      <c r="B569" s="20"/>
      <c r="C569" s="20"/>
      <c r="D569" s="20"/>
      <c r="E569" s="20"/>
    </row>
    <row r="570">
      <c r="B570" s="20"/>
      <c r="C570" s="20"/>
      <c r="D570" s="20"/>
      <c r="E570" s="20"/>
    </row>
    <row r="571">
      <c r="B571" s="20"/>
      <c r="C571" s="20"/>
      <c r="D571" s="20"/>
      <c r="E571" s="20"/>
    </row>
    <row r="572">
      <c r="B572" s="20"/>
      <c r="C572" s="20"/>
      <c r="D572" s="20"/>
      <c r="E572" s="20"/>
    </row>
    <row r="573">
      <c r="B573" s="20"/>
      <c r="C573" s="20"/>
      <c r="D573" s="20"/>
      <c r="E573" s="20"/>
    </row>
    <row r="574">
      <c r="B574" s="20"/>
      <c r="C574" s="20"/>
      <c r="D574" s="20"/>
      <c r="E574" s="20"/>
    </row>
    <row r="575">
      <c r="B575" s="20"/>
      <c r="C575" s="20"/>
      <c r="D575" s="20"/>
      <c r="E575" s="20"/>
    </row>
    <row r="576">
      <c r="B576" s="20"/>
      <c r="C576" s="20"/>
      <c r="D576" s="20"/>
      <c r="E576" s="20"/>
    </row>
    <row r="577">
      <c r="B577" s="20"/>
      <c r="C577" s="20"/>
      <c r="D577" s="20"/>
      <c r="E577" s="20"/>
    </row>
    <row r="578">
      <c r="B578" s="20"/>
      <c r="C578" s="20"/>
      <c r="D578" s="20"/>
      <c r="E578" s="20"/>
    </row>
    <row r="579">
      <c r="B579" s="20"/>
      <c r="C579" s="20"/>
      <c r="D579" s="20"/>
      <c r="E579" s="20"/>
    </row>
    <row r="580">
      <c r="B580" s="20"/>
      <c r="C580" s="20"/>
      <c r="D580" s="20"/>
      <c r="E580" s="20"/>
    </row>
    <row r="581">
      <c r="B581" s="20"/>
      <c r="C581" s="20"/>
      <c r="D581" s="20"/>
      <c r="E581" s="20"/>
    </row>
    <row r="582">
      <c r="B582" s="20"/>
      <c r="C582" s="20"/>
      <c r="D582" s="20"/>
      <c r="E582" s="20"/>
    </row>
    <row r="583">
      <c r="B583" s="20"/>
      <c r="C583" s="20"/>
      <c r="D583" s="20"/>
      <c r="E583" s="20"/>
    </row>
    <row r="584">
      <c r="B584" s="20"/>
      <c r="C584" s="20"/>
      <c r="D584" s="20"/>
      <c r="E584" s="20"/>
    </row>
    <row r="585">
      <c r="B585" s="20"/>
      <c r="C585" s="20"/>
      <c r="D585" s="20"/>
      <c r="E585" s="20"/>
    </row>
    <row r="586">
      <c r="B586" s="20"/>
      <c r="C586" s="20"/>
      <c r="D586" s="20"/>
      <c r="E586" s="20"/>
    </row>
    <row r="587">
      <c r="B587" s="20"/>
      <c r="C587" s="20"/>
      <c r="D587" s="20"/>
      <c r="E587" s="20"/>
    </row>
    <row r="588">
      <c r="B588" s="20"/>
      <c r="C588" s="20"/>
      <c r="D588" s="20"/>
      <c r="E588" s="20"/>
    </row>
    <row r="589">
      <c r="B589" s="20"/>
      <c r="C589" s="20"/>
      <c r="D589" s="20"/>
      <c r="E589" s="20"/>
    </row>
    <row r="590">
      <c r="B590" s="20"/>
      <c r="C590" s="20"/>
      <c r="D590" s="20"/>
      <c r="E590" s="20"/>
    </row>
    <row r="591">
      <c r="B591" s="20"/>
      <c r="C591" s="20"/>
      <c r="D591" s="20"/>
      <c r="E591" s="20"/>
    </row>
    <row r="592">
      <c r="B592" s="20"/>
      <c r="C592" s="20"/>
      <c r="D592" s="20"/>
      <c r="E592" s="20"/>
    </row>
    <row r="593">
      <c r="B593" s="20"/>
      <c r="C593" s="20"/>
      <c r="D593" s="20"/>
      <c r="E593" s="20"/>
    </row>
    <row r="594">
      <c r="B594" s="20"/>
      <c r="C594" s="20"/>
      <c r="D594" s="20"/>
      <c r="E594" s="20"/>
    </row>
    <row r="595">
      <c r="B595" s="20"/>
      <c r="C595" s="20"/>
      <c r="D595" s="20"/>
      <c r="E595" s="20"/>
    </row>
    <row r="596">
      <c r="B596" s="20"/>
      <c r="C596" s="20"/>
      <c r="D596" s="20"/>
      <c r="E596" s="20"/>
    </row>
    <row r="597">
      <c r="B597" s="20"/>
      <c r="C597" s="20"/>
      <c r="D597" s="20"/>
      <c r="E597" s="20"/>
    </row>
    <row r="598">
      <c r="B598" s="20"/>
      <c r="C598" s="20"/>
      <c r="D598" s="20"/>
      <c r="E598" s="20"/>
    </row>
    <row r="599">
      <c r="B599" s="20"/>
      <c r="C599" s="20"/>
      <c r="D599" s="20"/>
      <c r="E599" s="20"/>
    </row>
    <row r="600">
      <c r="B600" s="20"/>
      <c r="C600" s="20"/>
      <c r="D600" s="20"/>
      <c r="E600" s="20"/>
    </row>
    <row r="601">
      <c r="B601" s="20"/>
      <c r="C601" s="20"/>
      <c r="D601" s="20"/>
      <c r="E601" s="20"/>
    </row>
    <row r="602">
      <c r="B602" s="20"/>
      <c r="C602" s="20"/>
      <c r="D602" s="20"/>
      <c r="E602" s="20"/>
    </row>
    <row r="603">
      <c r="B603" s="20"/>
      <c r="C603" s="20"/>
      <c r="D603" s="20"/>
      <c r="E603" s="20"/>
    </row>
    <row r="604">
      <c r="B604" s="20"/>
      <c r="C604" s="20"/>
      <c r="D604" s="20"/>
      <c r="E604" s="20"/>
    </row>
    <row r="605">
      <c r="B605" s="20"/>
      <c r="C605" s="20"/>
      <c r="D605" s="20"/>
      <c r="E605" s="20"/>
    </row>
    <row r="606">
      <c r="B606" s="20"/>
      <c r="C606" s="20"/>
      <c r="D606" s="20"/>
      <c r="E606" s="20"/>
    </row>
    <row r="607">
      <c r="B607" s="20"/>
      <c r="C607" s="20"/>
      <c r="D607" s="20"/>
      <c r="E607" s="20"/>
    </row>
    <row r="608">
      <c r="B608" s="20"/>
      <c r="C608" s="20"/>
      <c r="D608" s="20"/>
      <c r="E608" s="20"/>
    </row>
    <row r="609">
      <c r="B609" s="20"/>
      <c r="C609" s="20"/>
      <c r="D609" s="20"/>
      <c r="E609" s="20"/>
    </row>
    <row r="610">
      <c r="B610" s="20"/>
      <c r="C610" s="20"/>
      <c r="D610" s="20"/>
      <c r="E610" s="20"/>
    </row>
    <row r="611">
      <c r="B611" s="20"/>
      <c r="C611" s="20"/>
      <c r="D611" s="20"/>
      <c r="E611" s="20"/>
    </row>
    <row r="612">
      <c r="B612" s="20"/>
      <c r="C612" s="20"/>
      <c r="D612" s="20"/>
      <c r="E612" s="20"/>
    </row>
    <row r="613">
      <c r="B613" s="20"/>
      <c r="C613" s="20"/>
      <c r="D613" s="20"/>
      <c r="E613" s="20"/>
    </row>
    <row r="614">
      <c r="B614" s="20"/>
      <c r="C614" s="20"/>
      <c r="D614" s="20"/>
      <c r="E614" s="20"/>
    </row>
    <row r="615">
      <c r="B615" s="20"/>
      <c r="C615" s="20"/>
      <c r="D615" s="20"/>
      <c r="E615" s="20"/>
    </row>
    <row r="616">
      <c r="B616" s="20"/>
      <c r="C616" s="20"/>
      <c r="D616" s="20"/>
      <c r="E616" s="20"/>
    </row>
    <row r="617">
      <c r="B617" s="20"/>
      <c r="C617" s="20"/>
      <c r="D617" s="20"/>
      <c r="E617" s="20"/>
    </row>
    <row r="618">
      <c r="B618" s="20"/>
      <c r="C618" s="20"/>
      <c r="D618" s="20"/>
      <c r="E618" s="20"/>
    </row>
    <row r="619">
      <c r="B619" s="20"/>
      <c r="C619" s="20"/>
      <c r="D619" s="20"/>
      <c r="E619" s="20"/>
    </row>
    <row r="620">
      <c r="B620" s="20"/>
      <c r="C620" s="20"/>
      <c r="D620" s="20"/>
      <c r="E620" s="20"/>
    </row>
    <row r="621">
      <c r="B621" s="20"/>
      <c r="C621" s="20"/>
      <c r="D621" s="20"/>
      <c r="E621" s="20"/>
    </row>
    <row r="622">
      <c r="B622" s="20"/>
      <c r="C622" s="20"/>
      <c r="D622" s="20"/>
      <c r="E622" s="20"/>
    </row>
    <row r="623">
      <c r="B623" s="20"/>
      <c r="C623" s="20"/>
      <c r="D623" s="20"/>
      <c r="E623" s="20"/>
    </row>
    <row r="624">
      <c r="B624" s="20"/>
      <c r="C624" s="20"/>
      <c r="D624" s="20"/>
      <c r="E624" s="20"/>
    </row>
    <row r="625">
      <c r="B625" s="20"/>
      <c r="C625" s="20"/>
      <c r="D625" s="20"/>
      <c r="E625" s="20"/>
    </row>
    <row r="626">
      <c r="B626" s="20"/>
      <c r="C626" s="20"/>
      <c r="D626" s="20"/>
      <c r="E626" s="20"/>
    </row>
    <row r="627">
      <c r="B627" s="20"/>
      <c r="C627" s="20"/>
      <c r="D627" s="20"/>
      <c r="E627" s="20"/>
    </row>
    <row r="628">
      <c r="B628" s="20"/>
      <c r="C628" s="20"/>
      <c r="D628" s="20"/>
      <c r="E628" s="20"/>
    </row>
    <row r="629">
      <c r="B629" s="20"/>
      <c r="C629" s="20"/>
      <c r="D629" s="20"/>
      <c r="E629" s="20"/>
    </row>
    <row r="630">
      <c r="B630" s="20"/>
      <c r="C630" s="20"/>
      <c r="D630" s="20"/>
      <c r="E630" s="20"/>
    </row>
    <row r="631">
      <c r="B631" s="20"/>
      <c r="C631" s="20"/>
      <c r="D631" s="20"/>
      <c r="E631" s="20"/>
    </row>
    <row r="632">
      <c r="B632" s="20"/>
      <c r="C632" s="20"/>
      <c r="D632" s="20"/>
      <c r="E632" s="20"/>
    </row>
    <row r="633">
      <c r="B633" s="20"/>
      <c r="C633" s="20"/>
      <c r="D633" s="20"/>
      <c r="E633" s="20"/>
    </row>
    <row r="634">
      <c r="B634" s="20"/>
      <c r="C634" s="20"/>
      <c r="D634" s="20"/>
      <c r="E634" s="20"/>
    </row>
    <row r="635">
      <c r="B635" s="20"/>
      <c r="C635" s="20"/>
      <c r="D635" s="20"/>
      <c r="E635" s="20"/>
    </row>
    <row r="636">
      <c r="B636" s="20"/>
      <c r="C636" s="20"/>
      <c r="D636" s="20"/>
      <c r="E636" s="20"/>
    </row>
    <row r="637">
      <c r="B637" s="20"/>
      <c r="C637" s="20"/>
      <c r="D637" s="20"/>
      <c r="E637" s="20"/>
    </row>
    <row r="638">
      <c r="B638" s="20"/>
      <c r="C638" s="20"/>
      <c r="D638" s="20"/>
      <c r="E638" s="20"/>
    </row>
    <row r="639">
      <c r="B639" s="20"/>
      <c r="C639" s="20"/>
      <c r="D639" s="20"/>
      <c r="E639" s="20"/>
    </row>
    <row r="640">
      <c r="B640" s="20"/>
      <c r="C640" s="20"/>
      <c r="D640" s="20"/>
      <c r="E640" s="20"/>
    </row>
    <row r="641">
      <c r="B641" s="20"/>
      <c r="C641" s="20"/>
      <c r="D641" s="20"/>
      <c r="E641" s="20"/>
    </row>
    <row r="642">
      <c r="B642" s="20"/>
      <c r="C642" s="20"/>
      <c r="D642" s="20"/>
      <c r="E642" s="20"/>
    </row>
    <row r="643">
      <c r="B643" s="20"/>
      <c r="C643" s="20"/>
      <c r="D643" s="20"/>
      <c r="E643" s="20"/>
    </row>
    <row r="644">
      <c r="B644" s="20"/>
      <c r="C644" s="20"/>
      <c r="D644" s="20"/>
      <c r="E644" s="20"/>
    </row>
    <row r="645">
      <c r="B645" s="20"/>
      <c r="C645" s="20"/>
      <c r="D645" s="20"/>
      <c r="E645" s="20"/>
    </row>
    <row r="646">
      <c r="B646" s="20"/>
      <c r="C646" s="20"/>
      <c r="D646" s="20"/>
      <c r="E646" s="20"/>
    </row>
    <row r="647">
      <c r="B647" s="20"/>
      <c r="C647" s="20"/>
      <c r="D647" s="20"/>
      <c r="E647" s="20"/>
    </row>
    <row r="648">
      <c r="B648" s="20"/>
      <c r="C648" s="20"/>
      <c r="D648" s="20"/>
      <c r="E648" s="20"/>
    </row>
    <row r="649">
      <c r="B649" s="20"/>
      <c r="C649" s="20"/>
      <c r="D649" s="20"/>
      <c r="E649" s="20"/>
    </row>
    <row r="650">
      <c r="B650" s="20"/>
      <c r="C650" s="20"/>
      <c r="D650" s="20"/>
      <c r="E650" s="20"/>
    </row>
    <row r="651">
      <c r="B651" s="20"/>
      <c r="C651" s="20"/>
      <c r="D651" s="20"/>
      <c r="E651" s="20"/>
    </row>
    <row r="652">
      <c r="B652" s="20"/>
      <c r="C652" s="20"/>
      <c r="D652" s="20"/>
      <c r="E652" s="20"/>
    </row>
    <row r="653">
      <c r="B653" s="20"/>
      <c r="C653" s="20"/>
      <c r="D653" s="20"/>
      <c r="E653" s="20"/>
    </row>
    <row r="654">
      <c r="B654" s="20"/>
      <c r="C654" s="20"/>
      <c r="D654" s="20"/>
      <c r="E654" s="20"/>
    </row>
    <row r="655">
      <c r="B655" s="20"/>
      <c r="C655" s="20"/>
      <c r="D655" s="20"/>
      <c r="E655" s="20"/>
    </row>
    <row r="656">
      <c r="B656" s="20"/>
      <c r="C656" s="20"/>
      <c r="D656" s="20"/>
      <c r="E656" s="20"/>
    </row>
    <row r="657">
      <c r="B657" s="20"/>
      <c r="C657" s="20"/>
      <c r="D657" s="20"/>
      <c r="E657" s="20"/>
    </row>
    <row r="658">
      <c r="B658" s="20"/>
      <c r="C658" s="20"/>
      <c r="D658" s="20"/>
      <c r="E658" s="20"/>
    </row>
    <row r="659">
      <c r="B659" s="20"/>
      <c r="C659" s="20"/>
      <c r="D659" s="20"/>
      <c r="E659" s="20"/>
    </row>
    <row r="660">
      <c r="B660" s="20"/>
      <c r="C660" s="20"/>
      <c r="D660" s="20"/>
      <c r="E660" s="20"/>
    </row>
    <row r="661">
      <c r="B661" s="20"/>
      <c r="C661" s="20"/>
      <c r="D661" s="20"/>
      <c r="E661" s="20"/>
    </row>
    <row r="662">
      <c r="B662" s="20"/>
      <c r="C662" s="20"/>
      <c r="D662" s="20"/>
      <c r="E662" s="20"/>
    </row>
    <row r="663">
      <c r="B663" s="20"/>
      <c r="C663" s="20"/>
      <c r="D663" s="20"/>
      <c r="E663" s="20"/>
    </row>
    <row r="664">
      <c r="B664" s="20"/>
      <c r="C664" s="20"/>
      <c r="D664" s="20"/>
      <c r="E664" s="20"/>
    </row>
    <row r="665">
      <c r="B665" s="20"/>
      <c r="C665" s="20"/>
      <c r="D665" s="20"/>
      <c r="E665" s="20"/>
    </row>
    <row r="666">
      <c r="B666" s="20"/>
      <c r="C666" s="20"/>
      <c r="D666" s="20"/>
      <c r="E666" s="20"/>
    </row>
    <row r="667">
      <c r="B667" s="20"/>
      <c r="C667" s="20"/>
      <c r="D667" s="20"/>
      <c r="E667" s="20"/>
    </row>
    <row r="668">
      <c r="B668" s="20"/>
      <c r="C668" s="20"/>
      <c r="D668" s="20"/>
      <c r="E668" s="20"/>
    </row>
    <row r="669">
      <c r="B669" s="20"/>
      <c r="C669" s="20"/>
      <c r="D669" s="20"/>
      <c r="E669" s="20"/>
    </row>
    <row r="670">
      <c r="B670" s="20"/>
      <c r="C670" s="20"/>
      <c r="D670" s="20"/>
      <c r="E670" s="20"/>
    </row>
    <row r="671">
      <c r="B671" s="20"/>
      <c r="C671" s="20"/>
      <c r="D671" s="20"/>
      <c r="E671" s="20"/>
    </row>
    <row r="672">
      <c r="B672" s="20"/>
      <c r="C672" s="20"/>
      <c r="D672" s="20"/>
      <c r="E672" s="20"/>
    </row>
    <row r="673">
      <c r="B673" s="20"/>
      <c r="C673" s="20"/>
      <c r="D673" s="20"/>
      <c r="E673" s="20"/>
    </row>
    <row r="674">
      <c r="B674" s="20"/>
      <c r="C674" s="20"/>
      <c r="D674" s="20"/>
      <c r="E674" s="20"/>
    </row>
    <row r="675">
      <c r="B675" s="20"/>
      <c r="C675" s="20"/>
      <c r="D675" s="20"/>
      <c r="E675" s="20"/>
    </row>
    <row r="676">
      <c r="B676" s="20"/>
      <c r="C676" s="20"/>
      <c r="D676" s="20"/>
      <c r="E676" s="20"/>
    </row>
    <row r="677">
      <c r="B677" s="20"/>
      <c r="C677" s="20"/>
      <c r="D677" s="20"/>
      <c r="E677" s="20"/>
    </row>
    <row r="678">
      <c r="B678" s="20"/>
      <c r="C678" s="20"/>
      <c r="D678" s="20"/>
      <c r="E678" s="20"/>
    </row>
    <row r="679">
      <c r="B679" s="20"/>
      <c r="C679" s="20"/>
      <c r="D679" s="20"/>
      <c r="E679" s="20"/>
    </row>
    <row r="680">
      <c r="B680" s="20"/>
      <c r="C680" s="20"/>
      <c r="D680" s="20"/>
      <c r="E680" s="20"/>
    </row>
    <row r="681">
      <c r="B681" s="20"/>
      <c r="C681" s="20"/>
      <c r="D681" s="20"/>
      <c r="E681" s="20"/>
    </row>
    <row r="682">
      <c r="B682" s="20"/>
      <c r="C682" s="20"/>
      <c r="D682" s="20"/>
      <c r="E682" s="20"/>
    </row>
    <row r="683">
      <c r="B683" s="20"/>
      <c r="C683" s="20"/>
      <c r="D683" s="20"/>
      <c r="E683" s="20"/>
    </row>
    <row r="684">
      <c r="B684" s="20"/>
      <c r="C684" s="20"/>
      <c r="D684" s="20"/>
      <c r="E684" s="20"/>
    </row>
    <row r="685">
      <c r="B685" s="20"/>
      <c r="C685" s="20"/>
      <c r="D685" s="20"/>
      <c r="E685" s="20"/>
    </row>
    <row r="686">
      <c r="B686" s="20"/>
      <c r="C686" s="20"/>
      <c r="D686" s="20"/>
      <c r="E686" s="20"/>
    </row>
    <row r="687">
      <c r="B687" s="20"/>
      <c r="C687" s="20"/>
      <c r="D687" s="20"/>
      <c r="E687" s="20"/>
    </row>
    <row r="688">
      <c r="B688" s="20"/>
      <c r="C688" s="20"/>
      <c r="D688" s="20"/>
      <c r="E688" s="20"/>
    </row>
    <row r="689">
      <c r="B689" s="20"/>
      <c r="C689" s="20"/>
      <c r="D689" s="20"/>
      <c r="E689" s="20"/>
    </row>
    <row r="690">
      <c r="B690" s="20"/>
      <c r="C690" s="20"/>
      <c r="D690" s="20"/>
      <c r="E690" s="20"/>
    </row>
    <row r="691">
      <c r="B691" s="20"/>
      <c r="C691" s="20"/>
      <c r="D691" s="20"/>
      <c r="E691" s="20"/>
    </row>
    <row r="692">
      <c r="B692" s="20"/>
      <c r="C692" s="20"/>
      <c r="D692" s="20"/>
      <c r="E692" s="20"/>
    </row>
    <row r="693">
      <c r="B693" s="20"/>
      <c r="C693" s="20"/>
      <c r="D693" s="20"/>
      <c r="E693" s="20"/>
    </row>
    <row r="694">
      <c r="B694" s="20"/>
      <c r="C694" s="20"/>
      <c r="D694" s="20"/>
      <c r="E694" s="20"/>
    </row>
    <row r="695">
      <c r="B695" s="20"/>
      <c r="C695" s="20"/>
      <c r="D695" s="20"/>
      <c r="E695" s="20"/>
    </row>
    <row r="696">
      <c r="B696" s="20"/>
      <c r="C696" s="20"/>
      <c r="D696" s="20"/>
      <c r="E696" s="20"/>
    </row>
    <row r="697">
      <c r="B697" s="20"/>
      <c r="C697" s="20"/>
      <c r="D697" s="20"/>
      <c r="E697" s="20"/>
    </row>
    <row r="698">
      <c r="B698" s="20"/>
      <c r="C698" s="20"/>
      <c r="D698" s="20"/>
      <c r="E698" s="20"/>
    </row>
    <row r="699">
      <c r="B699" s="20"/>
      <c r="C699" s="20"/>
      <c r="D699" s="20"/>
      <c r="E699" s="20"/>
    </row>
    <row r="700">
      <c r="B700" s="20"/>
      <c r="C700" s="20"/>
      <c r="D700" s="20"/>
      <c r="E700" s="20"/>
    </row>
    <row r="701">
      <c r="B701" s="20"/>
      <c r="C701" s="20"/>
      <c r="D701" s="20"/>
      <c r="E701" s="20"/>
    </row>
    <row r="702">
      <c r="B702" s="20"/>
      <c r="C702" s="20"/>
      <c r="D702" s="20"/>
      <c r="E702" s="20"/>
    </row>
    <row r="703">
      <c r="B703" s="20"/>
      <c r="C703" s="20"/>
      <c r="D703" s="20"/>
      <c r="E703" s="20"/>
    </row>
    <row r="704">
      <c r="B704" s="20"/>
      <c r="C704" s="20"/>
      <c r="D704" s="20"/>
      <c r="E704" s="20"/>
    </row>
    <row r="705">
      <c r="B705" s="20"/>
      <c r="C705" s="20"/>
      <c r="D705" s="20"/>
      <c r="E705" s="20"/>
    </row>
    <row r="706">
      <c r="B706" s="20"/>
      <c r="C706" s="20"/>
      <c r="D706" s="20"/>
      <c r="E706" s="20"/>
    </row>
    <row r="707">
      <c r="B707" s="20"/>
      <c r="C707" s="20"/>
      <c r="D707" s="20"/>
      <c r="E707" s="20"/>
    </row>
    <row r="708">
      <c r="B708" s="20"/>
      <c r="C708" s="20"/>
      <c r="D708" s="20"/>
      <c r="E708" s="20"/>
    </row>
    <row r="709">
      <c r="B709" s="20"/>
      <c r="C709" s="20"/>
      <c r="D709" s="20"/>
      <c r="E709" s="20"/>
    </row>
    <row r="710">
      <c r="B710" s="20"/>
      <c r="C710" s="20"/>
      <c r="D710" s="20"/>
      <c r="E710" s="20"/>
    </row>
    <row r="711">
      <c r="B711" s="20"/>
      <c r="C711" s="20"/>
      <c r="D711" s="20"/>
      <c r="E711" s="20"/>
    </row>
    <row r="712">
      <c r="B712" s="20"/>
      <c r="C712" s="20"/>
      <c r="D712" s="20"/>
      <c r="E712" s="20"/>
    </row>
    <row r="713">
      <c r="B713" s="20"/>
      <c r="C713" s="20"/>
      <c r="D713" s="20"/>
      <c r="E713" s="20"/>
    </row>
    <row r="714">
      <c r="B714" s="20"/>
      <c r="C714" s="20"/>
      <c r="D714" s="20"/>
      <c r="E714" s="20"/>
    </row>
    <row r="715">
      <c r="B715" s="20"/>
      <c r="C715" s="20"/>
      <c r="D715" s="20"/>
      <c r="E715" s="20"/>
    </row>
    <row r="716">
      <c r="B716" s="20"/>
      <c r="C716" s="20"/>
      <c r="D716" s="20"/>
      <c r="E716" s="20"/>
    </row>
    <row r="717">
      <c r="B717" s="20"/>
      <c r="C717" s="20"/>
      <c r="D717" s="20"/>
      <c r="E717" s="20"/>
    </row>
    <row r="718">
      <c r="B718" s="20"/>
      <c r="C718" s="20"/>
      <c r="D718" s="20"/>
      <c r="E718" s="20"/>
    </row>
    <row r="719">
      <c r="B719" s="20"/>
      <c r="C719" s="20"/>
      <c r="D719" s="20"/>
      <c r="E719" s="20"/>
    </row>
    <row r="720">
      <c r="B720" s="20"/>
      <c r="C720" s="20"/>
      <c r="D720" s="20"/>
      <c r="E720" s="20"/>
    </row>
    <row r="721">
      <c r="B721" s="20"/>
      <c r="C721" s="20"/>
      <c r="D721" s="20"/>
      <c r="E721" s="20"/>
    </row>
    <row r="722">
      <c r="B722" s="20"/>
      <c r="C722" s="20"/>
      <c r="D722" s="20"/>
      <c r="E722" s="20"/>
    </row>
    <row r="723">
      <c r="B723" s="20"/>
      <c r="C723" s="20"/>
      <c r="D723" s="20"/>
      <c r="E723" s="20"/>
    </row>
    <row r="724">
      <c r="B724" s="20"/>
      <c r="C724" s="20"/>
      <c r="D724" s="20"/>
      <c r="E724" s="20"/>
    </row>
    <row r="725">
      <c r="B725" s="20"/>
      <c r="C725" s="20"/>
      <c r="D725" s="20"/>
      <c r="E725" s="20"/>
    </row>
    <row r="726">
      <c r="B726" s="20"/>
      <c r="C726" s="20"/>
      <c r="D726" s="20"/>
      <c r="E726" s="20"/>
    </row>
    <row r="727">
      <c r="B727" s="20"/>
      <c r="C727" s="20"/>
      <c r="D727" s="20"/>
      <c r="E727" s="20"/>
    </row>
    <row r="728">
      <c r="B728" s="20"/>
      <c r="C728" s="20"/>
      <c r="D728" s="20"/>
      <c r="E728" s="20"/>
    </row>
    <row r="729">
      <c r="B729" s="20"/>
      <c r="C729" s="20"/>
      <c r="D729" s="20"/>
      <c r="E729" s="20"/>
    </row>
    <row r="730">
      <c r="B730" s="20"/>
      <c r="C730" s="20"/>
      <c r="D730" s="20"/>
      <c r="E730" s="20"/>
    </row>
    <row r="731">
      <c r="B731" s="20"/>
      <c r="C731" s="20"/>
      <c r="D731" s="20"/>
      <c r="E731" s="20"/>
    </row>
    <row r="732">
      <c r="B732" s="20"/>
      <c r="C732" s="20"/>
      <c r="D732" s="20"/>
      <c r="E732" s="20"/>
    </row>
    <row r="733">
      <c r="B733" s="20"/>
      <c r="C733" s="20"/>
      <c r="D733" s="20"/>
      <c r="E733" s="20"/>
    </row>
    <row r="734">
      <c r="B734" s="20"/>
      <c r="C734" s="20"/>
      <c r="D734" s="20"/>
      <c r="E734" s="20"/>
    </row>
    <row r="735">
      <c r="B735" s="20"/>
      <c r="C735" s="20"/>
      <c r="D735" s="20"/>
      <c r="E735" s="20"/>
    </row>
    <row r="736">
      <c r="B736" s="20"/>
      <c r="C736" s="20"/>
      <c r="D736" s="20"/>
      <c r="E736" s="20"/>
    </row>
    <row r="737">
      <c r="B737" s="20"/>
      <c r="C737" s="20"/>
      <c r="D737" s="20"/>
      <c r="E737" s="20"/>
    </row>
    <row r="738">
      <c r="B738" s="20"/>
      <c r="C738" s="20"/>
      <c r="D738" s="20"/>
      <c r="E738" s="20"/>
    </row>
    <row r="739">
      <c r="B739" s="20"/>
      <c r="C739" s="20"/>
      <c r="D739" s="20"/>
      <c r="E739" s="20"/>
    </row>
    <row r="740">
      <c r="B740" s="20"/>
      <c r="C740" s="20"/>
      <c r="D740" s="20"/>
      <c r="E740" s="20"/>
    </row>
    <row r="741">
      <c r="B741" s="20"/>
      <c r="C741" s="20"/>
      <c r="D741" s="20"/>
      <c r="E741" s="20"/>
    </row>
    <row r="742">
      <c r="B742" s="20"/>
      <c r="C742" s="20"/>
      <c r="D742" s="20"/>
      <c r="E742" s="20"/>
    </row>
    <row r="743">
      <c r="B743" s="20"/>
      <c r="C743" s="20"/>
      <c r="D743" s="20"/>
      <c r="E743" s="20"/>
    </row>
    <row r="744">
      <c r="B744" s="20"/>
      <c r="C744" s="20"/>
      <c r="D744" s="20"/>
      <c r="E744" s="20"/>
    </row>
    <row r="745">
      <c r="B745" s="20"/>
      <c r="C745" s="20"/>
      <c r="D745" s="20"/>
      <c r="E745" s="20"/>
    </row>
    <row r="746">
      <c r="B746" s="20"/>
      <c r="C746" s="20"/>
      <c r="D746" s="20"/>
      <c r="E746" s="20"/>
    </row>
    <row r="747">
      <c r="B747" s="20"/>
      <c r="C747" s="20"/>
      <c r="D747" s="20"/>
      <c r="E747" s="20"/>
    </row>
    <row r="748">
      <c r="B748" s="20"/>
      <c r="C748" s="20"/>
      <c r="D748" s="20"/>
      <c r="E748" s="20"/>
    </row>
    <row r="749">
      <c r="B749" s="20"/>
      <c r="C749" s="20"/>
      <c r="D749" s="20"/>
      <c r="E749" s="20"/>
    </row>
    <row r="750">
      <c r="B750" s="20"/>
      <c r="C750" s="20"/>
      <c r="D750" s="20"/>
      <c r="E750" s="20"/>
    </row>
    <row r="751">
      <c r="B751" s="20"/>
      <c r="C751" s="20"/>
      <c r="D751" s="20"/>
      <c r="E751" s="20"/>
    </row>
    <row r="752">
      <c r="B752" s="20"/>
      <c r="C752" s="20"/>
      <c r="D752" s="20"/>
      <c r="E752" s="20"/>
    </row>
    <row r="753">
      <c r="B753" s="20"/>
      <c r="C753" s="20"/>
      <c r="D753" s="20"/>
      <c r="E753" s="20"/>
    </row>
    <row r="754">
      <c r="B754" s="20"/>
      <c r="C754" s="20"/>
      <c r="D754" s="20"/>
      <c r="E754" s="20"/>
    </row>
    <row r="755">
      <c r="B755" s="20"/>
      <c r="C755" s="20"/>
      <c r="D755" s="20"/>
      <c r="E755" s="20"/>
    </row>
    <row r="756">
      <c r="B756" s="20"/>
      <c r="C756" s="20"/>
      <c r="D756" s="20"/>
      <c r="E756" s="20"/>
    </row>
    <row r="757">
      <c r="B757" s="20"/>
      <c r="C757" s="20"/>
      <c r="D757" s="20"/>
      <c r="E757" s="20"/>
    </row>
    <row r="758">
      <c r="B758" s="20"/>
      <c r="C758" s="20"/>
      <c r="D758" s="20"/>
      <c r="E758" s="20"/>
    </row>
    <row r="759">
      <c r="B759" s="20"/>
      <c r="C759" s="20"/>
      <c r="D759" s="20"/>
      <c r="E759" s="20"/>
    </row>
    <row r="760">
      <c r="B760" s="20"/>
      <c r="C760" s="20"/>
      <c r="D760" s="20"/>
      <c r="E760" s="20"/>
    </row>
    <row r="761">
      <c r="B761" s="20"/>
      <c r="C761" s="20"/>
      <c r="D761" s="20"/>
      <c r="E761" s="20"/>
    </row>
    <row r="762">
      <c r="B762" s="20"/>
      <c r="C762" s="20"/>
      <c r="D762" s="20"/>
      <c r="E762" s="20"/>
    </row>
    <row r="763">
      <c r="B763" s="20"/>
      <c r="C763" s="20"/>
      <c r="D763" s="20"/>
      <c r="E763" s="20"/>
    </row>
    <row r="764">
      <c r="B764" s="20"/>
      <c r="C764" s="20"/>
      <c r="D764" s="20"/>
      <c r="E764" s="20"/>
    </row>
    <row r="765">
      <c r="B765" s="20"/>
      <c r="C765" s="20"/>
      <c r="D765" s="20"/>
      <c r="E765" s="20"/>
    </row>
    <row r="766">
      <c r="B766" s="20"/>
      <c r="C766" s="20"/>
      <c r="D766" s="20"/>
      <c r="E766" s="20"/>
    </row>
    <row r="767">
      <c r="B767" s="20"/>
      <c r="C767" s="20"/>
      <c r="D767" s="20"/>
      <c r="E767" s="20"/>
    </row>
    <row r="768">
      <c r="B768" s="20"/>
      <c r="C768" s="20"/>
      <c r="D768" s="20"/>
      <c r="E768" s="20"/>
    </row>
    <row r="769">
      <c r="B769" s="20"/>
      <c r="C769" s="20"/>
      <c r="D769" s="20"/>
      <c r="E769" s="20"/>
    </row>
    <row r="770">
      <c r="B770" s="20"/>
      <c r="C770" s="20"/>
      <c r="D770" s="20"/>
      <c r="E770" s="20"/>
    </row>
    <row r="771">
      <c r="B771" s="20"/>
      <c r="C771" s="20"/>
      <c r="D771" s="20"/>
      <c r="E771" s="20"/>
    </row>
    <row r="772">
      <c r="B772" s="20"/>
      <c r="C772" s="20"/>
      <c r="D772" s="20"/>
      <c r="E772" s="20"/>
    </row>
    <row r="773">
      <c r="B773" s="20"/>
      <c r="C773" s="20"/>
      <c r="D773" s="20"/>
      <c r="E773" s="20"/>
    </row>
    <row r="774">
      <c r="B774" s="20"/>
      <c r="C774" s="20"/>
      <c r="D774" s="20"/>
      <c r="E774" s="20"/>
    </row>
    <row r="775">
      <c r="B775" s="20"/>
      <c r="C775" s="20"/>
      <c r="D775" s="20"/>
      <c r="E775" s="20"/>
    </row>
    <row r="776">
      <c r="B776" s="20"/>
      <c r="C776" s="20"/>
      <c r="D776" s="20"/>
      <c r="E776" s="20"/>
    </row>
    <row r="777">
      <c r="B777" s="20"/>
      <c r="C777" s="20"/>
      <c r="D777" s="20"/>
      <c r="E777" s="20"/>
    </row>
    <row r="778">
      <c r="B778" s="20"/>
      <c r="C778" s="20"/>
      <c r="D778" s="20"/>
      <c r="E778" s="20"/>
    </row>
    <row r="779">
      <c r="B779" s="20"/>
      <c r="C779" s="20"/>
      <c r="D779" s="20"/>
      <c r="E779" s="20"/>
    </row>
    <row r="780">
      <c r="B780" s="20"/>
      <c r="C780" s="20"/>
      <c r="D780" s="20"/>
      <c r="E780" s="20"/>
    </row>
    <row r="781">
      <c r="B781" s="20"/>
      <c r="C781" s="20"/>
      <c r="D781" s="20"/>
      <c r="E781" s="20"/>
    </row>
    <row r="782">
      <c r="B782" s="20"/>
      <c r="C782" s="20"/>
      <c r="D782" s="20"/>
      <c r="E782" s="20"/>
    </row>
    <row r="783">
      <c r="B783" s="20"/>
      <c r="C783" s="20"/>
      <c r="D783" s="20"/>
      <c r="E783" s="20"/>
    </row>
    <row r="784">
      <c r="B784" s="20"/>
      <c r="C784" s="20"/>
      <c r="D784" s="20"/>
      <c r="E784" s="20"/>
    </row>
    <row r="785">
      <c r="B785" s="20"/>
      <c r="C785" s="20"/>
      <c r="D785" s="20"/>
      <c r="E785" s="20"/>
    </row>
    <row r="786">
      <c r="B786" s="20"/>
      <c r="C786" s="20"/>
      <c r="D786" s="20"/>
      <c r="E786" s="20"/>
    </row>
    <row r="787">
      <c r="B787" s="20"/>
      <c r="C787" s="20"/>
      <c r="D787" s="20"/>
      <c r="E787" s="20"/>
    </row>
    <row r="788">
      <c r="B788" s="20"/>
      <c r="C788" s="20"/>
      <c r="D788" s="20"/>
      <c r="E788" s="20"/>
    </row>
    <row r="789">
      <c r="B789" s="20"/>
      <c r="C789" s="20"/>
      <c r="D789" s="20"/>
      <c r="E789" s="20"/>
    </row>
    <row r="790">
      <c r="B790" s="20"/>
      <c r="C790" s="20"/>
      <c r="D790" s="20"/>
      <c r="E790" s="20"/>
    </row>
    <row r="791">
      <c r="B791" s="20"/>
      <c r="C791" s="20"/>
      <c r="D791" s="20"/>
      <c r="E791" s="20"/>
    </row>
    <row r="792">
      <c r="B792" s="20"/>
      <c r="C792" s="20"/>
      <c r="D792" s="20"/>
      <c r="E792" s="20"/>
    </row>
    <row r="793">
      <c r="B793" s="20"/>
      <c r="C793" s="20"/>
      <c r="D793" s="20"/>
      <c r="E793" s="20"/>
    </row>
    <row r="794">
      <c r="B794" s="20"/>
      <c r="C794" s="20"/>
      <c r="D794" s="20"/>
      <c r="E794" s="20"/>
    </row>
    <row r="795">
      <c r="B795" s="20"/>
      <c r="C795" s="20"/>
      <c r="D795" s="20"/>
      <c r="E795" s="20"/>
    </row>
    <row r="796">
      <c r="B796" s="20"/>
      <c r="C796" s="20"/>
      <c r="D796" s="20"/>
      <c r="E796" s="20"/>
    </row>
    <row r="797">
      <c r="B797" s="20"/>
      <c r="C797" s="20"/>
      <c r="D797" s="20"/>
      <c r="E797" s="20"/>
    </row>
    <row r="798">
      <c r="B798" s="20"/>
      <c r="C798" s="20"/>
      <c r="D798" s="20"/>
      <c r="E798" s="20"/>
    </row>
    <row r="799">
      <c r="B799" s="20"/>
      <c r="C799" s="20"/>
      <c r="D799" s="20"/>
      <c r="E799" s="20"/>
    </row>
    <row r="800">
      <c r="B800" s="20"/>
      <c r="C800" s="20"/>
      <c r="D800" s="20"/>
      <c r="E800" s="20"/>
    </row>
    <row r="801">
      <c r="B801" s="20"/>
      <c r="C801" s="20"/>
      <c r="D801" s="20"/>
      <c r="E801" s="20"/>
    </row>
    <row r="802">
      <c r="B802" s="20"/>
      <c r="C802" s="20"/>
      <c r="D802" s="20"/>
      <c r="E802" s="20"/>
    </row>
    <row r="803">
      <c r="B803" s="20"/>
      <c r="C803" s="20"/>
      <c r="D803" s="20"/>
      <c r="E803" s="20"/>
    </row>
    <row r="804">
      <c r="B804" s="20"/>
      <c r="C804" s="20"/>
      <c r="D804" s="20"/>
      <c r="E804" s="20"/>
    </row>
    <row r="805">
      <c r="B805" s="20"/>
      <c r="C805" s="20"/>
      <c r="D805" s="20"/>
      <c r="E805" s="20"/>
    </row>
    <row r="806">
      <c r="B806" s="20"/>
      <c r="C806" s="20"/>
      <c r="D806" s="20"/>
      <c r="E806" s="20"/>
    </row>
    <row r="807">
      <c r="B807" s="20"/>
      <c r="C807" s="20"/>
      <c r="D807" s="20"/>
      <c r="E807" s="20"/>
    </row>
    <row r="808">
      <c r="B808" s="20"/>
      <c r="C808" s="20"/>
      <c r="D808" s="20"/>
      <c r="E808" s="20"/>
    </row>
    <row r="809">
      <c r="B809" s="20"/>
      <c r="C809" s="20"/>
      <c r="D809" s="20"/>
      <c r="E809" s="20"/>
    </row>
    <row r="810">
      <c r="B810" s="20"/>
      <c r="C810" s="20"/>
      <c r="D810" s="20"/>
      <c r="E810" s="20"/>
    </row>
    <row r="811">
      <c r="B811" s="20"/>
      <c r="C811" s="20"/>
      <c r="D811" s="20"/>
      <c r="E811" s="20"/>
    </row>
    <row r="812">
      <c r="B812" s="20"/>
      <c r="C812" s="20"/>
      <c r="D812" s="20"/>
      <c r="E812" s="20"/>
    </row>
    <row r="813">
      <c r="B813" s="20"/>
      <c r="C813" s="20"/>
      <c r="D813" s="20"/>
      <c r="E813" s="20"/>
    </row>
    <row r="814">
      <c r="B814" s="20"/>
      <c r="C814" s="20"/>
      <c r="D814" s="20"/>
      <c r="E814" s="20"/>
    </row>
    <row r="815">
      <c r="B815" s="20"/>
      <c r="C815" s="20"/>
      <c r="D815" s="20"/>
      <c r="E815" s="20"/>
    </row>
    <row r="816">
      <c r="B816" s="20"/>
      <c r="C816" s="20"/>
      <c r="D816" s="20"/>
      <c r="E816" s="20"/>
    </row>
    <row r="817">
      <c r="B817" s="20"/>
      <c r="C817" s="20"/>
      <c r="D817" s="20"/>
      <c r="E817" s="20"/>
    </row>
    <row r="818">
      <c r="B818" s="20"/>
      <c r="C818" s="20"/>
      <c r="D818" s="20"/>
      <c r="E818" s="20"/>
    </row>
    <row r="819">
      <c r="B819" s="20"/>
      <c r="C819" s="20"/>
      <c r="D819" s="20"/>
      <c r="E819" s="20"/>
    </row>
    <row r="820">
      <c r="B820" s="20"/>
      <c r="C820" s="20"/>
      <c r="D820" s="20"/>
      <c r="E820" s="20"/>
    </row>
    <row r="821">
      <c r="B821" s="20"/>
      <c r="C821" s="20"/>
      <c r="D821" s="20"/>
      <c r="E821" s="20"/>
    </row>
    <row r="822">
      <c r="B822" s="20"/>
      <c r="C822" s="20"/>
      <c r="D822" s="20"/>
      <c r="E822" s="20"/>
    </row>
    <row r="823">
      <c r="B823" s="20"/>
      <c r="C823" s="20"/>
      <c r="D823" s="20"/>
      <c r="E823" s="20"/>
    </row>
    <row r="824">
      <c r="B824" s="20"/>
      <c r="C824" s="20"/>
      <c r="D824" s="20"/>
      <c r="E824" s="20"/>
    </row>
    <row r="825">
      <c r="B825" s="20"/>
      <c r="C825" s="20"/>
      <c r="D825" s="20"/>
      <c r="E825" s="20"/>
    </row>
    <row r="826">
      <c r="B826" s="20"/>
      <c r="C826" s="20"/>
      <c r="D826" s="20"/>
      <c r="E826" s="20"/>
    </row>
    <row r="827">
      <c r="B827" s="20"/>
      <c r="C827" s="20"/>
      <c r="D827" s="20"/>
      <c r="E827" s="20"/>
    </row>
    <row r="828">
      <c r="B828" s="20"/>
      <c r="C828" s="20"/>
      <c r="D828" s="20"/>
      <c r="E828" s="20"/>
    </row>
    <row r="829">
      <c r="B829" s="20"/>
      <c r="C829" s="20"/>
      <c r="D829" s="20"/>
      <c r="E829" s="20"/>
    </row>
    <row r="830">
      <c r="B830" s="20"/>
      <c r="C830" s="20"/>
      <c r="D830" s="20"/>
      <c r="E830" s="20"/>
    </row>
    <row r="831">
      <c r="B831" s="20"/>
      <c r="C831" s="20"/>
      <c r="D831" s="20"/>
      <c r="E831" s="20"/>
    </row>
    <row r="832">
      <c r="B832" s="20"/>
      <c r="C832" s="20"/>
      <c r="D832" s="20"/>
      <c r="E832" s="20"/>
    </row>
    <row r="833">
      <c r="B833" s="20"/>
      <c r="C833" s="20"/>
      <c r="D833" s="20"/>
      <c r="E833" s="20"/>
    </row>
    <row r="834">
      <c r="B834" s="20"/>
      <c r="C834" s="20"/>
      <c r="D834" s="20"/>
      <c r="E834" s="20"/>
    </row>
    <row r="835">
      <c r="B835" s="20"/>
      <c r="C835" s="20"/>
      <c r="D835" s="20"/>
      <c r="E835" s="20"/>
    </row>
    <row r="836">
      <c r="B836" s="20"/>
      <c r="C836" s="20"/>
      <c r="D836" s="20"/>
      <c r="E836" s="20"/>
    </row>
    <row r="837">
      <c r="B837" s="20"/>
      <c r="C837" s="20"/>
      <c r="D837" s="20"/>
      <c r="E837" s="20"/>
    </row>
    <row r="838">
      <c r="B838" s="20"/>
      <c r="C838" s="20"/>
      <c r="D838" s="20"/>
      <c r="E838" s="20"/>
    </row>
    <row r="839">
      <c r="B839" s="20"/>
      <c r="C839" s="20"/>
      <c r="D839" s="20"/>
      <c r="E839" s="20"/>
    </row>
    <row r="840">
      <c r="B840" s="20"/>
      <c r="C840" s="20"/>
      <c r="D840" s="20"/>
      <c r="E840" s="20"/>
    </row>
    <row r="841">
      <c r="B841" s="20"/>
      <c r="C841" s="20"/>
      <c r="D841" s="20"/>
      <c r="E841" s="20"/>
    </row>
    <row r="842">
      <c r="B842" s="20"/>
      <c r="C842" s="20"/>
      <c r="D842" s="20"/>
      <c r="E842" s="20"/>
    </row>
    <row r="843">
      <c r="B843" s="20"/>
      <c r="C843" s="20"/>
      <c r="D843" s="20"/>
      <c r="E843" s="20"/>
    </row>
    <row r="844">
      <c r="B844" s="20"/>
      <c r="C844" s="20"/>
      <c r="D844" s="20"/>
      <c r="E844" s="20"/>
    </row>
    <row r="845">
      <c r="B845" s="20"/>
      <c r="C845" s="20"/>
      <c r="D845" s="20"/>
      <c r="E845" s="20"/>
    </row>
    <row r="846">
      <c r="B846" s="20"/>
      <c r="C846" s="20"/>
      <c r="D846" s="20"/>
      <c r="E846" s="20"/>
    </row>
    <row r="847">
      <c r="B847" s="20"/>
      <c r="C847" s="20"/>
      <c r="D847" s="20"/>
      <c r="E847" s="20"/>
    </row>
    <row r="848">
      <c r="B848" s="20"/>
      <c r="C848" s="20"/>
      <c r="D848" s="20"/>
      <c r="E848" s="20"/>
    </row>
    <row r="849">
      <c r="B849" s="20"/>
      <c r="C849" s="20"/>
      <c r="D849" s="20"/>
      <c r="E849" s="20"/>
    </row>
    <row r="850">
      <c r="B850" s="20"/>
      <c r="C850" s="20"/>
      <c r="D850" s="20"/>
      <c r="E850" s="20"/>
    </row>
    <row r="851">
      <c r="B851" s="20"/>
      <c r="C851" s="20"/>
      <c r="D851" s="20"/>
      <c r="E851" s="20"/>
    </row>
    <row r="852">
      <c r="B852" s="20"/>
      <c r="C852" s="20"/>
      <c r="D852" s="20"/>
      <c r="E852" s="20"/>
    </row>
    <row r="853">
      <c r="B853" s="20"/>
      <c r="C853" s="20"/>
      <c r="D853" s="20"/>
      <c r="E853" s="20"/>
    </row>
    <row r="854">
      <c r="B854" s="20"/>
      <c r="C854" s="20"/>
      <c r="D854" s="20"/>
      <c r="E854" s="20"/>
    </row>
    <row r="855">
      <c r="B855" s="20"/>
      <c r="C855" s="20"/>
      <c r="D855" s="20"/>
      <c r="E855" s="20"/>
    </row>
    <row r="856">
      <c r="B856" s="20"/>
      <c r="C856" s="20"/>
      <c r="D856" s="20"/>
      <c r="E856" s="20"/>
    </row>
    <row r="857">
      <c r="B857" s="20"/>
      <c r="C857" s="20"/>
      <c r="D857" s="20"/>
      <c r="E857" s="20"/>
    </row>
    <row r="858">
      <c r="B858" s="20"/>
      <c r="C858" s="20"/>
      <c r="D858" s="20"/>
      <c r="E858" s="20"/>
    </row>
    <row r="859">
      <c r="B859" s="20"/>
      <c r="C859" s="20"/>
      <c r="D859" s="20"/>
      <c r="E859" s="20"/>
    </row>
    <row r="860">
      <c r="B860" s="20"/>
      <c r="C860" s="20"/>
      <c r="D860" s="20"/>
      <c r="E860" s="20"/>
    </row>
    <row r="861">
      <c r="B861" s="20"/>
      <c r="C861" s="20"/>
      <c r="D861" s="20"/>
      <c r="E861" s="20"/>
    </row>
    <row r="862">
      <c r="B862" s="20"/>
      <c r="C862" s="20"/>
      <c r="D862" s="20"/>
      <c r="E862" s="20"/>
    </row>
    <row r="863">
      <c r="B863" s="20"/>
      <c r="C863" s="20"/>
      <c r="D863" s="20"/>
      <c r="E863" s="20"/>
    </row>
    <row r="864">
      <c r="B864" s="20"/>
      <c r="C864" s="20"/>
      <c r="D864" s="20"/>
      <c r="E864" s="20"/>
    </row>
    <row r="865">
      <c r="B865" s="20"/>
      <c r="C865" s="20"/>
      <c r="D865" s="20"/>
      <c r="E865" s="20"/>
    </row>
    <row r="866">
      <c r="B866" s="20"/>
      <c r="C866" s="20"/>
      <c r="D866" s="20"/>
      <c r="E866" s="20"/>
    </row>
    <row r="867">
      <c r="B867" s="20"/>
      <c r="C867" s="20"/>
      <c r="D867" s="20"/>
      <c r="E867" s="20"/>
    </row>
    <row r="868">
      <c r="B868" s="20"/>
      <c r="C868" s="20"/>
      <c r="D868" s="20"/>
      <c r="E868" s="20"/>
    </row>
    <row r="869">
      <c r="B869" s="20"/>
      <c r="C869" s="20"/>
      <c r="D869" s="20"/>
      <c r="E869" s="20"/>
    </row>
    <row r="870">
      <c r="B870" s="20"/>
      <c r="C870" s="20"/>
      <c r="D870" s="20"/>
      <c r="E870" s="20"/>
    </row>
    <row r="871">
      <c r="B871" s="20"/>
      <c r="C871" s="20"/>
      <c r="D871" s="20"/>
      <c r="E871" s="20"/>
    </row>
    <row r="872">
      <c r="B872" s="20"/>
      <c r="C872" s="20"/>
      <c r="D872" s="20"/>
      <c r="E872" s="20"/>
    </row>
    <row r="873">
      <c r="B873" s="20"/>
      <c r="C873" s="20"/>
      <c r="D873" s="20"/>
      <c r="E873" s="20"/>
    </row>
    <row r="874">
      <c r="B874" s="20"/>
      <c r="C874" s="20"/>
      <c r="D874" s="20"/>
      <c r="E874" s="20"/>
    </row>
    <row r="875">
      <c r="B875" s="20"/>
      <c r="C875" s="20"/>
      <c r="D875" s="20"/>
      <c r="E875" s="20"/>
    </row>
    <row r="876">
      <c r="B876" s="20"/>
      <c r="C876" s="20"/>
      <c r="D876" s="20"/>
      <c r="E876" s="20"/>
    </row>
    <row r="877">
      <c r="B877" s="20"/>
      <c r="C877" s="20"/>
      <c r="D877" s="20"/>
      <c r="E877" s="20"/>
    </row>
    <row r="878">
      <c r="B878" s="20"/>
      <c r="C878" s="20"/>
      <c r="D878" s="20"/>
      <c r="E878" s="20"/>
    </row>
    <row r="879">
      <c r="B879" s="20"/>
      <c r="C879" s="20"/>
      <c r="D879" s="20"/>
      <c r="E879" s="20"/>
    </row>
    <row r="880">
      <c r="B880" s="20"/>
      <c r="C880" s="20"/>
      <c r="D880" s="20"/>
      <c r="E880" s="20"/>
    </row>
    <row r="881">
      <c r="B881" s="20"/>
      <c r="C881" s="20"/>
      <c r="D881" s="20"/>
      <c r="E881" s="20"/>
    </row>
    <row r="882">
      <c r="B882" s="20"/>
      <c r="C882" s="20"/>
      <c r="D882" s="20"/>
      <c r="E882" s="20"/>
    </row>
    <row r="883">
      <c r="B883" s="20"/>
      <c r="C883" s="20"/>
      <c r="D883" s="20"/>
      <c r="E883" s="20"/>
    </row>
    <row r="884">
      <c r="B884" s="20"/>
      <c r="C884" s="20"/>
      <c r="D884" s="20"/>
      <c r="E884" s="20"/>
    </row>
    <row r="885">
      <c r="B885" s="20"/>
      <c r="C885" s="20"/>
      <c r="D885" s="20"/>
      <c r="E885" s="20"/>
    </row>
    <row r="886">
      <c r="B886" s="20"/>
      <c r="C886" s="20"/>
      <c r="D886" s="20"/>
      <c r="E886" s="20"/>
    </row>
    <row r="887">
      <c r="B887" s="20"/>
      <c r="C887" s="20"/>
      <c r="D887" s="20"/>
      <c r="E887" s="20"/>
    </row>
    <row r="888">
      <c r="B888" s="20"/>
      <c r="C888" s="20"/>
      <c r="D888" s="20"/>
      <c r="E888" s="20"/>
    </row>
    <row r="889">
      <c r="B889" s="20"/>
      <c r="C889" s="20"/>
      <c r="D889" s="20"/>
      <c r="E889" s="20"/>
    </row>
    <row r="890">
      <c r="B890" s="20"/>
      <c r="C890" s="20"/>
      <c r="D890" s="20"/>
      <c r="E890" s="20"/>
    </row>
    <row r="891">
      <c r="B891" s="20"/>
      <c r="C891" s="20"/>
      <c r="D891" s="20"/>
      <c r="E891" s="20"/>
    </row>
    <row r="892">
      <c r="B892" s="20"/>
      <c r="C892" s="20"/>
      <c r="D892" s="20"/>
      <c r="E892" s="20"/>
    </row>
    <row r="893">
      <c r="B893" s="20"/>
      <c r="C893" s="20"/>
      <c r="D893" s="20"/>
      <c r="E893" s="20"/>
    </row>
    <row r="894">
      <c r="B894" s="20"/>
      <c r="C894" s="20"/>
      <c r="D894" s="20"/>
      <c r="E894" s="20"/>
    </row>
    <row r="895">
      <c r="B895" s="20"/>
      <c r="C895" s="20"/>
      <c r="D895" s="20"/>
      <c r="E895" s="20"/>
    </row>
    <row r="896">
      <c r="B896" s="20"/>
      <c r="C896" s="20"/>
      <c r="D896" s="20"/>
      <c r="E896" s="20"/>
    </row>
    <row r="897">
      <c r="B897" s="20"/>
      <c r="C897" s="20"/>
      <c r="D897" s="20"/>
      <c r="E897" s="20"/>
    </row>
    <row r="898">
      <c r="B898" s="20"/>
      <c r="C898" s="20"/>
      <c r="D898" s="20"/>
      <c r="E898" s="20"/>
    </row>
    <row r="899">
      <c r="B899" s="20"/>
      <c r="C899" s="20"/>
      <c r="D899" s="20"/>
      <c r="E899" s="20"/>
    </row>
    <row r="900">
      <c r="B900" s="20"/>
      <c r="C900" s="20"/>
      <c r="D900" s="20"/>
      <c r="E900" s="20"/>
    </row>
    <row r="901">
      <c r="B901" s="20"/>
      <c r="C901" s="20"/>
      <c r="D901" s="20"/>
      <c r="E901" s="20"/>
    </row>
    <row r="902">
      <c r="B902" s="20"/>
      <c r="C902" s="20"/>
      <c r="D902" s="20"/>
      <c r="E902" s="20"/>
    </row>
    <row r="903">
      <c r="B903" s="20"/>
      <c r="C903" s="20"/>
      <c r="D903" s="20"/>
      <c r="E903" s="20"/>
    </row>
    <row r="904">
      <c r="B904" s="20"/>
      <c r="C904" s="20"/>
      <c r="D904" s="20"/>
      <c r="E904" s="20"/>
    </row>
    <row r="905">
      <c r="B905" s="20"/>
      <c r="C905" s="20"/>
      <c r="D905" s="20"/>
      <c r="E905" s="20"/>
    </row>
    <row r="906">
      <c r="B906" s="20"/>
      <c r="C906" s="20"/>
      <c r="D906" s="20"/>
      <c r="E906" s="20"/>
    </row>
    <row r="907">
      <c r="B907" s="20"/>
      <c r="C907" s="20"/>
      <c r="D907" s="20"/>
      <c r="E907" s="20"/>
    </row>
    <row r="908">
      <c r="B908" s="20"/>
      <c r="C908" s="20"/>
      <c r="D908" s="20"/>
      <c r="E908" s="20"/>
    </row>
    <row r="909">
      <c r="B909" s="20"/>
      <c r="C909" s="20"/>
      <c r="D909" s="20"/>
      <c r="E909" s="20"/>
    </row>
    <row r="910">
      <c r="B910" s="20"/>
      <c r="C910" s="20"/>
      <c r="D910" s="20"/>
      <c r="E910" s="20"/>
    </row>
    <row r="911">
      <c r="B911" s="20"/>
      <c r="C911" s="20"/>
      <c r="D911" s="20"/>
      <c r="E911" s="20"/>
    </row>
    <row r="912">
      <c r="B912" s="20"/>
      <c r="C912" s="20"/>
      <c r="D912" s="20"/>
      <c r="E912" s="20"/>
    </row>
    <row r="913">
      <c r="B913" s="20"/>
      <c r="C913" s="20"/>
      <c r="D913" s="20"/>
      <c r="E913" s="20"/>
    </row>
    <row r="914">
      <c r="B914" s="20"/>
      <c r="C914" s="20"/>
      <c r="D914" s="20"/>
      <c r="E914" s="20"/>
    </row>
    <row r="915">
      <c r="B915" s="20"/>
      <c r="C915" s="20"/>
      <c r="D915" s="20"/>
      <c r="E915" s="20"/>
    </row>
    <row r="916">
      <c r="B916" s="20"/>
      <c r="C916" s="20"/>
      <c r="D916" s="20"/>
      <c r="E916" s="20"/>
    </row>
    <row r="917">
      <c r="B917" s="20"/>
      <c r="C917" s="20"/>
      <c r="D917" s="20"/>
      <c r="E917" s="20"/>
    </row>
    <row r="918">
      <c r="B918" s="20"/>
      <c r="C918" s="20"/>
      <c r="D918" s="20"/>
      <c r="E918" s="20"/>
    </row>
    <row r="919">
      <c r="B919" s="20"/>
      <c r="C919" s="20"/>
      <c r="D919" s="20"/>
      <c r="E919" s="20"/>
    </row>
    <row r="920">
      <c r="B920" s="20"/>
      <c r="C920" s="20"/>
      <c r="D920" s="20"/>
      <c r="E920" s="20"/>
    </row>
    <row r="921">
      <c r="B921" s="20"/>
      <c r="C921" s="20"/>
      <c r="D921" s="20"/>
      <c r="E921" s="20"/>
    </row>
    <row r="922">
      <c r="B922" s="20"/>
      <c r="C922" s="20"/>
      <c r="D922" s="20"/>
      <c r="E922" s="20"/>
    </row>
    <row r="923">
      <c r="B923" s="20"/>
      <c r="C923" s="20"/>
      <c r="D923" s="20"/>
      <c r="E923" s="20"/>
    </row>
    <row r="924">
      <c r="B924" s="20"/>
      <c r="C924" s="20"/>
      <c r="D924" s="20"/>
      <c r="E924" s="20"/>
    </row>
    <row r="925">
      <c r="B925" s="20"/>
      <c r="C925" s="20"/>
      <c r="D925" s="20"/>
      <c r="E925" s="20"/>
    </row>
    <row r="926">
      <c r="B926" s="20"/>
      <c r="C926" s="20"/>
      <c r="D926" s="20"/>
      <c r="E926" s="20"/>
    </row>
    <row r="927">
      <c r="B927" s="20"/>
      <c r="C927" s="20"/>
      <c r="D927" s="20"/>
      <c r="E927" s="20"/>
    </row>
    <row r="928">
      <c r="B928" s="20"/>
      <c r="C928" s="20"/>
      <c r="D928" s="20"/>
      <c r="E928" s="20"/>
    </row>
    <row r="929">
      <c r="B929" s="20"/>
      <c r="C929" s="20"/>
      <c r="D929" s="20"/>
      <c r="E929" s="20"/>
    </row>
    <row r="930">
      <c r="B930" s="20"/>
      <c r="C930" s="20"/>
      <c r="D930" s="20"/>
      <c r="E930" s="20"/>
    </row>
    <row r="931">
      <c r="B931" s="20"/>
      <c r="C931" s="20"/>
      <c r="D931" s="20"/>
      <c r="E931" s="20"/>
    </row>
    <row r="932">
      <c r="B932" s="20"/>
      <c r="C932" s="20"/>
      <c r="D932" s="20"/>
      <c r="E932" s="20"/>
    </row>
    <row r="933">
      <c r="B933" s="20"/>
      <c r="C933" s="20"/>
      <c r="D933" s="20"/>
      <c r="E933" s="20"/>
    </row>
    <row r="934">
      <c r="B934" s="20"/>
      <c r="C934" s="20"/>
      <c r="D934" s="20"/>
      <c r="E934" s="20"/>
    </row>
    <row r="935">
      <c r="B935" s="20"/>
      <c r="C935" s="20"/>
      <c r="D935" s="20"/>
      <c r="E935" s="20"/>
    </row>
    <row r="936">
      <c r="B936" s="20"/>
      <c r="C936" s="20"/>
      <c r="D936" s="20"/>
      <c r="E936" s="20"/>
    </row>
    <row r="937">
      <c r="B937" s="20"/>
      <c r="C937" s="20"/>
      <c r="D937" s="20"/>
      <c r="E937" s="20"/>
    </row>
    <row r="938">
      <c r="B938" s="20"/>
      <c r="C938" s="20"/>
      <c r="D938" s="20"/>
      <c r="E938" s="20"/>
    </row>
    <row r="939">
      <c r="B939" s="20"/>
      <c r="C939" s="20"/>
      <c r="D939" s="20"/>
      <c r="E939" s="20"/>
    </row>
    <row r="940">
      <c r="B940" s="20"/>
      <c r="C940" s="20"/>
      <c r="D940" s="20"/>
      <c r="E940" s="20"/>
    </row>
    <row r="941">
      <c r="B941" s="20"/>
      <c r="C941" s="20"/>
      <c r="D941" s="20"/>
      <c r="E941" s="20"/>
    </row>
    <row r="942">
      <c r="B942" s="20"/>
      <c r="C942" s="20"/>
      <c r="D942" s="20"/>
      <c r="E942" s="20"/>
    </row>
    <row r="943">
      <c r="B943" s="20"/>
      <c r="C943" s="20"/>
      <c r="D943" s="20"/>
      <c r="E943" s="20"/>
    </row>
    <row r="944">
      <c r="B944" s="20"/>
      <c r="C944" s="20"/>
      <c r="D944" s="20"/>
      <c r="E944" s="20"/>
    </row>
    <row r="945">
      <c r="B945" s="20"/>
      <c r="C945" s="20"/>
      <c r="D945" s="20"/>
      <c r="E945" s="20"/>
    </row>
    <row r="946">
      <c r="B946" s="20"/>
      <c r="C946" s="20"/>
      <c r="D946" s="20"/>
      <c r="E946" s="20"/>
    </row>
    <row r="947">
      <c r="B947" s="20"/>
      <c r="C947" s="20"/>
      <c r="D947" s="20"/>
      <c r="E947" s="20"/>
    </row>
    <row r="948">
      <c r="B948" s="20"/>
      <c r="C948" s="20"/>
      <c r="D948" s="20"/>
      <c r="E948" s="20"/>
    </row>
    <row r="949">
      <c r="B949" s="20"/>
      <c r="C949" s="20"/>
      <c r="D949" s="20"/>
      <c r="E949" s="20"/>
    </row>
    <row r="950">
      <c r="B950" s="20"/>
      <c r="C950" s="20"/>
      <c r="D950" s="20"/>
      <c r="E950" s="20"/>
    </row>
    <row r="951">
      <c r="B951" s="20"/>
      <c r="C951" s="20"/>
      <c r="D951" s="20"/>
      <c r="E951" s="20"/>
    </row>
    <row r="952">
      <c r="B952" s="20"/>
      <c r="C952" s="20"/>
      <c r="D952" s="20"/>
      <c r="E952" s="20"/>
    </row>
    <row r="953">
      <c r="B953" s="20"/>
      <c r="C953" s="20"/>
      <c r="D953" s="20"/>
      <c r="E953" s="20"/>
    </row>
    <row r="954">
      <c r="B954" s="20"/>
      <c r="C954" s="20"/>
      <c r="D954" s="20"/>
      <c r="E954" s="20"/>
    </row>
    <row r="955">
      <c r="B955" s="20"/>
      <c r="C955" s="20"/>
      <c r="D955" s="20"/>
      <c r="E955" s="20"/>
    </row>
    <row r="956">
      <c r="B956" s="20"/>
      <c r="C956" s="20"/>
      <c r="D956" s="20"/>
      <c r="E956" s="20"/>
    </row>
    <row r="957">
      <c r="B957" s="20"/>
      <c r="C957" s="20"/>
      <c r="D957" s="20"/>
      <c r="E957" s="20"/>
    </row>
    <row r="958">
      <c r="B958" s="20"/>
      <c r="C958" s="20"/>
      <c r="D958" s="20"/>
      <c r="E958" s="20"/>
    </row>
    <row r="959">
      <c r="B959" s="20"/>
      <c r="C959" s="20"/>
      <c r="D959" s="20"/>
      <c r="E959" s="20"/>
    </row>
    <row r="960">
      <c r="B960" s="20"/>
      <c r="C960" s="20"/>
      <c r="D960" s="20"/>
      <c r="E960" s="20"/>
    </row>
    <row r="961">
      <c r="B961" s="20"/>
      <c r="C961" s="20"/>
      <c r="D961" s="20"/>
      <c r="E961" s="20"/>
    </row>
    <row r="962">
      <c r="B962" s="20"/>
      <c r="C962" s="20"/>
      <c r="D962" s="20"/>
      <c r="E962" s="20"/>
    </row>
    <row r="963">
      <c r="B963" s="20"/>
      <c r="C963" s="20"/>
      <c r="D963" s="20"/>
      <c r="E963" s="20"/>
    </row>
    <row r="964">
      <c r="B964" s="20"/>
      <c r="C964" s="20"/>
      <c r="D964" s="20"/>
      <c r="E964" s="20"/>
    </row>
    <row r="965">
      <c r="B965" s="20"/>
      <c r="C965" s="20"/>
      <c r="D965" s="20"/>
      <c r="E965" s="20"/>
    </row>
    <row r="966">
      <c r="B966" s="20"/>
      <c r="C966" s="20"/>
      <c r="D966" s="20"/>
      <c r="E966" s="20"/>
    </row>
    <row r="967">
      <c r="B967" s="20"/>
      <c r="C967" s="20"/>
      <c r="D967" s="20"/>
      <c r="E967" s="20"/>
    </row>
    <row r="968">
      <c r="B968" s="20"/>
      <c r="C968" s="20"/>
      <c r="D968" s="20"/>
      <c r="E968" s="20"/>
    </row>
    <row r="969">
      <c r="B969" s="20"/>
      <c r="C969" s="20"/>
      <c r="D969" s="20"/>
      <c r="E969" s="20"/>
    </row>
    <row r="970">
      <c r="B970" s="20"/>
      <c r="C970" s="20"/>
      <c r="D970" s="20"/>
      <c r="E970" s="20"/>
    </row>
    <row r="971">
      <c r="B971" s="20"/>
      <c r="C971" s="20"/>
      <c r="D971" s="20"/>
      <c r="E971" s="20"/>
    </row>
    <row r="972">
      <c r="B972" s="20"/>
      <c r="C972" s="20"/>
      <c r="D972" s="20"/>
      <c r="E972" s="20"/>
    </row>
    <row r="973">
      <c r="B973" s="20"/>
      <c r="C973" s="20"/>
      <c r="D973" s="20"/>
      <c r="E973" s="20"/>
    </row>
    <row r="974">
      <c r="B974" s="20"/>
      <c r="C974" s="20"/>
      <c r="D974" s="20"/>
      <c r="E974" s="20"/>
    </row>
    <row r="975">
      <c r="B975" s="20"/>
      <c r="C975" s="20"/>
      <c r="D975" s="20"/>
      <c r="E975" s="20"/>
    </row>
    <row r="976">
      <c r="B976" s="20"/>
      <c r="C976" s="20"/>
      <c r="D976" s="20"/>
      <c r="E976" s="20"/>
    </row>
    <row r="977">
      <c r="B977" s="20"/>
      <c r="C977" s="20"/>
      <c r="D977" s="20"/>
      <c r="E977" s="20"/>
    </row>
    <row r="978">
      <c r="B978" s="20"/>
      <c r="C978" s="20"/>
      <c r="D978" s="20"/>
      <c r="E978" s="20"/>
    </row>
    <row r="979">
      <c r="B979" s="20"/>
      <c r="C979" s="20"/>
      <c r="D979" s="20"/>
      <c r="E979" s="20"/>
    </row>
    <row r="980">
      <c r="B980" s="20"/>
      <c r="C980" s="20"/>
      <c r="D980" s="20"/>
      <c r="E980" s="20"/>
    </row>
    <row r="981">
      <c r="B981" s="20"/>
      <c r="C981" s="20"/>
      <c r="D981" s="20"/>
      <c r="E981" s="20"/>
    </row>
    <row r="982">
      <c r="B982" s="20"/>
      <c r="C982" s="20"/>
      <c r="D982" s="20"/>
      <c r="E982" s="20"/>
    </row>
    <row r="983">
      <c r="B983" s="20"/>
      <c r="C983" s="20"/>
      <c r="D983" s="20"/>
      <c r="E983" s="20"/>
    </row>
    <row r="984">
      <c r="B984" s="20"/>
      <c r="C984" s="20"/>
      <c r="D984" s="20"/>
      <c r="E984" s="20"/>
    </row>
    <row r="985">
      <c r="B985" s="20"/>
      <c r="C985" s="20"/>
      <c r="D985" s="20"/>
      <c r="E985" s="20"/>
    </row>
    <row r="986">
      <c r="B986" s="20"/>
      <c r="C986" s="20"/>
      <c r="D986" s="20"/>
      <c r="E986" s="20"/>
    </row>
    <row r="987">
      <c r="B987" s="20"/>
      <c r="C987" s="20"/>
      <c r="D987" s="20"/>
      <c r="E987" s="20"/>
    </row>
    <row r="988">
      <c r="B988" s="20"/>
      <c r="C988" s="20"/>
      <c r="D988" s="20"/>
      <c r="E988" s="20"/>
    </row>
    <row r="989">
      <c r="B989" s="20"/>
      <c r="C989" s="20"/>
      <c r="D989" s="20"/>
      <c r="E989" s="20"/>
    </row>
    <row r="990">
      <c r="B990" s="20"/>
      <c r="C990" s="20"/>
      <c r="D990" s="20"/>
      <c r="E990" s="20"/>
    </row>
    <row r="991">
      <c r="B991" s="20"/>
      <c r="C991" s="20"/>
      <c r="D991" s="20"/>
      <c r="E991" s="20"/>
    </row>
    <row r="992">
      <c r="B992" s="20"/>
      <c r="C992" s="20"/>
      <c r="D992" s="20"/>
      <c r="E992" s="20"/>
    </row>
    <row r="993">
      <c r="B993" s="20"/>
      <c r="C993" s="20"/>
      <c r="D993" s="20"/>
      <c r="E993" s="20"/>
    </row>
    <row r="994">
      <c r="B994" s="20"/>
      <c r="C994" s="20"/>
      <c r="D994" s="20"/>
      <c r="E994" s="20"/>
    </row>
    <row r="995">
      <c r="B995" s="20"/>
      <c r="C995" s="20"/>
      <c r="D995" s="20"/>
      <c r="E995" s="20"/>
    </row>
    <row r="996">
      <c r="B996" s="20"/>
      <c r="C996" s="20"/>
      <c r="D996" s="20"/>
      <c r="E996" s="20"/>
    </row>
    <row r="997">
      <c r="B997" s="20"/>
      <c r="C997" s="20"/>
      <c r="D997" s="20"/>
      <c r="E997" s="20"/>
    </row>
    <row r="998">
      <c r="B998" s="20"/>
      <c r="C998" s="20"/>
      <c r="D998" s="20"/>
      <c r="E998" s="20"/>
    </row>
    <row r="999">
      <c r="B999" s="20"/>
      <c r="C999" s="20"/>
      <c r="D999" s="20"/>
      <c r="E999" s="20"/>
    </row>
    <row r="1000">
      <c r="B1000" s="20"/>
      <c r="C1000" s="20"/>
      <c r="D1000" s="20"/>
      <c r="E1000" s="2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5.63"/>
    <col customWidth="1" min="2" max="2" width="24.88"/>
    <col customWidth="1" min="3" max="5" width="26.0"/>
  </cols>
  <sheetData>
    <row r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 t="s">
        <v>781</v>
      </c>
      <c r="B2" s="22" t="s">
        <v>782</v>
      </c>
      <c r="C2" s="22" t="s">
        <v>783</v>
      </c>
      <c r="D2" s="22" t="s">
        <v>143</v>
      </c>
      <c r="E2" s="22" t="s">
        <v>141</v>
      </c>
    </row>
    <row r="3">
      <c r="A3" s="15" t="s">
        <v>784</v>
      </c>
      <c r="B3" s="15" t="s">
        <v>785</v>
      </c>
      <c r="C3" s="15" t="s">
        <v>786</v>
      </c>
      <c r="D3" s="15" t="s">
        <v>787</v>
      </c>
      <c r="E3" s="15" t="s">
        <v>788</v>
      </c>
    </row>
    <row r="4">
      <c r="A4" s="15" t="s">
        <v>789</v>
      </c>
      <c r="B4" s="15" t="s">
        <v>790</v>
      </c>
      <c r="C4" s="15" t="s">
        <v>791</v>
      </c>
      <c r="D4" s="15" t="s">
        <v>792</v>
      </c>
      <c r="E4" s="15" t="s">
        <v>793</v>
      </c>
    </row>
    <row r="5">
      <c r="A5" s="15" t="s">
        <v>794</v>
      </c>
      <c r="B5" s="22" t="s">
        <v>611</v>
      </c>
      <c r="C5" s="22" t="s">
        <v>795</v>
      </c>
      <c r="D5" s="22" t="s">
        <v>796</v>
      </c>
      <c r="E5" s="22" t="s">
        <v>797</v>
      </c>
    </row>
    <row r="6">
      <c r="A6" s="15" t="s">
        <v>798</v>
      </c>
      <c r="B6" s="15" t="s">
        <v>799</v>
      </c>
      <c r="C6" s="15" t="s">
        <v>800</v>
      </c>
      <c r="D6" s="15" t="s">
        <v>801</v>
      </c>
      <c r="E6" s="15" t="s">
        <v>802</v>
      </c>
    </row>
    <row r="7">
      <c r="A7" s="15" t="s">
        <v>803</v>
      </c>
      <c r="B7" s="22" t="s">
        <v>611</v>
      </c>
      <c r="C7" s="22" t="s">
        <v>797</v>
      </c>
      <c r="D7" s="22" t="s">
        <v>804</v>
      </c>
      <c r="E7" s="22" t="s">
        <v>805</v>
      </c>
    </row>
    <row r="8">
      <c r="A8" s="15" t="s">
        <v>806</v>
      </c>
      <c r="B8" s="15" t="s">
        <v>807</v>
      </c>
      <c r="C8" s="15" t="s">
        <v>808</v>
      </c>
      <c r="D8" s="15" t="s">
        <v>809</v>
      </c>
      <c r="E8" s="15" t="s">
        <v>810</v>
      </c>
    </row>
    <row r="9">
      <c r="A9" s="15" t="s">
        <v>811</v>
      </c>
      <c r="B9" s="15" t="s">
        <v>812</v>
      </c>
      <c r="C9" s="15" t="s">
        <v>813</v>
      </c>
      <c r="D9" s="15" t="s">
        <v>814</v>
      </c>
      <c r="E9" s="15" t="s">
        <v>815</v>
      </c>
    </row>
    <row r="10">
      <c r="A10" s="15" t="s">
        <v>816</v>
      </c>
      <c r="B10" s="15" t="s">
        <v>817</v>
      </c>
      <c r="C10" s="15" t="s">
        <v>818</v>
      </c>
      <c r="D10" s="15" t="s">
        <v>819</v>
      </c>
      <c r="E10" s="15" t="s">
        <v>820</v>
      </c>
    </row>
    <row r="11">
      <c r="A11" s="15" t="s">
        <v>821</v>
      </c>
      <c r="B11" s="15" t="s">
        <v>822</v>
      </c>
      <c r="C11" s="15" t="s">
        <v>823</v>
      </c>
      <c r="D11" s="15" t="s">
        <v>824</v>
      </c>
      <c r="E11" s="15" t="s">
        <v>825</v>
      </c>
    </row>
    <row r="12">
      <c r="A12" s="15" t="s">
        <v>826</v>
      </c>
      <c r="B12" s="22" t="s">
        <v>827</v>
      </c>
      <c r="C12" s="22" t="s">
        <v>146</v>
      </c>
      <c r="D12" s="22" t="s">
        <v>346</v>
      </c>
      <c r="E12" s="22" t="s">
        <v>347</v>
      </c>
    </row>
    <row r="13">
      <c r="A13" s="15" t="s">
        <v>828</v>
      </c>
      <c r="B13" s="15" t="s">
        <v>829</v>
      </c>
      <c r="C13" s="15" t="s">
        <v>830</v>
      </c>
      <c r="D13" s="15" t="s">
        <v>831</v>
      </c>
      <c r="E13" s="15" t="s">
        <v>832</v>
      </c>
    </row>
    <row r="14">
      <c r="A14" s="15" t="s">
        <v>833</v>
      </c>
      <c r="B14" s="15" t="s">
        <v>834</v>
      </c>
      <c r="C14" s="15" t="s">
        <v>835</v>
      </c>
      <c r="D14" s="15" t="s">
        <v>836</v>
      </c>
      <c r="E14" s="15" t="s">
        <v>837</v>
      </c>
    </row>
    <row r="15">
      <c r="A15" s="15" t="s">
        <v>838</v>
      </c>
      <c r="B15" s="15" t="s">
        <v>839</v>
      </c>
      <c r="C15" s="15" t="s">
        <v>840</v>
      </c>
      <c r="D15" s="15" t="s">
        <v>841</v>
      </c>
      <c r="E15" s="15" t="s">
        <v>842</v>
      </c>
    </row>
    <row r="16">
      <c r="A16" s="15" t="s">
        <v>843</v>
      </c>
      <c r="B16" s="15" t="s">
        <v>844</v>
      </c>
      <c r="C16" s="15" t="s">
        <v>845</v>
      </c>
      <c r="D16" s="15" t="s">
        <v>846</v>
      </c>
      <c r="E16" s="15" t="s">
        <v>847</v>
      </c>
    </row>
    <row r="17">
      <c r="A17" s="15" t="s">
        <v>848</v>
      </c>
      <c r="B17" s="15" t="s">
        <v>849</v>
      </c>
      <c r="C17" s="15" t="s">
        <v>850</v>
      </c>
      <c r="D17" s="15" t="s">
        <v>851</v>
      </c>
      <c r="E17" s="15" t="s">
        <v>852</v>
      </c>
    </row>
    <row r="18">
      <c r="A18" s="15" t="s">
        <v>853</v>
      </c>
      <c r="B18" s="15" t="s">
        <v>854</v>
      </c>
      <c r="C18" s="15" t="s">
        <v>855</v>
      </c>
      <c r="D18" s="15" t="s">
        <v>856</v>
      </c>
      <c r="E18" s="15" t="s">
        <v>857</v>
      </c>
    </row>
    <row r="19">
      <c r="A19" s="15" t="s">
        <v>858</v>
      </c>
      <c r="B19" s="15" t="s">
        <v>859</v>
      </c>
      <c r="C19" s="15" t="s">
        <v>860</v>
      </c>
      <c r="D19" s="15" t="s">
        <v>861</v>
      </c>
      <c r="E19" s="15" t="s">
        <v>862</v>
      </c>
    </row>
    <row r="20">
      <c r="A20" s="15" t="s">
        <v>863</v>
      </c>
      <c r="B20" s="22" t="s">
        <v>864</v>
      </c>
      <c r="C20" s="22" t="s">
        <v>865</v>
      </c>
      <c r="D20" s="22" t="s">
        <v>866</v>
      </c>
      <c r="E20" s="22" t="s">
        <v>611</v>
      </c>
    </row>
    <row r="21">
      <c r="A21" s="15" t="s">
        <v>867</v>
      </c>
      <c r="B21" s="15" t="s">
        <v>868</v>
      </c>
      <c r="C21" s="15" t="s">
        <v>869</v>
      </c>
      <c r="D21" s="15" t="s">
        <v>870</v>
      </c>
      <c r="E21" s="15" t="s">
        <v>871</v>
      </c>
    </row>
    <row r="22">
      <c r="A22" s="15" t="s">
        <v>872</v>
      </c>
      <c r="B22" s="15" t="s">
        <v>873</v>
      </c>
      <c r="C22" s="15" t="s">
        <v>874</v>
      </c>
      <c r="D22" s="15" t="s">
        <v>875</v>
      </c>
      <c r="E22" s="15" t="s">
        <v>876</v>
      </c>
    </row>
    <row r="23">
      <c r="A23" s="15" t="s">
        <v>877</v>
      </c>
      <c r="B23" s="15" t="s">
        <v>878</v>
      </c>
      <c r="C23" s="15" t="s">
        <v>879</v>
      </c>
      <c r="D23" s="15" t="s">
        <v>880</v>
      </c>
      <c r="E23" s="15" t="s">
        <v>881</v>
      </c>
    </row>
    <row r="24">
      <c r="A24" s="15" t="s">
        <v>882</v>
      </c>
      <c r="B24" s="15" t="s">
        <v>883</v>
      </c>
      <c r="C24" s="15" t="s">
        <v>884</v>
      </c>
      <c r="D24" s="15" t="s">
        <v>885</v>
      </c>
      <c r="E24" s="15" t="s">
        <v>886</v>
      </c>
    </row>
    <row r="25">
      <c r="A25" s="15" t="s">
        <v>887</v>
      </c>
      <c r="B25" s="22" t="s">
        <v>115</v>
      </c>
      <c r="C25" s="22" t="s">
        <v>113</v>
      </c>
      <c r="D25" s="22" t="s">
        <v>138</v>
      </c>
      <c r="E25" s="22" t="s">
        <v>112</v>
      </c>
    </row>
    <row r="26">
      <c r="A26" s="15" t="s">
        <v>888</v>
      </c>
      <c r="B26" s="15" t="s">
        <v>889</v>
      </c>
      <c r="C26" s="15" t="s">
        <v>890</v>
      </c>
      <c r="D26" s="15" t="s">
        <v>891</v>
      </c>
      <c r="E26" s="15" t="s">
        <v>892</v>
      </c>
    </row>
    <row r="27">
      <c r="A27" s="15" t="s">
        <v>893</v>
      </c>
      <c r="B27" s="22" t="s">
        <v>176</v>
      </c>
      <c r="C27" s="22" t="s">
        <v>259</v>
      </c>
      <c r="D27" s="22" t="s">
        <v>147</v>
      </c>
      <c r="E27" s="22" t="s">
        <v>894</v>
      </c>
    </row>
    <row r="28">
      <c r="A28" s="15" t="s">
        <v>895</v>
      </c>
      <c r="B28" s="15" t="s">
        <v>896</v>
      </c>
      <c r="C28" s="15" t="s">
        <v>897</v>
      </c>
      <c r="D28" s="15" t="s">
        <v>898</v>
      </c>
      <c r="E28" s="15" t="s">
        <v>899</v>
      </c>
    </row>
    <row r="29">
      <c r="A29" s="15" t="s">
        <v>900</v>
      </c>
      <c r="B29" s="15" t="s">
        <v>862</v>
      </c>
      <c r="C29" s="15" t="s">
        <v>901</v>
      </c>
      <c r="D29" s="15" t="s">
        <v>902</v>
      </c>
      <c r="E29" s="15" t="s">
        <v>861</v>
      </c>
    </row>
    <row r="30">
      <c r="A30" s="15" t="s">
        <v>903</v>
      </c>
      <c r="B30" s="22" t="s">
        <v>611</v>
      </c>
      <c r="C30" s="22" t="s">
        <v>865</v>
      </c>
      <c r="D30" s="22" t="s">
        <v>904</v>
      </c>
      <c r="E30" s="22" t="s">
        <v>797</v>
      </c>
    </row>
    <row r="31">
      <c r="A31" s="15" t="s">
        <v>905</v>
      </c>
      <c r="B31" s="15" t="s">
        <v>906</v>
      </c>
      <c r="C31" s="15" t="s">
        <v>907</v>
      </c>
      <c r="D31" s="15" t="s">
        <v>908</v>
      </c>
      <c r="E31" s="15" t="s">
        <v>909</v>
      </c>
    </row>
    <row r="32">
      <c r="A32" s="15" t="s">
        <v>910</v>
      </c>
      <c r="B32" s="15" t="s">
        <v>911</v>
      </c>
      <c r="C32" s="15" t="s">
        <v>912</v>
      </c>
      <c r="D32" s="15" t="s">
        <v>913</v>
      </c>
      <c r="E32" s="15" t="s">
        <v>914</v>
      </c>
    </row>
    <row r="33">
      <c r="A33" s="15" t="s">
        <v>915</v>
      </c>
      <c r="B33" s="15" t="s">
        <v>916</v>
      </c>
      <c r="C33" s="15" t="s">
        <v>917</v>
      </c>
      <c r="D33" s="15" t="s">
        <v>918</v>
      </c>
      <c r="E33" s="15" t="s">
        <v>919</v>
      </c>
    </row>
    <row r="34">
      <c r="A34" s="15" t="s">
        <v>920</v>
      </c>
      <c r="B34" s="15" t="s">
        <v>921</v>
      </c>
      <c r="C34" s="15" t="s">
        <v>922</v>
      </c>
      <c r="D34" s="15" t="s">
        <v>923</v>
      </c>
      <c r="E34" s="15" t="s">
        <v>924</v>
      </c>
    </row>
    <row r="35">
      <c r="A35" s="15" t="s">
        <v>925</v>
      </c>
      <c r="B35" s="15" t="s">
        <v>926</v>
      </c>
      <c r="C35" s="15" t="s">
        <v>927</v>
      </c>
      <c r="D35" s="15" t="s">
        <v>928</v>
      </c>
      <c r="E35" s="15" t="s">
        <v>929</v>
      </c>
    </row>
    <row r="36">
      <c r="A36" s="15" t="s">
        <v>930</v>
      </c>
      <c r="B36" s="15" t="s">
        <v>931</v>
      </c>
      <c r="C36" s="15" t="s">
        <v>932</v>
      </c>
      <c r="D36" s="15" t="s">
        <v>933</v>
      </c>
      <c r="E36" s="15" t="s">
        <v>934</v>
      </c>
    </row>
    <row r="37">
      <c r="A37" s="15" t="s">
        <v>935</v>
      </c>
      <c r="B37" s="22" t="s">
        <v>186</v>
      </c>
      <c r="C37" s="22" t="s">
        <v>133</v>
      </c>
      <c r="D37" s="22" t="s">
        <v>780</v>
      </c>
      <c r="E37" s="22" t="s">
        <v>187</v>
      </c>
    </row>
    <row r="38">
      <c r="A38" s="15" t="s">
        <v>936</v>
      </c>
      <c r="B38" s="15" t="s">
        <v>937</v>
      </c>
      <c r="C38" s="15" t="s">
        <v>938</v>
      </c>
      <c r="D38" s="15" t="s">
        <v>939</v>
      </c>
      <c r="E38" s="15" t="s">
        <v>940</v>
      </c>
    </row>
    <row r="39">
      <c r="A39" s="15" t="s">
        <v>941</v>
      </c>
      <c r="B39" s="22" t="s">
        <v>138</v>
      </c>
      <c r="C39" s="22" t="s">
        <v>137</v>
      </c>
      <c r="D39" s="22" t="s">
        <v>115</v>
      </c>
      <c r="E39" s="22" t="s">
        <v>113</v>
      </c>
    </row>
    <row r="40">
      <c r="A40" s="15" t="s">
        <v>942</v>
      </c>
      <c r="B40" s="15" t="s">
        <v>943</v>
      </c>
      <c r="C40" s="15" t="s">
        <v>878</v>
      </c>
      <c r="D40" s="15" t="s">
        <v>879</v>
      </c>
      <c r="E40" s="15" t="s">
        <v>944</v>
      </c>
    </row>
    <row r="41">
      <c r="A41" s="15" t="s">
        <v>945</v>
      </c>
      <c r="B41" s="15" t="s">
        <v>835</v>
      </c>
      <c r="C41" s="15" t="s">
        <v>836</v>
      </c>
      <c r="D41" s="15" t="s">
        <v>834</v>
      </c>
      <c r="E41" s="15" t="s">
        <v>946</v>
      </c>
    </row>
    <row r="42">
      <c r="A42" s="15" t="s">
        <v>947</v>
      </c>
      <c r="B42" s="15" t="s">
        <v>948</v>
      </c>
      <c r="C42" s="15" t="s">
        <v>949</v>
      </c>
      <c r="D42" s="15" t="s">
        <v>950</v>
      </c>
      <c r="E42" s="15" t="s">
        <v>951</v>
      </c>
    </row>
    <row r="43">
      <c r="A43" s="15" t="s">
        <v>952</v>
      </c>
      <c r="B43" s="15" t="s">
        <v>953</v>
      </c>
      <c r="C43" s="15" t="s">
        <v>954</v>
      </c>
      <c r="D43" s="15" t="s">
        <v>955</v>
      </c>
      <c r="E43" s="15" t="s">
        <v>956</v>
      </c>
    </row>
    <row r="44">
      <c r="A44" s="15" t="s">
        <v>957</v>
      </c>
      <c r="B44" s="15" t="s">
        <v>958</v>
      </c>
      <c r="C44" s="15" t="s">
        <v>959</v>
      </c>
      <c r="D44" s="15" t="s">
        <v>960</v>
      </c>
      <c r="E44" s="15" t="s">
        <v>961</v>
      </c>
    </row>
    <row r="45">
      <c r="A45" s="15" t="s">
        <v>962</v>
      </c>
      <c r="B45" s="15" t="s">
        <v>963</v>
      </c>
      <c r="C45" s="15" t="s">
        <v>964</v>
      </c>
      <c r="D45" s="15" t="s">
        <v>965</v>
      </c>
      <c r="E45" s="15" t="s">
        <v>966</v>
      </c>
    </row>
    <row r="46">
      <c r="A46" s="15" t="s">
        <v>967</v>
      </c>
      <c r="B46" s="15" t="s">
        <v>968</v>
      </c>
      <c r="C46" s="15" t="s">
        <v>969</v>
      </c>
      <c r="D46" s="15" t="s">
        <v>970</v>
      </c>
      <c r="E46" s="15" t="s">
        <v>971</v>
      </c>
    </row>
    <row r="47">
      <c r="A47" s="15" t="s">
        <v>972</v>
      </c>
      <c r="B47" s="15" t="s">
        <v>822</v>
      </c>
      <c r="C47" s="15" t="s">
        <v>973</v>
      </c>
      <c r="D47" s="15" t="s">
        <v>974</v>
      </c>
      <c r="E47" s="15" t="s">
        <v>975</v>
      </c>
    </row>
    <row r="48">
      <c r="A48" s="15" t="s">
        <v>976</v>
      </c>
      <c r="B48" s="15" t="s">
        <v>977</v>
      </c>
      <c r="C48" s="15" t="s">
        <v>978</v>
      </c>
      <c r="D48" s="15" t="s">
        <v>979</v>
      </c>
      <c r="E48" s="15" t="s">
        <v>980</v>
      </c>
    </row>
    <row r="49">
      <c r="A49" s="15" t="s">
        <v>981</v>
      </c>
      <c r="B49" s="15" t="s">
        <v>982</v>
      </c>
      <c r="C49" s="15" t="s">
        <v>983</v>
      </c>
      <c r="D49" s="15" t="s">
        <v>984</v>
      </c>
      <c r="E49" s="15" t="s">
        <v>985</v>
      </c>
    </row>
    <row r="50">
      <c r="A50" s="15" t="s">
        <v>986</v>
      </c>
      <c r="B50" s="22" t="s">
        <v>987</v>
      </c>
      <c r="C50" s="22" t="s">
        <v>988</v>
      </c>
      <c r="D50" s="22" t="s">
        <v>989</v>
      </c>
      <c r="E50" s="22" t="s">
        <v>990</v>
      </c>
    </row>
    <row r="51">
      <c r="A51" s="15" t="s">
        <v>991</v>
      </c>
      <c r="B51" s="15" t="s">
        <v>992</v>
      </c>
      <c r="C51" s="15" t="s">
        <v>993</v>
      </c>
      <c r="D51" s="15" t="s">
        <v>994</v>
      </c>
      <c r="E51" s="15" t="s">
        <v>995</v>
      </c>
    </row>
    <row r="52">
      <c r="A52" s="15" t="s">
        <v>996</v>
      </c>
      <c r="B52" s="15" t="s">
        <v>997</v>
      </c>
      <c r="C52" s="15" t="s">
        <v>998</v>
      </c>
      <c r="D52" s="15" t="s">
        <v>999</v>
      </c>
      <c r="E52" s="15" t="s">
        <v>1000</v>
      </c>
    </row>
    <row r="53">
      <c r="A53" s="15" t="s">
        <v>1001</v>
      </c>
      <c r="B53" s="22" t="s">
        <v>611</v>
      </c>
      <c r="C53" s="22" t="s">
        <v>797</v>
      </c>
      <c r="D53" s="22" t="s">
        <v>804</v>
      </c>
      <c r="E53" s="22" t="s">
        <v>904</v>
      </c>
    </row>
    <row r="54">
      <c r="A54" s="15" t="s">
        <v>1002</v>
      </c>
      <c r="B54" s="15" t="s">
        <v>813</v>
      </c>
      <c r="C54" s="15" t="s">
        <v>815</v>
      </c>
      <c r="D54" s="15" t="s">
        <v>812</v>
      </c>
      <c r="E54" s="15" t="s">
        <v>814</v>
      </c>
    </row>
    <row r="55">
      <c r="A55" s="15" t="s">
        <v>1003</v>
      </c>
      <c r="B55" s="15" t="s">
        <v>1004</v>
      </c>
      <c r="C55" s="15" t="s">
        <v>1005</v>
      </c>
      <c r="D55" s="15" t="s">
        <v>1006</v>
      </c>
      <c r="E55" s="15" t="s">
        <v>1007</v>
      </c>
    </row>
    <row r="56">
      <c r="A56" s="15" t="s">
        <v>1008</v>
      </c>
      <c r="B56" s="15" t="s">
        <v>1009</v>
      </c>
      <c r="C56" s="15" t="s">
        <v>1010</v>
      </c>
      <c r="D56" s="15" t="s">
        <v>1011</v>
      </c>
      <c r="E56" s="15" t="s">
        <v>1012</v>
      </c>
    </row>
    <row r="57">
      <c r="A57" s="15" t="s">
        <v>1013</v>
      </c>
      <c r="B57" s="15" t="s">
        <v>1014</v>
      </c>
      <c r="C57" s="15" t="s">
        <v>1015</v>
      </c>
      <c r="D57" s="15" t="s">
        <v>1016</v>
      </c>
      <c r="E57" s="15" t="s">
        <v>1017</v>
      </c>
    </row>
    <row r="58">
      <c r="A58" s="15" t="s">
        <v>1018</v>
      </c>
      <c r="B58" s="22" t="s">
        <v>538</v>
      </c>
      <c r="C58" s="22" t="s">
        <v>866</v>
      </c>
      <c r="D58" s="22" t="s">
        <v>537</v>
      </c>
      <c r="E58" s="22" t="s">
        <v>780</v>
      </c>
    </row>
    <row r="59">
      <c r="A59" s="15" t="s">
        <v>1019</v>
      </c>
      <c r="B59" s="15" t="s">
        <v>836</v>
      </c>
      <c r="C59" s="15" t="s">
        <v>835</v>
      </c>
      <c r="D59" s="15" t="s">
        <v>946</v>
      </c>
      <c r="E59" s="15" t="s">
        <v>1020</v>
      </c>
    </row>
    <row r="60">
      <c r="A60" s="15" t="s">
        <v>1021</v>
      </c>
      <c r="B60" s="15" t="s">
        <v>1022</v>
      </c>
      <c r="C60" s="15" t="s">
        <v>1023</v>
      </c>
      <c r="D60" s="15" t="s">
        <v>1024</v>
      </c>
      <c r="E60" s="15" t="s">
        <v>1025</v>
      </c>
    </row>
    <row r="61">
      <c r="A61" s="15" t="s">
        <v>1026</v>
      </c>
      <c r="B61" s="15" t="s">
        <v>1027</v>
      </c>
      <c r="C61" s="15" t="s">
        <v>919</v>
      </c>
      <c r="D61" s="15" t="s">
        <v>1028</v>
      </c>
      <c r="E61" s="15" t="s">
        <v>1029</v>
      </c>
    </row>
    <row r="62">
      <c r="A62" s="15" t="s">
        <v>1030</v>
      </c>
      <c r="B62" s="15" t="s">
        <v>1031</v>
      </c>
      <c r="C62" s="15" t="s">
        <v>1032</v>
      </c>
      <c r="D62" s="15" t="s">
        <v>1033</v>
      </c>
      <c r="E62" s="15" t="s">
        <v>1034</v>
      </c>
    </row>
    <row r="63">
      <c r="A63" s="15" t="s">
        <v>1035</v>
      </c>
      <c r="B63" s="22" t="s">
        <v>611</v>
      </c>
      <c r="C63" s="22" t="s">
        <v>609</v>
      </c>
      <c r="D63" s="22" t="s">
        <v>796</v>
      </c>
      <c r="E63" s="22" t="s">
        <v>1036</v>
      </c>
    </row>
    <row r="64">
      <c r="A64" s="15" t="s">
        <v>1037</v>
      </c>
      <c r="B64" s="15" t="s">
        <v>819</v>
      </c>
      <c r="C64" s="15" t="s">
        <v>1038</v>
      </c>
      <c r="D64" s="15" t="s">
        <v>1039</v>
      </c>
      <c r="E64" s="15" t="s">
        <v>1040</v>
      </c>
    </row>
    <row r="65">
      <c r="A65" s="15" t="s">
        <v>1041</v>
      </c>
      <c r="B65" s="15" t="s">
        <v>1042</v>
      </c>
      <c r="C65" s="15" t="s">
        <v>1043</v>
      </c>
      <c r="D65" s="15" t="s">
        <v>1044</v>
      </c>
      <c r="E65" s="15" t="s">
        <v>1045</v>
      </c>
    </row>
    <row r="66">
      <c r="A66" s="15" t="s">
        <v>1046</v>
      </c>
      <c r="B66" s="15" t="s">
        <v>1047</v>
      </c>
      <c r="C66" s="15" t="s">
        <v>1048</v>
      </c>
      <c r="D66" s="15" t="s">
        <v>1049</v>
      </c>
      <c r="E66" s="15" t="s">
        <v>1050</v>
      </c>
    </row>
    <row r="67">
      <c r="A67" s="15" t="s">
        <v>1051</v>
      </c>
      <c r="B67" s="15" t="s">
        <v>1015</v>
      </c>
      <c r="C67" s="15" t="s">
        <v>1052</v>
      </c>
      <c r="D67" s="15" t="s">
        <v>1053</v>
      </c>
      <c r="E67" s="15" t="s">
        <v>1054</v>
      </c>
    </row>
    <row r="68">
      <c r="A68" s="15" t="s">
        <v>1055</v>
      </c>
      <c r="B68" s="15" t="s">
        <v>823</v>
      </c>
      <c r="C68" s="15" t="s">
        <v>824</v>
      </c>
      <c r="D68" s="15" t="s">
        <v>822</v>
      </c>
      <c r="E68" s="15" t="s">
        <v>1056</v>
      </c>
    </row>
    <row r="69">
      <c r="A69" s="15" t="s">
        <v>1057</v>
      </c>
      <c r="B69" s="15" t="s">
        <v>1058</v>
      </c>
      <c r="C69" s="22" t="s">
        <v>176</v>
      </c>
      <c r="D69" s="22" t="s">
        <v>259</v>
      </c>
      <c r="E69" s="22" t="s">
        <v>146</v>
      </c>
    </row>
    <row r="70">
      <c r="A70" s="15" t="s">
        <v>1059</v>
      </c>
      <c r="B70" s="15" t="s">
        <v>1060</v>
      </c>
      <c r="C70" s="15" t="s">
        <v>1061</v>
      </c>
      <c r="D70" s="15" t="s">
        <v>1062</v>
      </c>
      <c r="E70" s="15" t="s">
        <v>1063</v>
      </c>
    </row>
    <row r="71">
      <c r="A71" s="15" t="s">
        <v>1064</v>
      </c>
      <c r="B71" s="15" t="s">
        <v>1065</v>
      </c>
      <c r="C71" s="15" t="s">
        <v>1066</v>
      </c>
      <c r="D71" s="15" t="s">
        <v>1067</v>
      </c>
      <c r="E71" s="15" t="s">
        <v>1068</v>
      </c>
    </row>
    <row r="72">
      <c r="A72" s="15" t="s">
        <v>1069</v>
      </c>
      <c r="B72" s="15" t="s">
        <v>812</v>
      </c>
      <c r="C72" s="15" t="s">
        <v>813</v>
      </c>
      <c r="D72" s="15" t="s">
        <v>814</v>
      </c>
      <c r="E72" s="15" t="s">
        <v>841</v>
      </c>
    </row>
    <row r="73">
      <c r="A73" s="15" t="s">
        <v>1070</v>
      </c>
      <c r="B73" s="15" t="s">
        <v>1071</v>
      </c>
      <c r="C73" s="15" t="s">
        <v>1072</v>
      </c>
      <c r="D73" s="15" t="s">
        <v>1073</v>
      </c>
      <c r="E73" s="15" t="s">
        <v>1074</v>
      </c>
    </row>
    <row r="74">
      <c r="A74" s="15" t="s">
        <v>1075</v>
      </c>
      <c r="B74" s="15" t="s">
        <v>1076</v>
      </c>
      <c r="C74" s="15" t="s">
        <v>1077</v>
      </c>
      <c r="D74" s="15" t="s">
        <v>1078</v>
      </c>
      <c r="E74" s="15" t="s">
        <v>1079</v>
      </c>
    </row>
    <row r="75">
      <c r="A75" s="15" t="s">
        <v>1080</v>
      </c>
      <c r="B75" s="15" t="s">
        <v>852</v>
      </c>
      <c r="C75" s="15" t="s">
        <v>1081</v>
      </c>
      <c r="D75" s="15" t="s">
        <v>1082</v>
      </c>
      <c r="E75" s="15" t="s">
        <v>1083</v>
      </c>
    </row>
    <row r="76">
      <c r="A76" s="15" t="s">
        <v>1084</v>
      </c>
      <c r="B76" s="15" t="s">
        <v>1085</v>
      </c>
      <c r="C76" s="15" t="s">
        <v>1086</v>
      </c>
      <c r="D76" s="15" t="s">
        <v>1087</v>
      </c>
      <c r="E76" s="15" t="s">
        <v>1088</v>
      </c>
    </row>
    <row r="77">
      <c r="A77" s="15" t="s">
        <v>1089</v>
      </c>
      <c r="B77" s="15" t="s">
        <v>1090</v>
      </c>
      <c r="C77" s="15" t="s">
        <v>1091</v>
      </c>
      <c r="D77" s="15" t="s">
        <v>1092</v>
      </c>
      <c r="E77" s="15" t="s">
        <v>1093</v>
      </c>
    </row>
    <row r="78">
      <c r="A78" s="15" t="s">
        <v>1094</v>
      </c>
      <c r="B78" s="22" t="s">
        <v>1095</v>
      </c>
      <c r="C78" s="22" t="s">
        <v>804</v>
      </c>
      <c r="D78" s="22" t="s">
        <v>805</v>
      </c>
      <c r="E78" s="22" t="s">
        <v>1096</v>
      </c>
    </row>
    <row r="79">
      <c r="A79" s="15" t="s">
        <v>1097</v>
      </c>
      <c r="B79" s="15" t="s">
        <v>1098</v>
      </c>
      <c r="C79" s="15" t="s">
        <v>1099</v>
      </c>
      <c r="D79" s="15" t="s">
        <v>815</v>
      </c>
      <c r="E79" s="15" t="s">
        <v>1100</v>
      </c>
    </row>
    <row r="80">
      <c r="A80" s="15" t="s">
        <v>1101</v>
      </c>
      <c r="B80" s="15" t="s">
        <v>1102</v>
      </c>
      <c r="C80" s="15" t="s">
        <v>1103</v>
      </c>
      <c r="D80" s="15" t="s">
        <v>1104</v>
      </c>
      <c r="E80" s="15" t="s">
        <v>1105</v>
      </c>
    </row>
    <row r="81">
      <c r="A81" s="15" t="s">
        <v>1106</v>
      </c>
      <c r="B81" s="15" t="s">
        <v>1107</v>
      </c>
      <c r="C81" s="15" t="s">
        <v>1108</v>
      </c>
      <c r="D81" s="15" t="s">
        <v>1109</v>
      </c>
      <c r="E81" s="15" t="s">
        <v>1110</v>
      </c>
    </row>
    <row r="82">
      <c r="A82" s="15" t="s">
        <v>1111</v>
      </c>
      <c r="B82" s="22" t="s">
        <v>611</v>
      </c>
      <c r="C82" s="22" t="s">
        <v>865</v>
      </c>
      <c r="D82" s="22" t="s">
        <v>864</v>
      </c>
      <c r="E82" s="22" t="s">
        <v>904</v>
      </c>
    </row>
    <row r="83">
      <c r="A83" s="15" t="s">
        <v>1112</v>
      </c>
      <c r="B83" s="15" t="s">
        <v>1113</v>
      </c>
      <c r="C83" s="15" t="s">
        <v>1114</v>
      </c>
      <c r="D83" s="15" t="s">
        <v>1115</v>
      </c>
      <c r="E83" s="15" t="s">
        <v>1116</v>
      </c>
    </row>
    <row r="84">
      <c r="A84" s="15" t="s">
        <v>1117</v>
      </c>
      <c r="B84" s="15" t="s">
        <v>860</v>
      </c>
      <c r="C84" s="15" t="s">
        <v>1118</v>
      </c>
      <c r="D84" s="15" t="s">
        <v>1119</v>
      </c>
      <c r="E84" s="15" t="s">
        <v>1120</v>
      </c>
    </row>
    <row r="85">
      <c r="A85" s="15" t="s">
        <v>1121</v>
      </c>
      <c r="B85" s="15" t="s">
        <v>950</v>
      </c>
      <c r="C85" s="15" t="s">
        <v>1122</v>
      </c>
      <c r="D85" s="15" t="s">
        <v>948</v>
      </c>
      <c r="E85" s="15" t="s">
        <v>1123</v>
      </c>
    </row>
    <row r="86">
      <c r="A86" s="15" t="s">
        <v>1124</v>
      </c>
      <c r="B86" s="15" t="s">
        <v>1125</v>
      </c>
      <c r="C86" s="15" t="s">
        <v>1126</v>
      </c>
      <c r="D86" s="15" t="s">
        <v>1127</v>
      </c>
      <c r="E86" s="15" t="s">
        <v>1128</v>
      </c>
    </row>
    <row r="87">
      <c r="A87" s="15" t="s">
        <v>1129</v>
      </c>
      <c r="B87" s="15" t="s">
        <v>1130</v>
      </c>
      <c r="C87" s="15" t="s">
        <v>1131</v>
      </c>
      <c r="D87" s="15" t="s">
        <v>1132</v>
      </c>
      <c r="E87" s="15" t="s">
        <v>1133</v>
      </c>
    </row>
    <row r="88">
      <c r="A88" s="15" t="s">
        <v>1134</v>
      </c>
      <c r="B88" s="15" t="s">
        <v>1135</v>
      </c>
      <c r="C88" s="22" t="s">
        <v>259</v>
      </c>
      <c r="D88" s="22" t="s">
        <v>894</v>
      </c>
      <c r="E88" s="22" t="s">
        <v>146</v>
      </c>
    </row>
    <row r="89">
      <c r="A89" s="15" t="s">
        <v>1136</v>
      </c>
      <c r="B89" s="15" t="s">
        <v>819</v>
      </c>
      <c r="C89" s="15" t="s">
        <v>1137</v>
      </c>
      <c r="D89" s="15" t="s">
        <v>1138</v>
      </c>
      <c r="E89" s="15" t="s">
        <v>1139</v>
      </c>
    </row>
    <row r="90">
      <c r="A90" s="15" t="s">
        <v>1140</v>
      </c>
      <c r="B90" s="15" t="s">
        <v>1141</v>
      </c>
      <c r="C90" s="15" t="s">
        <v>839</v>
      </c>
      <c r="D90" s="15" t="s">
        <v>814</v>
      </c>
      <c r="E90" s="15" t="s">
        <v>841</v>
      </c>
    </row>
    <row r="91">
      <c r="A91" s="15" t="s">
        <v>1142</v>
      </c>
      <c r="B91" s="15" t="s">
        <v>1143</v>
      </c>
      <c r="C91" s="15" t="s">
        <v>1144</v>
      </c>
      <c r="D91" s="15" t="s">
        <v>1145</v>
      </c>
      <c r="E91" s="15" t="s">
        <v>1146</v>
      </c>
    </row>
    <row r="92">
      <c r="A92" s="15" t="s">
        <v>1147</v>
      </c>
      <c r="B92" s="15" t="s">
        <v>1148</v>
      </c>
      <c r="C92" s="15" t="s">
        <v>1149</v>
      </c>
      <c r="D92" s="15" t="s">
        <v>1150</v>
      </c>
      <c r="E92" s="15" t="s">
        <v>1151</v>
      </c>
    </row>
    <row r="93">
      <c r="A93" s="15" t="s">
        <v>1152</v>
      </c>
      <c r="B93" s="15" t="s">
        <v>1153</v>
      </c>
      <c r="C93" s="15" t="s">
        <v>1154</v>
      </c>
      <c r="D93" s="15" t="s">
        <v>1155</v>
      </c>
      <c r="E93" s="15" t="s">
        <v>1156</v>
      </c>
    </row>
    <row r="94">
      <c r="A94" s="15" t="s">
        <v>1157</v>
      </c>
      <c r="B94" s="15" t="s">
        <v>1028</v>
      </c>
      <c r="C94" s="15" t="s">
        <v>919</v>
      </c>
      <c r="D94" s="15" t="s">
        <v>1027</v>
      </c>
      <c r="E94" s="15" t="s">
        <v>1158</v>
      </c>
    </row>
    <row r="95">
      <c r="A95" s="15" t="s">
        <v>1159</v>
      </c>
      <c r="B95" s="15" t="s">
        <v>1160</v>
      </c>
      <c r="C95" s="15" t="s">
        <v>1161</v>
      </c>
      <c r="D95" s="15" t="s">
        <v>1162</v>
      </c>
      <c r="E95" s="15" t="s">
        <v>1163</v>
      </c>
    </row>
    <row r="96">
      <c r="A96" s="15" t="s">
        <v>1164</v>
      </c>
      <c r="B96" s="22" t="s">
        <v>136</v>
      </c>
      <c r="C96" s="22" t="s">
        <v>135</v>
      </c>
      <c r="D96" s="22" t="s">
        <v>138</v>
      </c>
      <c r="E96" s="15" t="s">
        <v>1165</v>
      </c>
    </row>
    <row r="97">
      <c r="A97" s="15" t="s">
        <v>1166</v>
      </c>
      <c r="B97" s="15" t="s">
        <v>1028</v>
      </c>
      <c r="C97" s="15" t="s">
        <v>1027</v>
      </c>
      <c r="D97" s="15" t="s">
        <v>1158</v>
      </c>
      <c r="E97" s="15" t="s">
        <v>1167</v>
      </c>
    </row>
    <row r="98">
      <c r="A98" s="15" t="s">
        <v>1168</v>
      </c>
      <c r="B98" s="15" t="s">
        <v>1169</v>
      </c>
      <c r="C98" s="15" t="s">
        <v>1170</v>
      </c>
      <c r="D98" s="15" t="s">
        <v>1171</v>
      </c>
      <c r="E98" s="15" t="s">
        <v>1172</v>
      </c>
    </row>
    <row r="99">
      <c r="A99" s="15" t="s">
        <v>1173</v>
      </c>
      <c r="B99" s="15" t="s">
        <v>1174</v>
      </c>
      <c r="C99" s="15" t="s">
        <v>1175</v>
      </c>
      <c r="D99" s="15" t="s">
        <v>1176</v>
      </c>
      <c r="E99" s="15" t="s">
        <v>1177</v>
      </c>
    </row>
    <row r="100">
      <c r="A100" s="15" t="s">
        <v>1178</v>
      </c>
      <c r="B100" s="15" t="s">
        <v>1179</v>
      </c>
      <c r="C100" s="15" t="s">
        <v>1180</v>
      </c>
      <c r="D100" s="15" t="s">
        <v>1181</v>
      </c>
      <c r="E100" s="15" t="s">
        <v>1182</v>
      </c>
    </row>
    <row r="101">
      <c r="A101" s="15" t="s">
        <v>1183</v>
      </c>
      <c r="B101" s="15" t="s">
        <v>876</v>
      </c>
      <c r="C101" s="15" t="s">
        <v>1184</v>
      </c>
      <c r="D101" s="15" t="s">
        <v>1185</v>
      </c>
      <c r="E101" s="15" t="s">
        <v>1186</v>
      </c>
    </row>
  </sheetData>
  <drawing r:id="rId1"/>
</worksheet>
</file>