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йнкрафт" sheetId="1" r:id="rId4"/>
    <sheet state="visible" name="Лист1" sheetId="2" r:id="rId5"/>
  </sheets>
  <definedNames>
    <definedName hidden="1" localSheetId="0" name="_xlnm._FilterDatabase">'майнкрафт'!$H$1:$H$1112</definedName>
  </definedNames>
  <calcPr/>
  <extLst>
    <ext uri="GoogleSheetsCustomDataVersion2">
      <go:sheetsCustomData xmlns:go="http://customooxmlschemas.google.com/" r:id="rId6" roundtripDataChecksum="UDuM0au0SvAgAxyU68KwXOsonfDINHvYwMXodq6Fa4E="/>
    </ext>
  </extLst>
</workbook>
</file>

<file path=xl/sharedStrings.xml><?xml version="1.0" encoding="utf-8"?>
<sst xmlns="http://schemas.openxmlformats.org/spreadsheetml/2006/main" count="434" uniqueCount="284">
  <si>
    <t>Вопрос</t>
  </si>
  <si>
    <t>Тип вопроса</t>
  </si>
  <si>
    <t>Изображение</t>
  </si>
  <si>
    <t>Правильный ответ</t>
  </si>
  <si>
    <t>Неправильный ответ 1</t>
  </si>
  <si>
    <t>Неправильный ответ 2</t>
  </si>
  <si>
    <t>Неправильный ответ 3</t>
  </si>
  <si>
    <t>Общие вопросы</t>
  </si>
  <si>
    <t>1. Какой блок является основным строительным материалом в Minecraft? а) Камень б) Песок в) Земля г) Гравий</t>
  </si>
  <si>
    <t>2. Как называется измерение, где обитает Эндер-дракон? а) Край б) Ад в) Верхний мир г) Измерение грибов</t>
  </si>
  <si>
    <r>
      <rPr>
        <rFont val="Quattrocento Sans"/>
        <color rgb="FF212529"/>
        <sz val="12.0"/>
      </rPr>
      <t>4. Какой моб взрывается при приближении к игроку? </t>
    </r>
    <r>
      <rPr>
        <rFont val="Segoe UI"/>
        <b/>
        <color rgb="FF212529"/>
        <sz val="12.0"/>
      </rPr>
      <t>а) Крипер</t>
    </r>
    <r>
      <rPr>
        <rFont val="Segoe UI"/>
        <color rgb="FF212529"/>
        <sz val="12.0"/>
      </rPr>
      <t> б) Скелет в) Зомби г) Паук</t>
    </r>
  </si>
  <si>
    <r>
      <rPr>
        <rFont val="Quattrocento Sans"/>
        <color rgb="FF212529"/>
        <sz val="12.0"/>
      </rPr>
      <t>6. Какой моб сбрасывает стрелы? </t>
    </r>
    <r>
      <rPr>
        <rFont val="Segoe UI"/>
        <b/>
        <color rgb="FF212529"/>
        <sz val="12.0"/>
      </rPr>
      <t>а) Скелет</t>
    </r>
    <r>
      <rPr>
        <rFont val="Segoe UI"/>
        <color rgb="FF212529"/>
        <sz val="12.0"/>
      </rPr>
      <t> б) Зомби в) Крипер г) Паук</t>
    </r>
  </si>
  <si>
    <r>
      <rPr>
        <rFont val="Quattrocento Sans"/>
        <color rgb="FF212529"/>
        <sz val="12.0"/>
      </rPr>
      <t>7. Какой моб плавает в воде и может атаковать игрока? </t>
    </r>
    <r>
      <rPr>
        <rFont val="Segoe UI"/>
        <b/>
        <color rgb="FF212529"/>
        <sz val="12.0"/>
      </rPr>
      <t>а) Утопленник</t>
    </r>
    <r>
      <rPr>
        <rFont val="Segoe UI"/>
        <color rgb="FF212529"/>
        <sz val="12.0"/>
      </rPr>
      <t> б) Овца в) Свинья г) Корова</t>
    </r>
  </si>
  <si>
    <r>
      <rPr>
        <rFont val="Quattrocento Sans"/>
        <color rgb="FF212529"/>
        <sz val="12.0"/>
      </rPr>
      <t>8. Какого моба можно приручить с помощью костей? </t>
    </r>
    <r>
      <rPr>
        <rFont val="Segoe UI"/>
        <b/>
        <color rgb="FF212529"/>
        <sz val="12.0"/>
      </rPr>
      <t>а) Волк</t>
    </r>
    <r>
      <rPr>
        <rFont val="Segoe UI"/>
        <color rgb="FF212529"/>
        <sz val="12.0"/>
      </rPr>
      <t> б) Кошка в) Лошадь г) Попугай</t>
    </r>
  </si>
  <si>
    <r>
      <rPr>
        <rFont val="Quattrocento Sans"/>
        <color rgb="FF212529"/>
        <sz val="12.0"/>
      </rPr>
      <t>9. Какой моб можно найти в аду и он стреляет огненными шарами? </t>
    </r>
    <r>
      <rPr>
        <rFont val="Segoe UI"/>
        <b/>
        <color rgb="FF212529"/>
        <sz val="12.0"/>
      </rPr>
      <t>а) Гаст</t>
    </r>
    <r>
      <rPr>
        <rFont val="Segoe UI"/>
        <color rgb="FF212529"/>
        <sz val="12.0"/>
      </rPr>
      <t> б) Эндермен в) Зомби-свиночеловек г) Страж</t>
    </r>
  </si>
  <si>
    <r>
      <rPr>
        <rFont val="Quattrocento Sans"/>
        <color rgb="FF212529"/>
        <sz val="12.0"/>
      </rPr>
      <t>10. Какой моб даёт шерсть? </t>
    </r>
    <r>
      <rPr>
        <rFont val="Segoe UI"/>
        <b/>
        <color rgb="FF212529"/>
        <sz val="12.0"/>
      </rPr>
      <t>а) Овца</t>
    </r>
    <r>
      <rPr>
        <rFont val="Segoe UI"/>
        <color rgb="FF212529"/>
        <sz val="12.0"/>
      </rPr>
      <t> б) Курица в) Свинья г) Корова</t>
    </r>
  </si>
  <si>
    <r>
      <rPr>
        <rFont val="Quattrocento Sans"/>
        <color rgb="FF212529"/>
        <sz val="12.0"/>
      </rPr>
      <t>11. Какой предмет используется для создания портала в Нижний мир? </t>
    </r>
    <r>
      <rPr>
        <rFont val="Segoe UI"/>
        <b/>
        <color rgb="FF212529"/>
        <sz val="12.0"/>
      </rPr>
      <t>а) Обсидиан</t>
    </r>
    <r>
      <rPr>
        <rFont val="Segoe UI"/>
        <color rgb="FF212529"/>
        <sz val="12.0"/>
      </rPr>
      <t> б) Алмаз в) Золото г) Железо</t>
    </r>
  </si>
  <si>
    <r>
      <rPr>
        <rFont val="Quattrocento Sans"/>
        <color rgb="FF212529"/>
        <sz val="12.0"/>
      </rPr>
      <t>12. Какой предмет нужен для создания хлеба? </t>
    </r>
    <r>
      <rPr>
        <rFont val="Segoe UI"/>
        <b/>
        <color rgb="FF212529"/>
        <sz val="12.0"/>
      </rPr>
      <t>а) Пшеница</t>
    </r>
    <r>
      <rPr>
        <rFont val="Segoe UI"/>
        <color rgb="FF212529"/>
        <sz val="12.0"/>
      </rPr>
      <t> б) Камень в) Дерево г) Уголь</t>
    </r>
  </si>
  <si>
    <r>
      <rPr>
        <rFont val="Quattrocento Sans"/>
        <color rgb="FF212529"/>
        <sz val="12.0"/>
      </rPr>
      <t>15. Какой предмет используется для создания факелов? </t>
    </r>
    <r>
      <rPr>
        <rFont val="Segoe UI"/>
        <b/>
        <color rgb="FF212529"/>
        <sz val="12.0"/>
      </rPr>
      <t>а) Уголь</t>
    </r>
    <r>
      <rPr>
        <rFont val="Segoe UI"/>
        <color rgb="FF212529"/>
        <sz val="12.0"/>
      </rPr>
      <t> б) Алмаз в) Золото г) Железо</t>
    </r>
  </si>
  <si>
    <r>
      <rPr>
        <rFont val="Quattrocento Sans"/>
        <color rgb="FF212529"/>
        <sz val="12.0"/>
      </rPr>
      <t>16. В каком биоме растут кактусы? </t>
    </r>
    <r>
      <rPr>
        <rFont val="Segoe UI"/>
        <b/>
        <color rgb="FF212529"/>
        <sz val="12.0"/>
      </rPr>
      <t>а) Пустыня</t>
    </r>
    <r>
      <rPr>
        <rFont val="Segoe UI"/>
        <color rgb="FF212529"/>
        <sz val="12.0"/>
      </rPr>
      <t> б) Лес в) Тундра г) Джунгли</t>
    </r>
  </si>
  <si>
    <r>
      <rPr>
        <rFont val="Quattrocento Sans"/>
        <color rgb="FF212529"/>
        <sz val="12.0"/>
      </rPr>
      <t>17. Какой биом содержит много воды и лилий? </t>
    </r>
    <r>
      <rPr>
        <rFont val="Segoe UI"/>
        <b/>
        <color rgb="FF212529"/>
        <sz val="12.0"/>
      </rPr>
      <t>а) Болото</t>
    </r>
    <r>
      <rPr>
        <rFont val="Segoe UI"/>
        <color rgb="FF212529"/>
        <sz val="12.0"/>
      </rPr>
      <t> б) Горы в) Равнина г) Саванна</t>
    </r>
  </si>
  <si>
    <r>
      <rPr>
        <rFont val="Quattrocento Sans"/>
        <color rgb="FF212529"/>
        <sz val="12.0"/>
      </rPr>
      <t>18. В каком биоме выпадает снег? </t>
    </r>
    <r>
      <rPr>
        <rFont val="Segoe UI"/>
        <b/>
        <color rgb="FF212529"/>
        <sz val="12.0"/>
      </rPr>
      <t>а) Тундра</t>
    </r>
    <r>
      <rPr>
        <rFont val="Segoe UI"/>
        <color rgb="FF212529"/>
        <sz val="12.0"/>
      </rPr>
      <t> б) Пустыня в) Джунгли г) Саванна</t>
    </r>
  </si>
  <si>
    <r>
      <rPr>
        <rFont val="Quattrocento Sans"/>
        <color rgb="FF212529"/>
        <sz val="12.0"/>
      </rPr>
      <t>19. Какой биом известен своими высокими деревьями и лианами? </t>
    </r>
    <r>
      <rPr>
        <rFont val="Segoe UI"/>
        <b/>
        <color rgb="FF212529"/>
        <sz val="12.0"/>
      </rPr>
      <t>а) Джунгли</t>
    </r>
    <r>
      <rPr>
        <rFont val="Segoe UI"/>
        <color rgb="FF212529"/>
        <sz val="12.0"/>
      </rPr>
      <t> б) Равнина в) Горы г) Тундра</t>
    </r>
  </si>
  <si>
    <r>
      <rPr>
        <rFont val="Quattrocento Sans"/>
        <color rgb="FF212529"/>
        <sz val="12.0"/>
      </rPr>
      <t>20. Какой биом содержит много грибов? </t>
    </r>
    <r>
      <rPr>
        <rFont val="Segoe UI"/>
        <b/>
        <color rgb="FF212529"/>
        <sz val="12.0"/>
      </rPr>
      <t>а) Грибной остров</t>
    </r>
    <r>
      <rPr>
        <rFont val="Segoe UI"/>
        <color rgb="FF212529"/>
        <sz val="12.0"/>
      </rPr>
      <t> б) Лес в) Пустыня г) Тайга</t>
    </r>
  </si>
  <si>
    <r>
      <rPr>
        <rFont val="Quattrocento Sans"/>
        <color rgb="FF212529"/>
        <sz val="12.0"/>
      </rPr>
      <t>21. Какую структуру можно найти в пустыне? </t>
    </r>
    <r>
      <rPr>
        <rFont val="Segoe UI"/>
        <b/>
        <color rgb="FF212529"/>
        <sz val="12.0"/>
      </rPr>
      <t>а) Пирамида</t>
    </r>
    <r>
      <rPr>
        <rFont val="Segoe UI"/>
        <color rgb="FF212529"/>
        <sz val="12.0"/>
      </rPr>
      <t> б) Деревня в) Крепость г) Шахта</t>
    </r>
  </si>
  <si>
    <r>
      <rPr>
        <rFont val="Quattrocento Sans"/>
        <color rgb="FF212529"/>
        <sz val="12.0"/>
      </rPr>
      <t>22. Какую структуру можно найти в океане? </t>
    </r>
    <r>
      <rPr>
        <rFont val="Segoe UI"/>
        <b/>
        <color rgb="FF212529"/>
        <sz val="12.0"/>
      </rPr>
      <t>а) Морской монумент</t>
    </r>
    <r>
      <rPr>
        <rFont val="Segoe UI"/>
        <color rgb="FF212529"/>
        <sz val="12.0"/>
      </rPr>
      <t> б) Храм джунглей в) Иглу г) Заброшенная шахта</t>
    </r>
  </si>
  <si>
    <r>
      <rPr>
        <rFont val="Quattrocento Sans"/>
        <color rgb="FF212529"/>
        <sz val="12.0"/>
      </rPr>
      <t>23. В какой структуре можно найти сокровище? </t>
    </r>
    <r>
      <rPr>
        <rFont val="Segoe UI"/>
        <b/>
        <color rgb="FF212529"/>
        <sz val="12.0"/>
      </rPr>
      <t>а) Сундук с сокровищами</t>
    </r>
    <r>
      <rPr>
        <rFont val="Segoe UI"/>
        <color rgb="FF212529"/>
        <sz val="12.0"/>
      </rPr>
      <t> б) Дом деревенского жителя в) Верстак г) Печь</t>
    </r>
  </si>
  <si>
    <r>
      <rPr>
        <rFont val="Quattrocento Sans"/>
        <color rgb="FF212529"/>
        <sz val="12.0"/>
      </rPr>
      <t>24. Какую структуру можно найти в Нижнем мире? </t>
    </r>
    <r>
      <rPr>
        <rFont val="Segoe UI"/>
        <b/>
        <color rgb="FF212529"/>
        <sz val="12.0"/>
      </rPr>
      <t>а) Крепость Нижнего мира</t>
    </r>
    <r>
      <rPr>
        <rFont val="Segoe UI"/>
        <color rgb="FF212529"/>
        <sz val="12.0"/>
      </rPr>
      <t> б) Деревня в) Иглу г) Шахта</t>
    </r>
  </si>
  <si>
    <r>
      <rPr>
        <rFont val="Quattrocento Sans"/>
        <color rgb="FF212529"/>
        <sz val="12.0"/>
      </rPr>
      <t>26. Какой ингредиент нужен для создания зелья силы? </t>
    </r>
    <r>
      <rPr>
        <rFont val="Segoe UI"/>
        <b/>
        <color rgb="FF212529"/>
        <sz val="12.0"/>
      </rPr>
      <t>а) Адский нарост</t>
    </r>
    <r>
      <rPr>
        <rFont val="Segoe UI"/>
        <color rgb="FF212529"/>
        <sz val="12.0"/>
      </rPr>
      <t> б) Слеза гаста в) Красная пыль г) Золотая морковь</t>
    </r>
  </si>
  <si>
    <r>
      <rPr>
        <rFont val="Quattrocento Sans"/>
        <color rgb="FF212529"/>
        <sz val="12.0"/>
      </rPr>
      <t>28. Какое зачарование позволяет ходить по воде? </t>
    </r>
    <r>
      <rPr>
        <rFont val="Segoe UI"/>
        <b/>
        <color rgb="FF212529"/>
        <sz val="12.0"/>
      </rPr>
      <t>а) Ледоход</t>
    </r>
    <r>
      <rPr>
        <rFont val="Segoe UI"/>
        <color rgb="FF212529"/>
        <sz val="12.0"/>
      </rPr>
      <t> б) Починка в) Небесная кара г) Отдача</t>
    </r>
  </si>
  <si>
    <r>
      <rPr>
        <rFont val="Quattrocento Sans"/>
        <color rgb="FF212529"/>
        <sz val="12.0"/>
      </rPr>
      <t>29. Какое зачарование позволяет дышать под водой? </t>
    </r>
    <r>
      <rPr>
        <rFont val="Segoe UI"/>
        <b/>
        <color rgb="FF212529"/>
        <sz val="12.0"/>
      </rPr>
      <t>а) Подводное дыхание</t>
    </r>
    <r>
      <rPr>
        <rFont val="Segoe UI"/>
        <color rgb="FF212529"/>
        <sz val="12.0"/>
      </rPr>
      <t> б) Невесомость в) Регенерация г) Отдача</t>
    </r>
  </si>
  <si>
    <r>
      <rPr>
        <rFont val="Quattrocento Sans"/>
        <color rgb="FF212529"/>
        <sz val="12.0"/>
      </rPr>
      <t>30. Какой ингредиент используется для приготовления зелья невидимости? </t>
    </r>
    <r>
      <rPr>
        <rFont val="Segoe UI"/>
        <b/>
        <color rgb="FF212529"/>
        <sz val="12.0"/>
      </rPr>
      <t>а) Золотая морковь</t>
    </r>
    <r>
      <rPr>
        <rFont val="Segoe UI"/>
        <color rgb="FF212529"/>
        <sz val="12.0"/>
      </rPr>
      <t> б) Слеза гаста в) Адский нарост г) Красная пыль</t>
    </r>
  </si>
  <si>
    <r>
      <rPr>
        <rFont val="Quattrocento Sans"/>
        <color rgb="FF212529"/>
        <sz val="12.0"/>
      </rPr>
      <t>31. Какой блок передает редстоун сигнал? </t>
    </r>
    <r>
      <rPr>
        <rFont val="Segoe UI"/>
        <b/>
        <color rgb="FF212529"/>
        <sz val="12.0"/>
      </rPr>
      <t>а) Рычаг</t>
    </r>
    <r>
      <rPr>
        <rFont val="Segoe UI"/>
        <color rgb="FF212529"/>
        <sz val="12.0"/>
      </rPr>
      <t> б) Сундук в) Верстак г) Печь</t>
    </r>
  </si>
  <si>
    <r>
      <rPr>
        <rFont val="Quattrocento Sans"/>
        <color rgb="FF212529"/>
        <sz val="12.0"/>
      </rPr>
      <t>32. Какой блок используется для создания сложных механизмов? </t>
    </r>
    <r>
      <rPr>
        <rFont val="Segoe UI"/>
        <b/>
        <color rgb="FF212529"/>
        <sz val="12.0"/>
      </rPr>
      <t>а) Поршень</t>
    </r>
    <r>
      <rPr>
        <rFont val="Segoe UI"/>
        <color rgb="FF212529"/>
        <sz val="12.0"/>
      </rPr>
      <t> б) Дерево в) Камень г) Стекло</t>
    </r>
  </si>
  <si>
    <r>
      <rPr>
        <rFont val="Quattrocento Sans"/>
        <color rgb="FF212529"/>
        <sz val="12.0"/>
      </rPr>
      <t>35. Какой блок может передавать редстоун сигнал без проводов? </t>
    </r>
    <r>
      <rPr>
        <rFont val="Segoe UI"/>
        <b/>
        <color rgb="FF212529"/>
        <sz val="12.0"/>
      </rPr>
      <t>а) Наблюдатель</t>
    </r>
    <r>
      <rPr>
        <rFont val="Segoe UI"/>
        <color rgb="FF212529"/>
        <sz val="12.0"/>
      </rPr>
      <t> б) Компаратор в) Повторитель г) Поршень</t>
    </r>
  </si>
  <si>
    <r>
      <rPr>
        <rFont val="Quattrocento Sans"/>
        <color rgb="FF212529"/>
        <sz val="12.0"/>
      </rPr>
      <t>36. Какой предмет нужно использовать для создания брони? </t>
    </r>
    <r>
      <rPr>
        <rFont val="Segoe UI"/>
        <b/>
        <color rgb="FF212529"/>
        <sz val="12.0"/>
      </rPr>
      <t>а) Кожа</t>
    </r>
    <r>
      <rPr>
        <rFont val="Segoe UI"/>
        <color rgb="FF212529"/>
        <sz val="12.0"/>
      </rPr>
      <t> б) Земля в) Камень г) Песок</t>
    </r>
  </si>
  <si>
    <r>
      <rPr>
        <rFont val="Quattrocento Sans"/>
        <color rgb="FF212529"/>
        <sz val="12.0"/>
      </rPr>
      <t>37. Какой предмет позволяет быстро перемещаться по рельсам? </t>
    </r>
    <r>
      <rPr>
        <rFont val="Segoe UI"/>
        <b/>
        <color rgb="FF212529"/>
        <sz val="12.0"/>
      </rPr>
      <t>а) Вагонетка</t>
    </r>
    <r>
      <rPr>
        <rFont val="Segoe UI"/>
        <color rgb="FF212529"/>
        <sz val="12.0"/>
      </rPr>
      <t> б) Лодка в) Весло г) Лопата</t>
    </r>
  </si>
  <si>
    <r>
      <rPr>
        <rFont val="Quattrocento Sans"/>
        <color rgb="FF212529"/>
        <sz val="12.0"/>
      </rPr>
      <t>38. Какой блок нужен для создания зелья? </t>
    </r>
    <r>
      <rPr>
        <rFont val="Segoe UI"/>
        <b/>
        <color rgb="FF212529"/>
        <sz val="12.0"/>
      </rPr>
      <t>а) Варочная стойка</t>
    </r>
    <r>
      <rPr>
        <rFont val="Segoe UI"/>
        <color rgb="FF212529"/>
        <sz val="12.0"/>
      </rPr>
      <t> б) Верстак в) Печь г) Сундук</t>
    </r>
  </si>
  <si>
    <r>
      <rPr>
        <rFont val="Quattrocento Sans"/>
        <color rgb="FF212529"/>
        <sz val="12.0"/>
      </rPr>
      <t>39. Какой блок нужен для хранения предметов? </t>
    </r>
    <r>
      <rPr>
        <rFont val="Segoe UI"/>
        <b/>
        <color rgb="FF212529"/>
        <sz val="12.0"/>
      </rPr>
      <t>а) Сундук</t>
    </r>
    <r>
      <rPr>
        <rFont val="Segoe UI"/>
        <color rgb="FF212529"/>
        <sz val="12.0"/>
      </rPr>
      <t> б) Верстак в) Печь г) Камень</t>
    </r>
  </si>
  <si>
    <r>
      <rPr>
        <rFont val="Quattrocento Sans"/>
        <color rgb="FF212529"/>
        <sz val="12.0"/>
      </rPr>
      <t>40. Какой предмет используется для зачарования? </t>
    </r>
    <r>
      <rPr>
        <rFont val="Segoe UI"/>
        <b/>
        <color rgb="FF212529"/>
        <sz val="12.0"/>
      </rPr>
      <t>а) Зачаровальный стол</t>
    </r>
    <r>
      <rPr>
        <rFont val="Segoe UI"/>
        <color rgb="FF212529"/>
        <sz val="12.0"/>
      </rPr>
      <t> б) Печь в) Верстак г) Сундук</t>
    </r>
  </si>
  <si>
    <r>
      <rPr>
        <rFont val="Quattrocento Sans"/>
        <color rgb="FF212529"/>
        <sz val="12.0"/>
      </rPr>
      <t>41. Какое достижение дается за вход в Нижний мир? </t>
    </r>
    <r>
      <rPr>
        <rFont val="Segoe UI"/>
        <b/>
        <color rgb="FF212529"/>
        <sz val="12.0"/>
      </rPr>
      <t>а) “Огненные недра”</t>
    </r>
    <r>
      <rPr>
        <rFont val="Segoe UI"/>
        <color rgb="FF212529"/>
        <sz val="12.0"/>
      </rPr>
      <t> б) “На дно” в) “Свободное падение” г) “Начать гонку”</t>
    </r>
  </si>
  <si>
    <r>
      <rPr>
        <rFont val="Quattrocento Sans"/>
        <color rgb="FF212529"/>
        <sz val="12.0"/>
      </rPr>
      <t>42. Какое достижение дается за попадание в Край? </t>
    </r>
    <r>
      <rPr>
        <rFont val="Segoe UI"/>
        <b/>
        <color rgb="FF212529"/>
        <sz val="12.0"/>
      </rPr>
      <t>а) “Конец?”</t>
    </r>
    <r>
      <rPr>
        <rFont val="Segoe UI"/>
        <color rgb="FF212529"/>
        <sz val="12.0"/>
      </rPr>
      <t> б) “Выйти за рамки” в) “Начать гонку” г) “Дикий”</t>
    </r>
  </si>
  <si>
    <r>
      <rPr>
        <rFont val="Quattrocento Sans"/>
        <color rgb="FF212529"/>
        <sz val="12.0"/>
      </rPr>
      <t>43. Какое достижение дается за создание алмазной брони? </t>
    </r>
    <r>
      <rPr>
        <rFont val="Segoe UI"/>
        <b/>
        <color rgb="FF212529"/>
        <sz val="12.0"/>
      </rPr>
      <t>а) “Осыпь меня алмазами”</t>
    </r>
    <r>
      <rPr>
        <rFont val="Segoe UI"/>
        <color rgb="FF212529"/>
        <sz val="12.0"/>
      </rPr>
      <t> б) “Отправиться на войну” в) “Мы богачи” г) “Железный человек”</t>
    </r>
  </si>
  <si>
    <r>
      <rPr>
        <rFont val="Quattrocento Sans"/>
        <color rgb="FF212529"/>
        <sz val="12.0"/>
      </rPr>
      <t>51. Как называется моб, который охраняет сокровищницу в лесном особняке? </t>
    </r>
    <r>
      <rPr>
        <rFont val="Segoe UI"/>
        <b/>
        <color rgb="FF212529"/>
        <sz val="12.0"/>
      </rPr>
      <t>а) Разоритель</t>
    </r>
    <r>
      <rPr>
        <rFont val="Segoe UI"/>
        <color rgb="FF212529"/>
        <sz val="12.0"/>
      </rPr>
      <t> б) Страж в) Эндермен г) Гаст</t>
    </r>
  </si>
  <si>
    <r>
      <rPr>
        <rFont val="Quattrocento Sans"/>
        <color rgb="FF212529"/>
        <sz val="12.0"/>
      </rPr>
      <t>52. Какой предмет нужен для призыва Иссушителя? </t>
    </r>
    <r>
      <rPr>
        <rFont val="Segoe UI"/>
        <b/>
        <color rgb="FF212529"/>
        <sz val="12.0"/>
      </rPr>
      <t>а) Песок душ</t>
    </r>
    <r>
      <rPr>
        <rFont val="Segoe UI"/>
        <color rgb="FF212529"/>
        <sz val="12.0"/>
      </rPr>
      <t> б) Алмазный блок в) Железный слиток г) Золотой слиток</t>
    </r>
  </si>
  <si>
    <r>
      <rPr>
        <rFont val="Quattrocento Sans"/>
        <color rgb="FF212529"/>
        <sz val="12.0"/>
      </rPr>
      <t>53. Какой моб может телепортироваться и красть блоки? </t>
    </r>
    <r>
      <rPr>
        <rFont val="Segoe UI"/>
        <b/>
        <color rgb="FF212529"/>
        <sz val="12.0"/>
      </rPr>
      <t>а) Эндермен</t>
    </r>
    <r>
      <rPr>
        <rFont val="Segoe UI"/>
        <color rgb="FF212529"/>
        <sz val="12.0"/>
      </rPr>
      <t> б) Зомби в) Крипер г) Скелет</t>
    </r>
  </si>
  <si>
    <r>
      <rPr>
        <rFont val="Quattrocento Sans"/>
        <color rgb="FF212529"/>
        <sz val="12.0"/>
      </rPr>
      <t>54. Какой моб является боссом океанического монумента? </t>
    </r>
    <r>
      <rPr>
        <rFont val="Segoe UI"/>
        <b/>
        <color rgb="FF212529"/>
        <sz val="12.0"/>
      </rPr>
      <t>а) Древний страж</t>
    </r>
    <r>
      <rPr>
        <rFont val="Segoe UI"/>
        <color rgb="FF212529"/>
        <sz val="12.0"/>
      </rPr>
      <t> б) Страж в) Утопленник г) Гаст</t>
    </r>
  </si>
  <si>
    <r>
      <rPr>
        <rFont val="Quattrocento Sans"/>
        <color rgb="FF212529"/>
        <sz val="12.0"/>
      </rPr>
      <t>55. Какой моб является враждебной версией жителя деревни? </t>
    </r>
    <r>
      <rPr>
        <rFont val="Segoe UI"/>
        <b/>
        <color rgb="FF212529"/>
        <sz val="12.0"/>
      </rPr>
      <t>а) Разбойник</t>
    </r>
    <r>
      <rPr>
        <rFont val="Segoe UI"/>
        <color rgb="FF212529"/>
        <sz val="12.0"/>
      </rPr>
      <t> б) Зомби в) Скелет г) Крипер</t>
    </r>
  </si>
  <si>
    <r>
      <rPr>
        <rFont val="Quattrocento Sans"/>
        <color rgb="FF212529"/>
        <sz val="12.0"/>
      </rPr>
      <t>56. Какой инструмент используется для копания земли и песка? </t>
    </r>
    <r>
      <rPr>
        <rFont val="Segoe UI"/>
        <b/>
        <color rgb="FF212529"/>
        <sz val="12.0"/>
      </rPr>
      <t>а) Лопата</t>
    </r>
    <r>
      <rPr>
        <rFont val="Segoe UI"/>
        <color rgb="FF212529"/>
        <sz val="12.0"/>
      </rPr>
      <t> б) Кирка в) Топор г) Мотыга</t>
    </r>
  </si>
  <si>
    <r>
      <rPr>
        <rFont val="Quattrocento Sans"/>
        <color rgb="FF212529"/>
        <sz val="12.0"/>
      </rPr>
      <t>57. Какой инструмент используется для рубки дерева? </t>
    </r>
    <r>
      <rPr>
        <rFont val="Segoe UI"/>
        <b/>
        <color rgb="FF212529"/>
        <sz val="12.0"/>
      </rPr>
      <t>а) Топор</t>
    </r>
    <r>
      <rPr>
        <rFont val="Segoe UI"/>
        <color rgb="FF212529"/>
        <sz val="12.0"/>
      </rPr>
      <t> б) Кирка в) Лопата г) Мотыга</t>
    </r>
  </si>
  <si>
    <r>
      <rPr>
        <rFont val="Quattrocento Sans"/>
        <color rgb="FF212529"/>
        <sz val="12.0"/>
      </rPr>
      <t>58. Какой предмет используется для создания стрел? </t>
    </r>
    <r>
      <rPr>
        <rFont val="Segoe UI"/>
        <b/>
        <color rgb="FF212529"/>
        <sz val="12.0"/>
      </rPr>
      <t>а) Кремний</t>
    </r>
    <r>
      <rPr>
        <rFont val="Segoe UI"/>
        <color rgb="FF212529"/>
        <sz val="12.0"/>
      </rPr>
      <t> б) Уголь в) Железо г) Золото</t>
    </r>
  </si>
  <si>
    <r>
      <rPr>
        <rFont val="Quattrocento Sans"/>
        <color rgb="FF212529"/>
        <sz val="12.0"/>
      </rPr>
      <t>60. Какой предмет используется для стрельбы стрелами? </t>
    </r>
    <r>
      <rPr>
        <rFont val="Segoe UI"/>
        <b/>
        <color rgb="FF212529"/>
        <sz val="12.0"/>
      </rPr>
      <t>а) Лук</t>
    </r>
    <r>
      <rPr>
        <rFont val="Segoe UI"/>
        <color rgb="FF212529"/>
        <sz val="12.0"/>
      </rPr>
      <t> б) Меч в) Топор г) Мотыга</t>
    </r>
  </si>
  <si>
    <r>
      <rPr>
        <rFont val="Quattrocento Sans"/>
        <color rgb="FF212529"/>
        <sz val="12.0"/>
      </rPr>
      <t>62. Какой блок можно использовать для создания света? </t>
    </r>
    <r>
      <rPr>
        <rFont val="Segoe UI"/>
        <b/>
        <color rgb="FF212529"/>
        <sz val="12.0"/>
      </rPr>
      <t>а) Факел</t>
    </r>
    <r>
      <rPr>
        <rFont val="Segoe UI"/>
        <color rgb="FF212529"/>
        <sz val="12.0"/>
      </rPr>
      <t> б) Земля в) Камень г) Песок</t>
    </r>
  </si>
  <si>
    <r>
      <rPr>
        <rFont val="Quattrocento Sans"/>
        <color rgb="FF212529"/>
        <sz val="12.0"/>
      </rPr>
      <t>63. Какой блок используется для плавки руды? </t>
    </r>
    <r>
      <rPr>
        <rFont val="Segoe UI"/>
        <b/>
        <color rgb="FF212529"/>
        <sz val="12.0"/>
      </rPr>
      <t>а) Печь</t>
    </r>
    <r>
      <rPr>
        <rFont val="Segoe UI"/>
        <color rgb="FF212529"/>
        <sz val="12.0"/>
      </rPr>
      <t> б) Верстак в) Сундук г) Камень</t>
    </r>
  </si>
  <si>
    <r>
      <rPr>
        <rFont val="Quattrocento Sans"/>
        <color rgb="FF212529"/>
        <sz val="12.0"/>
      </rPr>
      <t>65. Какой блок используется для создания водяных лифтов? </t>
    </r>
    <r>
      <rPr>
        <rFont val="Segoe UI"/>
        <b/>
        <color rgb="FF212529"/>
        <sz val="12.0"/>
      </rPr>
      <t>а) Песок душ</t>
    </r>
    <r>
      <rPr>
        <rFont val="Segoe UI"/>
        <color rgb="FF212529"/>
        <sz val="12.0"/>
      </rPr>
      <t> б) Факел в) Камень г) Земля</t>
    </r>
  </si>
  <si>
    <r>
      <rPr>
        <rFont val="Quattrocento Sans"/>
        <color rgb="FF212529"/>
        <sz val="12.0"/>
      </rPr>
      <t>71. Как называется мир, который является “адом” в Minecraft? </t>
    </r>
    <r>
      <rPr>
        <rFont val="Segoe UI"/>
        <b/>
        <color rgb="FF212529"/>
        <sz val="12.0"/>
      </rPr>
      <t>а) Нижний мир</t>
    </r>
    <r>
      <rPr>
        <rFont val="Segoe UI"/>
        <color rgb="FF212529"/>
        <sz val="12.0"/>
      </rPr>
      <t> б) Край в) Верхний мир г) Измерение грибов</t>
    </r>
  </si>
  <si>
    <r>
      <rPr>
        <rFont val="Quattrocento Sans"/>
        <color rgb="FF212529"/>
        <sz val="12.0"/>
      </rPr>
      <t>74. Что является основной валютой для торговли с жителями деревни? </t>
    </r>
    <r>
      <rPr>
        <rFont val="Segoe UI"/>
        <b/>
        <color rgb="FF212529"/>
        <sz val="12.0"/>
      </rPr>
      <t>а) Изумруды</t>
    </r>
    <r>
      <rPr>
        <rFont val="Segoe UI"/>
        <color rgb="FF212529"/>
        <sz val="12.0"/>
      </rPr>
      <t> б) Золото в) Железо г) Алмазы</t>
    </r>
  </si>
  <si>
    <r>
      <rPr>
        <rFont val="Quattrocento Sans"/>
        <color rgb="FF212529"/>
        <sz val="12.0"/>
      </rPr>
      <t>76. Какое животное можно вырастить из яйца? </t>
    </r>
    <r>
      <rPr>
        <rFont val="Segoe UI"/>
        <b/>
        <color rgb="FF212529"/>
        <sz val="12.0"/>
      </rPr>
      <t>а) Курица</t>
    </r>
    <r>
      <rPr>
        <rFont val="Segoe UI"/>
        <color rgb="FF212529"/>
        <sz val="12.0"/>
      </rPr>
      <t> б) Овца в) Свинья г) Корова</t>
    </r>
  </si>
  <si>
    <r>
      <rPr>
        <rFont val="Quattrocento Sans"/>
        <color rgb="FF212529"/>
        <sz val="12.0"/>
      </rPr>
      <t>77. Какой предмет используется для создания лодки? </t>
    </r>
    <r>
      <rPr>
        <rFont val="Segoe UI"/>
        <b/>
        <color rgb="FF212529"/>
        <sz val="12.0"/>
      </rPr>
      <t>а) Дерево</t>
    </r>
    <r>
      <rPr>
        <rFont val="Segoe UI"/>
        <color rgb="FF212529"/>
        <sz val="12.0"/>
      </rPr>
      <t> б) Железо в) Алмазы г) Обсидиан</t>
    </r>
  </si>
  <si>
    <r>
      <rPr>
        <rFont val="Quattrocento Sans"/>
        <color rgb="FF212529"/>
        <sz val="12.0"/>
      </rPr>
      <t>79. Какой блок можно использовать для создания портала в Нижний мир? </t>
    </r>
    <r>
      <rPr>
        <rFont val="Segoe UI"/>
        <b/>
        <color rgb="FF212529"/>
        <sz val="12.0"/>
      </rPr>
      <t>а) Обсидиан</t>
    </r>
    <r>
      <rPr>
        <rFont val="Segoe UI"/>
        <color rgb="FF212529"/>
        <sz val="12.0"/>
      </rPr>
      <t> б) Железо в) Золото г) Алмаз</t>
    </r>
  </si>
  <si>
    <r>
      <rPr>
        <rFont val="Quattrocento Sans"/>
        <color rgb="FF212529"/>
        <sz val="12.0"/>
      </rPr>
      <t>82. Как называется режим игры, в котором у игрока есть только одна жизнь? </t>
    </r>
    <r>
      <rPr>
        <rFont val="Segoe UI"/>
        <b/>
        <color rgb="FF212529"/>
        <sz val="12.0"/>
      </rPr>
      <t>а) Хардкор</t>
    </r>
    <r>
      <rPr>
        <rFont val="Segoe UI"/>
        <color rgb="FF212529"/>
        <sz val="12.0"/>
      </rPr>
      <t> б) Выживание в) Приключение г) Креатив</t>
    </r>
  </si>
  <si>
    <r>
      <rPr>
        <rFont val="Quattrocento Sans"/>
        <color rgb="FF212529"/>
        <sz val="12.0"/>
      </rPr>
      <t>83. Как называется режим игры, в котором нужно добывать ресурсы и выживать? </t>
    </r>
    <r>
      <rPr>
        <rFont val="Segoe UI"/>
        <b/>
        <color rgb="FF212529"/>
        <sz val="12.0"/>
      </rPr>
      <t>а) Выживание</t>
    </r>
    <r>
      <rPr>
        <rFont val="Segoe UI"/>
        <color rgb="FF212529"/>
        <sz val="12.0"/>
      </rPr>
      <t> б) Хардкор в) Креатив г) Приключение</t>
    </r>
  </si>
  <si>
    <r>
      <rPr>
        <rFont val="Quattrocento Sans"/>
        <color rgb="FF212529"/>
        <sz val="12.0"/>
      </rPr>
      <t>84. Как называется режим игры, в котором нельзя ломать блоки? </t>
    </r>
    <r>
      <rPr>
        <rFont val="Segoe UI"/>
        <b/>
        <color rgb="FF212529"/>
        <sz val="12.0"/>
      </rPr>
      <t>а) Приключение</t>
    </r>
    <r>
      <rPr>
        <rFont val="Segoe UI"/>
        <color rgb="FF212529"/>
        <sz val="12.0"/>
      </rPr>
      <t> б) Хардкор в) Выживание г) Креатив</t>
    </r>
  </si>
  <si>
    <r>
      <rPr>
        <rFont val="Quattrocento Sans"/>
        <color rgb="FF212529"/>
        <sz val="12.0"/>
      </rPr>
      <t>86. В каком обновлении были добавлены лисы? </t>
    </r>
    <r>
      <rPr>
        <rFont val="Segoe UI"/>
        <b/>
        <color rgb="FF212529"/>
        <sz val="12.0"/>
      </rPr>
      <t>а) 1.14</t>
    </r>
    <r>
      <rPr>
        <rFont val="Segoe UI"/>
        <color rgb="FF212529"/>
        <sz val="12.0"/>
      </rPr>
      <t> б) 1.16 в) 1.17 г) 1.18</t>
    </r>
  </si>
  <si>
    <r>
      <rPr>
        <rFont val="Quattrocento Sans"/>
        <color rgb="FF212529"/>
        <sz val="12.0"/>
      </rPr>
      <t>87. В каком обновлении были добавлены незеритовые предметы? </t>
    </r>
    <r>
      <rPr>
        <rFont val="Segoe UI"/>
        <b/>
        <color rgb="FF212529"/>
        <sz val="12.0"/>
      </rPr>
      <t>а) 1.16</t>
    </r>
    <r>
      <rPr>
        <rFont val="Segoe UI"/>
        <color rgb="FF212529"/>
        <sz val="12.0"/>
      </rPr>
      <t> б) 1.14 в) 1.17 г) 1.18</t>
    </r>
  </si>
  <si>
    <r>
      <rPr>
        <rFont val="Quattrocento Sans"/>
        <color rgb="FF212529"/>
        <sz val="12.0"/>
      </rPr>
      <t>88. В каком обновлении был добавлен Варден? </t>
    </r>
    <r>
      <rPr>
        <rFont val="Segoe UI"/>
        <b/>
        <color rgb="FF212529"/>
        <sz val="12.0"/>
      </rPr>
      <t>а) 1.19</t>
    </r>
    <r>
      <rPr>
        <rFont val="Segoe UI"/>
        <color rgb="FF212529"/>
        <sz val="12.0"/>
      </rPr>
      <t> б) 1.17 в) 1.16 г) 1.15</t>
    </r>
  </si>
  <si>
    <r>
      <rPr>
        <rFont val="Quattrocento Sans"/>
        <color rgb="FF212529"/>
        <sz val="12.0"/>
      </rPr>
      <t>89. В каком обновлении были добавлены аксолотли? </t>
    </r>
    <r>
      <rPr>
        <rFont val="Segoe UI"/>
        <b/>
        <color rgb="FF212529"/>
        <sz val="12.0"/>
      </rPr>
      <t>а) 1.17</t>
    </r>
    <r>
      <rPr>
        <rFont val="Segoe UI"/>
        <color rgb="FF212529"/>
        <sz val="12.0"/>
      </rPr>
      <t> б) 1.19 в) 1.16 г) 1.15</t>
    </r>
  </si>
  <si>
    <r>
      <rPr>
        <rFont val="Quattrocento Sans"/>
        <color rgb="FF212529"/>
        <sz val="12.0"/>
      </rPr>
      <t>90. В каком обновлении были добавлены пещеры и скалы? </t>
    </r>
    <r>
      <rPr>
        <rFont val="Segoe UI"/>
        <b/>
        <color rgb="FF212529"/>
        <sz val="12.0"/>
      </rPr>
      <t>а) 1.18</t>
    </r>
    <r>
      <rPr>
        <rFont val="Segoe UI"/>
        <color rgb="FF212529"/>
        <sz val="12.0"/>
      </rPr>
      <t> б) 1.17 в) 1.19 г) 1.16</t>
    </r>
  </si>
  <si>
    <r>
      <rPr>
        <rFont val="Quattrocento Sans"/>
        <color rgb="FF212529"/>
        <sz val="12.0"/>
      </rPr>
      <t>91. Какая механика используется для создания сложных механизмов? </t>
    </r>
    <r>
      <rPr>
        <rFont val="Segoe UI"/>
        <b/>
        <color rgb="FF212529"/>
        <sz val="12.0"/>
      </rPr>
      <t>а) Редстоун</t>
    </r>
    <r>
      <rPr>
        <rFont val="Segoe UI"/>
        <color rgb="FF212529"/>
        <sz val="12.0"/>
      </rPr>
      <t> б) Камень в) Дерево г) Песок</t>
    </r>
  </si>
  <si>
    <r>
      <rPr>
        <rFont val="Quattrocento Sans"/>
        <color rgb="FF212529"/>
        <sz val="12.0"/>
      </rPr>
      <t>92. Как называется эффект от использования тотема бессмертия? </t>
    </r>
    <r>
      <rPr>
        <rFont val="Segoe UI"/>
        <b/>
        <color rgb="FF212529"/>
        <sz val="12.0"/>
      </rPr>
      <t>а) Поглощение урона</t>
    </r>
    <r>
      <rPr>
        <rFont val="Segoe UI"/>
        <color rgb="FF212529"/>
        <sz val="12.0"/>
      </rPr>
      <t> б) Скорость в) Ночное зрение г) Сила</t>
    </r>
  </si>
  <si>
    <r>
      <rPr>
        <rFont val="Quattrocento Sans"/>
        <color rgb="FF212529"/>
        <sz val="12.0"/>
      </rPr>
      <t>93. Как называется еда для приручения лошадей? </t>
    </r>
    <r>
      <rPr>
        <rFont val="Segoe UI"/>
        <b/>
        <color rgb="FF212529"/>
        <sz val="12.0"/>
      </rPr>
      <t>а) Золотое яблоко</t>
    </r>
    <r>
      <rPr>
        <rFont val="Segoe UI"/>
        <color rgb="FF212529"/>
        <sz val="12.0"/>
      </rPr>
      <t> б) Пшеница в) Морковь г) Сахар</t>
    </r>
  </si>
  <si>
    <r>
      <rPr>
        <rFont val="Quattrocento Sans"/>
        <color rgb="FF212529"/>
        <sz val="12.0"/>
      </rPr>
      <t>94. Какой инструмент используется для сбора меда? </t>
    </r>
    <r>
      <rPr>
        <rFont val="Segoe UI"/>
        <b/>
        <color rgb="FF212529"/>
        <sz val="12.0"/>
      </rPr>
      <t>а) Стеклянная бутылка</t>
    </r>
    <r>
      <rPr>
        <rFont val="Segoe UI"/>
        <color rgb="FF212529"/>
        <sz val="12.0"/>
      </rPr>
      <t> б) Топор в) Кирка г) Лопата</t>
    </r>
  </si>
  <si>
    <r>
      <rPr>
        <rFont val="Quattrocento Sans"/>
        <color rgb="FF212529"/>
        <sz val="12.0"/>
      </rPr>
      <t>95. Какой блок позволяет игроку спать ночью? </t>
    </r>
    <r>
      <rPr>
        <rFont val="Segoe UI"/>
        <b/>
        <color rgb="FF212529"/>
        <sz val="12.0"/>
      </rPr>
      <t>а) Кровать</t>
    </r>
    <r>
      <rPr>
        <rFont val="Segoe UI"/>
        <color rgb="FF212529"/>
        <sz val="12.0"/>
      </rPr>
      <t> б) Верстак в) Сундук г) Печь</t>
    </r>
  </si>
  <si>
    <r>
      <rPr>
        <rFont val="Quattrocento Sans"/>
        <color rgb="FF212529"/>
        <sz val="12.0"/>
      </rPr>
      <t>96. Какой моб в Minecraft не имеет ног? </t>
    </r>
    <r>
      <rPr>
        <rFont val="Segoe UI"/>
        <b/>
        <color rgb="FF212529"/>
        <sz val="12.0"/>
      </rPr>
      <t>а) Слизень</t>
    </r>
    <r>
      <rPr>
        <rFont val="Segoe UI"/>
        <color rgb="FF212529"/>
        <sz val="12.0"/>
      </rPr>
      <t> б) Зомби в) Скелет г) Крипер</t>
    </r>
  </si>
  <si>
    <r>
      <rPr>
        <rFont val="Quattrocento Sans"/>
        <color rgb="FF212529"/>
        <sz val="12.0"/>
      </rPr>
      <t>97. Какой блок используется для создания красителей? </t>
    </r>
    <r>
      <rPr>
        <rFont val="Segoe UI"/>
        <b/>
        <color rgb="FF212529"/>
        <sz val="12.0"/>
      </rPr>
      <t>а) Цветы</t>
    </r>
    <r>
      <rPr>
        <rFont val="Segoe UI"/>
        <color rgb="FF212529"/>
        <sz val="12.0"/>
      </rPr>
      <t> б) Камни в) Дерево г) Земля</t>
    </r>
  </si>
  <si>
    <r>
      <rPr>
        <rFont val="Quattrocento Sans"/>
        <color rgb="FF212529"/>
        <sz val="12.0"/>
      </rPr>
      <t>99. Какой предмет используется для создания фейерверков? </t>
    </r>
    <r>
      <rPr>
        <rFont val="Segoe UI"/>
        <b/>
        <color rgb="FF212529"/>
        <sz val="12.0"/>
      </rPr>
      <t>а) Порох</t>
    </r>
    <r>
      <rPr>
        <rFont val="Segoe UI"/>
        <color rgb="FF212529"/>
        <sz val="12.0"/>
      </rPr>
      <t> б) Алмазы в) Железо г) Золото</t>
    </r>
  </si>
  <si>
    <r>
      <rPr>
        <rFont val="Quattrocento Sans"/>
        <color rgb="FF212529"/>
        <sz val="12.0"/>
      </rPr>
      <t>100. Как называется предмет, позволяющий убирать зачарования с предметов? </t>
    </r>
    <r>
      <rPr>
        <rFont val="Segoe UI"/>
        <b/>
        <color rgb="FF212529"/>
        <sz val="12.0"/>
      </rPr>
      <t>а) Жернов</t>
    </r>
    <r>
      <rPr>
        <rFont val="Segoe UI"/>
        <color rgb="FF212529"/>
        <sz val="12.0"/>
      </rPr>
      <t> б) Верстак в) Печь г) Сундук</t>
    </r>
  </si>
  <si>
    <t>Какой моб является символом Minecraft? а) Крипер б) Скелет в) Зомби г) Эндермен</t>
  </si>
  <si>
    <t>Что необходимо для создания портала в Нижний мир? а) Обсидиан б) Лава в) Вода г) Алмазы</t>
  </si>
  <si>
    <t>Какой ресурс позволяет создавать прочнейшую броню? а) Незерит б) Алмаз в) Железо г) Золото</t>
  </si>
  <si>
    <t>Какой моб является боссом в измерении “Край”? а) Эндер-дракон б) Иссушитель в) Страж г) Гаст</t>
  </si>
  <si>
    <t>Какой эффект даёт золотое яблоко? а) Регенерация б) Скорость в) Сила г) Невидимость</t>
  </si>
  <si>
    <t>Какой блок используется для приготовления зелий? а) Варочная стойка б) Печь в) Верстак г) Компостер</t>
  </si>
  <si>
    <t>Какой моб спаунится только в темноте? а) Зомби б) Овца в) Курица г) Свинья</t>
  </si>
  <si>
    <t>Какой биом состоит в основном из песка? а) Пустыня б) Саванна в) Тайга г) Джунгли</t>
  </si>
  <si>
    <t>Что необходимо для создания хлеба? а) Пшеница б) Яблоки в) Морковь г) Картофель</t>
  </si>
  <si>
    <t>Какой моб дает молоко? а) Корова б) Свинья в) Овца г) Курица</t>
  </si>
  <si>
    <t>С помощью чего можно приручить лошадь? а) Яблоко б) Семена в) Кость г) Рыба</t>
  </si>
  <si>
    <t>Какой блок является источником света, который можно разместить на стене? а) Факел б) Лампа в) Фонарь г) Светокамень</t>
  </si>
  <si>
    <t>Какой предмет позволяет быстро передвигаться под водой? а) Трезубец б) Лодка в) Ведро г) Удочка</t>
  </si>
  <si>
    <t>Какой моб появляется из яйца, брошенного игроком? а) Курица б) Свинья в) Овца г) Корова</t>
  </si>
  <si>
    <t>Что позволяет быстро добывать листву? а) Ножницы б) Топор в) Кирка г) Лопата</t>
  </si>
  <si>
    <t>С помощью чего можно приручить волка? а) Кость б) Мясо в) Рыба г) Семена</t>
  </si>
  <si>
    <t>Какой блок используется для передачи сигнала редстоуна на расстояние? а) Повторитель б) Компаратор в) Поршень г) Наблюдатель</t>
  </si>
  <si>
    <t>Какой моб обладает способностью взбираться по стенам? а) Паук б) Зомби в) Скелет г) Крипер</t>
  </si>
  <si>
    <t>Какой моб появляется в аду и стреляет огненными шарами? а) Гаст б) Зомби-свиночеловек в) Скелет г) Лавовый куб</t>
  </si>
  <si>
    <t>Что является основным ресурсом для создания строительных лесов? а) Бамбук б) Дерево в) Камень г) Железо</t>
  </si>
  <si>
    <t>С помощью чего можно быстро вспахивать землю? а) Мотыга б) Лопата в) Кирка г) Топор</t>
  </si>
  <si>
    <t>Какой моб нападает на жителей деревень? а) Зомби б) Скелет в) Крипер г) Паук</t>
  </si>
  <si>
    <t>С помощью чего можно собирать мед из улья? а) Стеклянная бутылка б) Ведро в) Лопата г) Топор</t>
  </si>
  <si>
    <t>Какой предмет необходим для создания зелья невидимости? а) Золотая морковь б) Слеза гаста в) Алмаз г) Лава</t>
  </si>
  <si>
    <t>Что используется для создания музыкальных блоков? а) Дерево б) Камень в) Железо г) Алмаз</t>
  </si>
  <si>
    <t>Какой моб плавает в воде и может атаковать игрока? а) Утопленник б) Скелет в) Зомби г) Крипер</t>
  </si>
  <si>
    <t>Для чего нужно кострище? а) Для приготовления пищи б) Для украшения в) Для отпугивания мобов г) Для освещения территории</t>
  </si>
  <si>
    <t>С помощью чего можно быстро срубить огромное дерево? а) Топор б) Кирка в) Мотыга г) Лопата</t>
  </si>
  <si>
    <t>Что нужно для создания стола картографа? а) Бумага б) Камень в) Листья г) Редстоун</t>
  </si>
  <si>
    <t>Для чего нужен компас? а) Что бы не заблудиться б) Для ориентирования во времени в) Для поиска сокровищ г) Для полёта</t>
  </si>
  <si>
    <t>Что нужно для создания динамита? а) Порох б) Уголь в) Редстоун г) Железо</t>
  </si>
  <si>
    <t>Какой предмет можно использовать для телепортации? а) Жемчуг Края б) Камень Края в) Обсидиан г) Камень</t>
  </si>
  <si>
    <t>Как называется блок, который может липнуть к другим блокам? а) Липкий поршень б) Обычный поршень в) Слизь г) Мед</t>
  </si>
  <si>
    <t>Какую еду любят панды? а) Бамбук б) Яблоки в) Торт г) Семена</t>
  </si>
  <si>
    <t>Какой инструмент позволяет быстро копать песок и гравий? а) Лопата б) Кирка в) Топор г) Мотыга</t>
  </si>
  <si>
    <t>Какой моб превращается в ведьму от удара молнии? а) Житель б) Зомби в) Скелет г) Крипер</t>
  </si>
  <si>
    <t>Какой ресурс используется для создания стекла? а) Песок б) Камень в) Земля г) Гравий</t>
  </si>
  <si>
    <t>Какой блок используется для создания костра? а) Уголь б) Железо в) Золото г) Алмазы</t>
  </si>
  <si>
    <t>Где можно найти элитры? а) В корабле Края б) В сокровищнице в) В шахте г) В пещере</t>
  </si>
  <si>
    <t>Что используется для создания динамита? а) Порох б) Уголь в) Редстоун г) Железо</t>
  </si>
  <si>
    <t>Какой ресурс используется для создания фейерверков? а) Порох б) Уголь в) Редстоун г) Железо</t>
  </si>
  <si>
    <t>Какое животное можно найти в снежном биоме? а) Белый медведь б) Корова в) Овца г) Свинья</t>
  </si>
  <si>
    <t>Какой инструмент используется для создания карты? а) Компас б) Кирка в) Топор г) Лопата</t>
  </si>
  <si>
    <t>Какой блок позволяет получить случайный предмет? а) Раздатчик б) Сундук в) Верстак г) Печь</t>
  </si>
  <si>
    <t>Какой моб используется для передвижения в аду? а) Страйдер б) Зомби в) Крипер г) Скелет</t>
  </si>
  <si>
    <t>Что нужно для создания костра? а) Дерево б) Камень в) Железо г) Алмазы</t>
  </si>
  <si>
    <t>Какое растение можно использовать для создания красителя? а) Маки б) Пшеница в) Сахарный тростник г) Бамбук</t>
  </si>
  <si>
    <t>Как зовут главного врага жителей деревни? а) Разбойник б) Зомби в) Крипер г) Скелет</t>
  </si>
  <si>
    <t>Что необходимо для создания верстака? а) Деревянные доски б) Камень в) Железо г) Алмазы</t>
  </si>
  <si>
    <t>Какой моб боится кошек? а) Крипер б) Зомби в) Скелет г) Эндермен</t>
  </si>
  <si>
    <t>Каким образом можно усмирить оцелота? а) Рыбой б) Костью в) Семенами г) Яблоками</t>
  </si>
  <si>
    <t>С помощью чего можно добывать воду? а) Ведро б) Лопата в) Топор г) Кирка</t>
  </si>
  <si>
    <t>Какой блок нужен для разведения коров? а) Пшеница б) Камень в) Дерево г) Песок</t>
  </si>
  <si>
    <t>Какой моб дает нитки? а) Паук б) Слизень в) Зомби г) Крипер</t>
  </si>
  <si>
    <t>Какой инструмент используется для посадки семян? а) Мотыга б) Лопата в) Топор г) Кирка</t>
  </si>
  <si>
    <t>Что нужно для приручения попугая? а) Семена б) Кости в) Печенье г) Рыба</t>
  </si>
  <si>
    <t>Что едят кролики? а) Морковь б) Сено в) Яблоки г) Рыба</t>
  </si>
  <si>
    <t>Где можно найти глину? а) Возле водоёмов б) В шахтах в) В лесах г) В пустынях</t>
  </si>
  <si>
    <t>Какой моб всегда нападает группами? а) Волки б) Зомби в) Скелеты г) Криперы</t>
  </si>
  <si>
    <t>Что можно получить из переплавленного песка? а) Стекло б) Камень в) Кирпич г) Глину</t>
  </si>
  <si>
    <t>Кто это?  а) Курица б) Цыпа в) Петушок г) Наседка</t>
  </si>
  <si>
    <t>Кто это?  а) Корова б) Му-му в) Теленок г) Буренка</t>
  </si>
  <si>
    <t>Кто это?  а) Свинья б) Хрюшка в) Пятачок г) Землеройка</t>
  </si>
  <si>
    <t>Кто это?  а) Овца б) Барашек в) Шерстяной комок г) Кудряшка</t>
  </si>
  <si>
    <t>Кто это?  а) Лошадь б) Игого в) Жеребенок г) Скакун</t>
  </si>
  <si>
    <t>Кто это?  а) Осел б) Иа в) Упрямый г) Грузовик</t>
  </si>
  <si>
    <t>Кто это?  а) Мул б) Гибрид в) Работяга г) Ушастый</t>
  </si>
  <si>
    <t>Кто это?  а) Кролик б) Заяц в) Пушистик г) Прыгун</t>
  </si>
  <si>
    <t>Кто это?  а) Кошка б) Мурка в) Домашний питомец г) Царапка</t>
  </si>
  <si>
    <t>Кто это?  а) Попугай б) Говорун в) Пернатый г) Пиратский</t>
  </si>
  <si>
    <t>Кто это?  а) Черепаха б) Тортилла в) Медленная г) Морская</t>
  </si>
  <si>
    <t>Кто это?  а) Торговец б) Коммивояжер в) Барыга г) Меняла</t>
  </si>
  <si>
    <t>Кто это?  а) Белый медведь б) Умка в) Арктический г) Снежный</t>
  </si>
  <si>
    <t>Кто это?  а) Лиса б) Рыжая плутовка в) Хитрая морда г) Лесной житель</t>
  </si>
  <si>
    <t>Кто это?  а) Пчела б) Жужжалка в) Медоносная г) Полосатая</t>
  </si>
  <si>
    <t>Кто это?  а) Коза б) Бодалка в) Рогатая г) Горная</t>
  </si>
  <si>
    <t>Кто это?  а) Нюхач б) Древний в) Травоядный г) Искатель</t>
  </si>
  <si>
    <t>Кто это?  а) Верблюд б) Плюющийся в) Пустынный г) Двугорбый</t>
  </si>
  <si>
    <t>Кто это?  а) Спрут б) Кальмар в) Чернильник г) Морской житель</t>
  </si>
  <si>
    <t>Кто это?  а) Пещерный паук б) Ядовитый паук в) Подземный г) Синий</t>
  </si>
  <si>
    <t>Кто это?  а) Дельфин б) Эхолокатор в)Морской друг г)Пловец</t>
  </si>
  <si>
    <t>Кто это?   а) Лама б) Плюющаяся в)Горная г)Вьючная</t>
  </si>
  <si>
    <t>Кто это?  а) Странствующий торговец б) Кочевник в) Путешественник г) Меняла с ламами</t>
  </si>
  <si>
    <t>Кто это?  а) Зомбированный пиглин б) Зомби-свинья в) Гнилой хряк г) Квази-кабан</t>
  </si>
  <si>
    <t>Кто это?  а) Эндермен б) Телепортер в) Длинноногий г) Теневой</t>
  </si>
  <si>
    <t>Кто это?  а) Волк б) Лесной пес в) Бродяга г) Серый охотник</t>
  </si>
  <si>
    <t>Кто это?  а) Аксолотль б) Водяной дракон в) Подводный питомец г) Нежный слизень</t>
  </si>
  <si>
    <t>Кто это?  а) Стражник б) Житель-охранник в) Деревенский воин г) Вооруженный крестьянин</t>
  </si>
  <si>
    <t>Кто это?  а) Железный голем б) Механический защитник в) Ржавый силач г) Деревенский страж</t>
  </si>
  <si>
    <t>Кто это?  а) Снежный голем б) Снеговик в) Ледяной помощник г) Морковный нос</t>
  </si>
  <si>
    <t>Кто это?  а) Пчела б) Медоносная оса в) Насекомое г) Крылатый</t>
  </si>
  <si>
    <t>Кто это?  а) Зомби б) Живой мертвец в) Гниющий г) Бродяга</t>
  </si>
  <si>
    <t>Кто это?  а) Скелет б) Костяной лучник в) Сухой г) Дряхлый воитель</t>
  </si>
  <si>
    <t>Кто это?  а) Крипер б) Зеленый взрыватель в) Шипящий монстр г) Шахтер-подрывник</t>
  </si>
  <si>
    <t>Кто это?  а) Слизень б) Зеленая жижа в) Прыгучий куб г) Желейный монстр</t>
  </si>
  <si>
    <t>Кто это?  а) Гаст б) Белый призрак в) Летающий крикун г) Огненный дух</t>
  </si>
  <si>
    <t>Кто это?  а) Магмовый куб б) Огненный слизень в) Лавовый прыгун г) Раскаленный кубик</t>
  </si>
  <si>
    <t>Кто это?  а) Ифрит б) Огненный элементаль в) Летающий поджигатель г) Дымный дух</t>
  </si>
  <si>
    <t>Кто это?  а) Ведьма б) Зельеварка в) Колдунья г) Знахарка</t>
  </si>
  <si>
    <t>Кто это?  а) Скелет-иссушитель б) Черный скелет в) Костяной воин ада г) Угрюмый лучник</t>
  </si>
  <si>
    <t>Кто это?  а) Зомби-житель б) Мертвый горожанин в) Инфицированный крестьянин г) Зомби-фермер</t>
  </si>
  <si>
    <t>Кто это?  а) Утопленник б) Водный зомби в) Морской мертвец г) Затонувший</t>
  </si>
  <si>
    <t>Кто это?  а) Фантом б) Ночной кошмар в) Летающий монстр г) Кожаный крылан</t>
  </si>
  <si>
    <t>Кто это?  а) Досаждатель б) Вредный дух в) Летающий вредитель г) Маленький злыдень</t>
  </si>
  <si>
    <t>Кто это?  а) Поборник б) Разбойник с топором в) Лесной головорез г) Темный воин</t>
  </si>
  <si>
    <t>Кто это?  а) Вызыватель б) Заклинатель в) Маг-разбойник г) Темный чародей</t>
  </si>
  <si>
    <t>Кто это?  а) Разбойник б) Грабитель в) Деревенский головорез г) Арбалетчик</t>
  </si>
  <si>
    <t>Кто это?  а) Разоритель б) Зверь-крушитель в) Голем-разрушитель г) Ездовой монстр разбойников</t>
  </si>
  <si>
    <t>Кто это?  а) Пиглин б) Свин-бандит в) Житель ада г) Золотой любитель</t>
  </si>
  <si>
    <t>Кто это?  а) Хоблин б) Адский гоблин в) Маленький бандит г) Обитатель недр</t>
  </si>
  <si>
    <t>Кто это?  а) Варден б) Глубинный страж в) Тюремщик г) Слепой ужас</t>
  </si>
  <si>
    <t>Кто это?  а) Шалкер б) Парящая коробка в) Засадный куб г) Фиолетовый вредитель</t>
  </si>
  <si>
    <t>Кто это?  а) Древний страж б) Затопленный робот в) Охраник храма г) Подводный босс</t>
  </si>
  <si>
    <t>Кто это?  а) Иссушитель б) Трехголовый скелет в) Костяной демон г) Владыка смерти</t>
  </si>
  <si>
    <t>Кто это?  а) Эндер-дракон б) Краевой дракон в) Финальный босс г) Летающий ящер</t>
  </si>
  <si>
    <t>Выберите в порядке увеличения количества сердец у мобов:  а) Курица б) Свинья в) Железный голем г) Иссушитель</t>
  </si>
  <si>
    <t>Выберите в порядке увеличения прочности инструментов:  а) Золотая кирка б) Деревянная лопата в) Каменная мотыга г) Железный топор</t>
  </si>
  <si>
    <t>Выберите в порядке увеличения времени роста растений:  а) Пшеница б) Морковь в) Картофель г) Свекла</t>
  </si>
  <si>
    <t>Выберите в порядке увеличения количества добываемого опыта при убийстве моба:  а) Курица б) Зомби в) Скелет г) Эндермен</t>
  </si>
  <si>
    <t>Выберите в порядке увеличения высоты прыжка:  а) Лягушка б) Кролик в) Лошадь г) Игрок с зельем прыгучести II</t>
  </si>
  <si>
    <t>Выберите в порядке увеличения прочности брони:  а) Кожаный шлем б) Золотой нагрудник в) Железные поножи г) Алмазные ботинки</t>
  </si>
  <si>
    <t>Выберите в порядке увеличения скорости передвижения по воде:  а) Игрок б) Лодка в) Дельфин г) Игрок с зачарованными ботинками на “Ледоход”</t>
  </si>
  <si>
    <t>Выберите в порядке уменьшенья количества блоков, разрушаемых динамитом:  а) Земля б) Камень в) Обсидиан г) Коренная порода</t>
  </si>
  <si>
    <t>Выберите в порядке увеличения силы взрыва:  а) Крипер б) Заряженный крипер в) Кровать в Нижнем мире г)Спавн Исушителя</t>
  </si>
  <si>
    <t>Выберите в порядке увеличения уровня освещенности:  а) Земля б) Факел в) Лампа из редстоуна г) Маяк</t>
  </si>
  <si>
    <t>Выберите в порядке увеличения дальности слышимости Вардена:  а) Шаг б) Бросок снежка в) Открытие сундука г) Падение на землю</t>
  </si>
  <si>
    <t>Выберите в порядке увеличения сопротивляемости к взрыву:  а) Стекло б) Камень в) Обсидиан г) Коренная порода</t>
  </si>
  <si>
    <t>Выберите в порядке увеличения голода, восстанавливаемого при поедании:  а) Яблоко б) Хлеб в) Стейк г) Тушоный кролик</t>
  </si>
  <si>
    <t>Выберите в порядке увеличения насыщения, восстанавливаемого при поедании:  а) Сырая курица б) Печёная картошка в) Стейк г) Золотая морковь</t>
  </si>
  <si>
    <t>Выберите в порядке увеличения времени, необходимого для выплавки одного предмета в плавильной печи:  а) Табличка б) Уголь в)Блок сушоной ламинарии  г)Ведро лавы</t>
  </si>
  <si>
    <t>Выберите в порядке увеличения частоты спавна моба:  а) Курица б) Зомби в) Эндермен г) Варден</t>
  </si>
  <si>
    <t>Выберите в порядке увеличения времени, которое нужно для прохождения одного блока в плавании:  а) Без эффектов б) Зелье скорости I в) Течение дельфина г) Течение дельфина + зелье скорости II</t>
  </si>
  <si>
    <t>Выберите в порядке увеличения длительности нахождения под водой без ущерба:  а) Без всего б) С зачарованным шлемом “Дыхание I” в) С зельем дыхания г) С раковиной наутилуса</t>
  </si>
  <si>
    <t>Выберите в порядке увеличения редкости нахождения структуры:  а) Деревня б) Заброшенная шахта в) Крепость г) Подводный монумент</t>
  </si>
  <si>
    <t>Выберите в порядке увеличения дальности полёта стрелы:  а) Обычный лук б) Лук + сила I в) Арбалет г) Арбалет + фейерверк</t>
  </si>
  <si>
    <t>Выберите в порядке увеличения необходимого времени для приготовления пищи на костре:  а) Курица б) Свинина в) Баранина г) Крольчатина</t>
  </si>
  <si>
    <t>Выберите в порядке увеличения скорости передвижения по льду:  а) Без ботинок б) Обычные ботинки в) Ботинки с “Ледоходом I” г) Ботинки с “Ледоходом II”</t>
  </si>
  <si>
    <t>Выберите в порядке увеличения количества дней, необходимых для созревания урожая:  а) Пшеница б) Морковь в) Тыква г) Арбуз</t>
  </si>
  <si>
    <t>Выберите в порядке увеличения количества лута в сундуках:  а) В деревне б) В заброшенной шахте в) В крепости г) В сокровищнице Древнего города</t>
  </si>
  <si>
    <t>Выберите в порядке увеличения прочности построек из блоков:  а) Земляная хижина б) Деревянный дом в) Каменный замок г) Бункер из обсидиана</t>
  </si>
  <si>
    <r>
      <rPr>
        <rFont val="Quattrocento Sans"/>
        <color rgb="FF212529"/>
        <sz val="12.0"/>
      </rPr>
      <t>4. Какой моб взрывается при приближении к игроку? </t>
    </r>
    <r>
      <rPr>
        <rFont val="Segoe UI"/>
        <b/>
        <color rgb="FF212529"/>
        <sz val="12.0"/>
      </rPr>
      <t>а) Крипер</t>
    </r>
    <r>
      <rPr>
        <rFont val="Segoe UI"/>
        <color rgb="FF212529"/>
        <sz val="12.0"/>
      </rPr>
      <t> б) Скелет в) Зомби г) Паук</t>
    </r>
  </si>
  <si>
    <r>
      <rPr>
        <rFont val="Quattrocento Sans"/>
        <color rgb="FF212529"/>
        <sz val="12.0"/>
      </rPr>
      <t>6. Какой моб сбрасывает стрелы? </t>
    </r>
    <r>
      <rPr>
        <rFont val="Segoe UI"/>
        <b/>
        <color rgb="FF212529"/>
        <sz val="12.0"/>
      </rPr>
      <t>а) Скелет</t>
    </r>
    <r>
      <rPr>
        <rFont val="Segoe UI"/>
        <color rgb="FF212529"/>
        <sz val="12.0"/>
      </rPr>
      <t> б) Зомби в) Крипер г) Паук</t>
    </r>
  </si>
  <si>
    <r>
      <rPr>
        <rFont val="Quattrocento Sans"/>
        <color rgb="FF212529"/>
        <sz val="12.0"/>
      </rPr>
      <t>7. Какой моб плавает в воде и может атаковать игрока? </t>
    </r>
    <r>
      <rPr>
        <rFont val="Segoe UI"/>
        <b/>
        <color rgb="FF212529"/>
        <sz val="12.0"/>
      </rPr>
      <t>а) Утопленник</t>
    </r>
    <r>
      <rPr>
        <rFont val="Segoe UI"/>
        <color rgb="FF212529"/>
        <sz val="12.0"/>
      </rPr>
      <t> б) Овца в) Свинья г) Корова</t>
    </r>
  </si>
  <si>
    <r>
      <rPr>
        <rFont val="Quattrocento Sans"/>
        <color rgb="FF212529"/>
        <sz val="12.0"/>
      </rPr>
      <t>8. Какого моба можно приручить с помощью костей? </t>
    </r>
    <r>
      <rPr>
        <rFont val="Segoe UI"/>
        <b/>
        <color rgb="FF212529"/>
        <sz val="12.0"/>
      </rPr>
      <t>а) Волк</t>
    </r>
    <r>
      <rPr>
        <rFont val="Segoe UI"/>
        <color rgb="FF212529"/>
        <sz val="12.0"/>
      </rPr>
      <t> б) Кошка в) Лошадь г) Попугай</t>
    </r>
  </si>
  <si>
    <r>
      <rPr>
        <rFont val="Quattrocento Sans"/>
        <color rgb="FF212529"/>
        <sz val="12.0"/>
      </rPr>
      <t>9. Какой моб можно найти в аду и он стреляет огненными шарами? </t>
    </r>
    <r>
      <rPr>
        <rFont val="Segoe UI"/>
        <b/>
        <color rgb="FF212529"/>
        <sz val="12.0"/>
      </rPr>
      <t>а) Гаст</t>
    </r>
    <r>
      <rPr>
        <rFont val="Segoe UI"/>
        <color rgb="FF212529"/>
        <sz val="12.0"/>
      </rPr>
      <t> б) Эндермен в) Зомби-свиночеловек г) Страж</t>
    </r>
  </si>
  <si>
    <r>
      <rPr>
        <rFont val="Quattrocento Sans"/>
        <color rgb="FF212529"/>
        <sz val="12.0"/>
      </rPr>
      <t>10. Какой моб даёт шерсть? </t>
    </r>
    <r>
      <rPr>
        <rFont val="Segoe UI"/>
        <b/>
        <color rgb="FF212529"/>
        <sz val="12.0"/>
      </rPr>
      <t>а) Овца</t>
    </r>
    <r>
      <rPr>
        <rFont val="Segoe UI"/>
        <color rgb="FF212529"/>
        <sz val="12.0"/>
      </rPr>
      <t> б) Курица в) Свинья г) Корова</t>
    </r>
  </si>
  <si>
    <r>
      <rPr>
        <rFont val="Quattrocento Sans"/>
        <color rgb="FF212529"/>
        <sz val="12.0"/>
      </rPr>
      <t>11. Какой предмет используется для создания портала в Нижний мир? </t>
    </r>
    <r>
      <rPr>
        <rFont val="Segoe UI"/>
        <b/>
        <color rgb="FF212529"/>
        <sz val="12.0"/>
      </rPr>
      <t>а) Обсидиан</t>
    </r>
    <r>
      <rPr>
        <rFont val="Segoe UI"/>
        <color rgb="FF212529"/>
        <sz val="12.0"/>
      </rPr>
      <t> б) Алмаз в) Золото г) Железо</t>
    </r>
  </si>
  <si>
    <r>
      <rPr>
        <rFont val="Quattrocento Sans"/>
        <color rgb="FF212529"/>
        <sz val="12.0"/>
      </rPr>
      <t>12. Какой предмет нужен для создания хлеба? </t>
    </r>
    <r>
      <rPr>
        <rFont val="Segoe UI"/>
        <b/>
        <color rgb="FF212529"/>
        <sz val="12.0"/>
      </rPr>
      <t>а) Пшеница</t>
    </r>
    <r>
      <rPr>
        <rFont val="Segoe UI"/>
        <color rgb="FF212529"/>
        <sz val="12.0"/>
      </rPr>
      <t> б) Камень в) Дерево г) Уголь</t>
    </r>
  </si>
  <si>
    <r>
      <rPr>
        <rFont val="Quattrocento Sans"/>
        <color rgb="FF212529"/>
        <sz val="12.0"/>
      </rPr>
      <t>15. Какой предмет используется для создания факелов? </t>
    </r>
    <r>
      <rPr>
        <rFont val="Segoe UI"/>
        <b/>
        <color rgb="FF212529"/>
        <sz val="12.0"/>
      </rPr>
      <t>а) Уголь</t>
    </r>
    <r>
      <rPr>
        <rFont val="Segoe UI"/>
        <color rgb="FF212529"/>
        <sz val="12.0"/>
      </rPr>
      <t> б) Алмаз в) Золото г) Железо</t>
    </r>
  </si>
  <si>
    <r>
      <rPr>
        <rFont val="Quattrocento Sans"/>
        <color rgb="FF212529"/>
        <sz val="12.0"/>
      </rPr>
      <t>16. В каком биоме растут кактусы? </t>
    </r>
    <r>
      <rPr>
        <rFont val="Segoe UI"/>
        <b/>
        <color rgb="FF212529"/>
        <sz val="12.0"/>
      </rPr>
      <t>а) Пустыня</t>
    </r>
    <r>
      <rPr>
        <rFont val="Segoe UI"/>
        <color rgb="FF212529"/>
        <sz val="12.0"/>
      </rPr>
      <t> б) Лес в) Тундра г) Джунгли</t>
    </r>
  </si>
  <si>
    <r>
      <rPr>
        <rFont val="Quattrocento Sans"/>
        <color rgb="FF212529"/>
        <sz val="12.0"/>
      </rPr>
      <t>17. Какой биом содержит много воды и лилий? </t>
    </r>
    <r>
      <rPr>
        <rFont val="Segoe UI"/>
        <b/>
        <color rgb="FF212529"/>
        <sz val="12.0"/>
      </rPr>
      <t>а) Болото</t>
    </r>
    <r>
      <rPr>
        <rFont val="Segoe UI"/>
        <color rgb="FF212529"/>
        <sz val="12.0"/>
      </rPr>
      <t> б) Горы в) Равнина г) Саванна</t>
    </r>
  </si>
  <si>
    <r>
      <rPr>
        <rFont val="Quattrocento Sans"/>
        <color rgb="FF212529"/>
        <sz val="12.0"/>
      </rPr>
      <t>18. В каком биоме выпадает снег? </t>
    </r>
    <r>
      <rPr>
        <rFont val="Segoe UI"/>
        <b/>
        <color rgb="FF212529"/>
        <sz val="12.0"/>
      </rPr>
      <t>а) Тундра</t>
    </r>
    <r>
      <rPr>
        <rFont val="Segoe UI"/>
        <color rgb="FF212529"/>
        <sz val="12.0"/>
      </rPr>
      <t> б) Пустыня в) Джунгли г) Саванна</t>
    </r>
  </si>
  <si>
    <r>
      <rPr>
        <rFont val="Quattrocento Sans"/>
        <color rgb="FF212529"/>
        <sz val="12.0"/>
      </rPr>
      <t>19. Какой биом известен своими высокими деревьями и лианами? </t>
    </r>
    <r>
      <rPr>
        <rFont val="Segoe UI"/>
        <b/>
        <color rgb="FF212529"/>
        <sz val="12.0"/>
      </rPr>
      <t>а) Джунгли</t>
    </r>
    <r>
      <rPr>
        <rFont val="Segoe UI"/>
        <color rgb="FF212529"/>
        <sz val="12.0"/>
      </rPr>
      <t> б) Равнина в) Горы г) Тундра</t>
    </r>
  </si>
  <si>
    <r>
      <rPr>
        <rFont val="Quattrocento Sans"/>
        <color rgb="FF212529"/>
        <sz val="12.0"/>
      </rPr>
      <t>20. Какой биом содержит много грибов? </t>
    </r>
    <r>
      <rPr>
        <rFont val="Segoe UI"/>
        <b/>
        <color rgb="FF212529"/>
        <sz val="12.0"/>
      </rPr>
      <t>а) Грибной остров</t>
    </r>
    <r>
      <rPr>
        <rFont val="Segoe UI"/>
        <color rgb="FF212529"/>
        <sz val="12.0"/>
      </rPr>
      <t> б) Лес в) Пустыня г) Тайга</t>
    </r>
  </si>
  <si>
    <r>
      <rPr>
        <rFont val="Quattrocento Sans"/>
        <color rgb="FF212529"/>
        <sz val="12.0"/>
      </rPr>
      <t>21. Какую структуру можно найти в пустыне? </t>
    </r>
    <r>
      <rPr>
        <rFont val="Segoe UI"/>
        <b/>
        <color rgb="FF212529"/>
        <sz val="12.0"/>
      </rPr>
      <t>а) Пирамида</t>
    </r>
    <r>
      <rPr>
        <rFont val="Segoe UI"/>
        <color rgb="FF212529"/>
        <sz val="12.0"/>
      </rPr>
      <t> б) Деревня в) Крепость г) Шахта</t>
    </r>
  </si>
  <si>
    <r>
      <rPr>
        <rFont val="Quattrocento Sans"/>
        <color rgb="FF212529"/>
        <sz val="12.0"/>
      </rPr>
      <t>22. Какую структуру можно найти в океане? </t>
    </r>
    <r>
      <rPr>
        <rFont val="Segoe UI"/>
        <b/>
        <color rgb="FF212529"/>
        <sz val="12.0"/>
      </rPr>
      <t>а) Морской монумент</t>
    </r>
    <r>
      <rPr>
        <rFont val="Segoe UI"/>
        <color rgb="FF212529"/>
        <sz val="12.0"/>
      </rPr>
      <t> б) Храм джунглей в) Иглу г) Заброшенная шахта</t>
    </r>
  </si>
  <si>
    <r>
      <rPr>
        <rFont val="Quattrocento Sans"/>
        <color rgb="FF212529"/>
        <sz val="12.0"/>
      </rPr>
      <t>23. В какой структуре можно найти сокровище? </t>
    </r>
    <r>
      <rPr>
        <rFont val="Segoe UI"/>
        <b/>
        <color rgb="FF212529"/>
        <sz val="12.0"/>
      </rPr>
      <t>а) Сундук с сокровищами</t>
    </r>
    <r>
      <rPr>
        <rFont val="Segoe UI"/>
        <color rgb="FF212529"/>
        <sz val="12.0"/>
      </rPr>
      <t> б) Дом деревенского жителя в) Верстак г) Печь</t>
    </r>
  </si>
  <si>
    <r>
      <rPr>
        <rFont val="Quattrocento Sans"/>
        <color rgb="FF212529"/>
        <sz val="12.0"/>
      </rPr>
      <t>24. Какую структуру можно найти в Нижнем мире? </t>
    </r>
    <r>
      <rPr>
        <rFont val="Segoe UI"/>
        <b/>
        <color rgb="FF212529"/>
        <sz val="12.0"/>
      </rPr>
      <t>а) Крепость Нижнего мира</t>
    </r>
    <r>
      <rPr>
        <rFont val="Segoe UI"/>
        <color rgb="FF212529"/>
        <sz val="12.0"/>
      </rPr>
      <t> б) Деревня в) Иглу г) Шахта</t>
    </r>
  </si>
  <si>
    <r>
      <rPr>
        <rFont val="Quattrocento Sans"/>
        <color rgb="FF212529"/>
        <sz val="12.0"/>
      </rPr>
      <t>26. Какой ингредиент нужен для создания зелья силы? </t>
    </r>
    <r>
      <rPr>
        <rFont val="Segoe UI"/>
        <b/>
        <color rgb="FF212529"/>
        <sz val="12.0"/>
      </rPr>
      <t>а) Адский нарост</t>
    </r>
    <r>
      <rPr>
        <rFont val="Segoe UI"/>
        <color rgb="FF212529"/>
        <sz val="12.0"/>
      </rPr>
      <t> б) Слеза гаста в) Красная пыль г) Золотая морковь</t>
    </r>
  </si>
  <si>
    <r>
      <rPr>
        <rFont val="Quattrocento Sans"/>
        <color rgb="FF212529"/>
        <sz val="12.0"/>
      </rPr>
      <t>28. Какое зачарование позволяет ходить по воде? </t>
    </r>
    <r>
      <rPr>
        <rFont val="Segoe UI"/>
        <b/>
        <color rgb="FF212529"/>
        <sz val="12.0"/>
      </rPr>
      <t>а) Ледоход</t>
    </r>
    <r>
      <rPr>
        <rFont val="Segoe UI"/>
        <color rgb="FF212529"/>
        <sz val="12.0"/>
      </rPr>
      <t> б) Починка в) Небесная кара г) Отдача</t>
    </r>
  </si>
  <si>
    <r>
      <rPr>
        <rFont val="Quattrocento Sans"/>
        <color rgb="FF212529"/>
        <sz val="12.0"/>
      </rPr>
      <t>29. Какое зачарование позволяет дышать под водой? </t>
    </r>
    <r>
      <rPr>
        <rFont val="Segoe UI"/>
        <b/>
        <color rgb="FF212529"/>
        <sz val="12.0"/>
      </rPr>
      <t>а) Подводное дыхание</t>
    </r>
    <r>
      <rPr>
        <rFont val="Segoe UI"/>
        <color rgb="FF212529"/>
        <sz val="12.0"/>
      </rPr>
      <t> б) Невесомость в) Регенерация г) Отдача</t>
    </r>
  </si>
  <si>
    <r>
      <rPr>
        <rFont val="Quattrocento Sans"/>
        <color rgb="FF212529"/>
        <sz val="12.0"/>
      </rPr>
      <t>30. Какой ингредиент используется для приготовления зелья невидимости? </t>
    </r>
    <r>
      <rPr>
        <rFont val="Segoe UI"/>
        <b/>
        <color rgb="FF212529"/>
        <sz val="12.0"/>
      </rPr>
      <t>а) Золотая морковь</t>
    </r>
    <r>
      <rPr>
        <rFont val="Segoe UI"/>
        <color rgb="FF212529"/>
        <sz val="12.0"/>
      </rPr>
      <t> б) Слеза гаста в) Адский нарост г) Красная пыль</t>
    </r>
  </si>
  <si>
    <r>
      <rPr>
        <rFont val="Quattrocento Sans"/>
        <color rgb="FF212529"/>
        <sz val="12.0"/>
      </rPr>
      <t>31. Какой блок передает редстоун сигнал? </t>
    </r>
    <r>
      <rPr>
        <rFont val="Segoe UI"/>
        <b/>
        <color rgb="FF212529"/>
        <sz val="12.0"/>
      </rPr>
      <t>а) Рычаг</t>
    </r>
    <r>
      <rPr>
        <rFont val="Segoe UI"/>
        <color rgb="FF212529"/>
        <sz val="12.0"/>
      </rPr>
      <t> б) Сундук в) Верстак г) Печь</t>
    </r>
  </si>
  <si>
    <r>
      <rPr>
        <rFont val="Quattrocento Sans"/>
        <color rgb="FF212529"/>
        <sz val="12.0"/>
      </rPr>
      <t>32. Какой блок используется для создания сложных механизмов? </t>
    </r>
    <r>
      <rPr>
        <rFont val="Segoe UI"/>
        <b/>
        <color rgb="FF212529"/>
        <sz val="12.0"/>
      </rPr>
      <t>а) Поршень</t>
    </r>
    <r>
      <rPr>
        <rFont val="Segoe UI"/>
        <color rgb="FF212529"/>
        <sz val="12.0"/>
      </rPr>
      <t> б) Дерево в) Камень г) Стекло</t>
    </r>
  </si>
  <si>
    <r>
      <rPr>
        <rFont val="Quattrocento Sans"/>
        <color rgb="FF212529"/>
        <sz val="12.0"/>
      </rPr>
      <t>35. Какой блок может передавать редстоун сигнал без проводов? </t>
    </r>
    <r>
      <rPr>
        <rFont val="Segoe UI"/>
        <b/>
        <color rgb="FF212529"/>
        <sz val="12.0"/>
      </rPr>
      <t>а) Наблюдатель</t>
    </r>
    <r>
      <rPr>
        <rFont val="Segoe UI"/>
        <color rgb="FF212529"/>
        <sz val="12.0"/>
      </rPr>
      <t> б) Компаратор в) Повторитель г) Поршень</t>
    </r>
  </si>
  <si>
    <r>
      <rPr>
        <rFont val="Quattrocento Sans"/>
        <color rgb="FF212529"/>
        <sz val="12.0"/>
      </rPr>
      <t>36. Какой предмет нужно использовать для создания брони? </t>
    </r>
    <r>
      <rPr>
        <rFont val="Segoe UI"/>
        <b/>
        <color rgb="FF212529"/>
        <sz val="12.0"/>
      </rPr>
      <t>а) Кожа</t>
    </r>
    <r>
      <rPr>
        <rFont val="Segoe UI"/>
        <color rgb="FF212529"/>
        <sz val="12.0"/>
      </rPr>
      <t> б) Земля в) Камень г) Песок</t>
    </r>
  </si>
  <si>
    <r>
      <rPr>
        <rFont val="Quattrocento Sans"/>
        <color rgb="FF212529"/>
        <sz val="12.0"/>
      </rPr>
      <t>37. Какой предмет позволяет быстро перемещаться по рельсам? </t>
    </r>
    <r>
      <rPr>
        <rFont val="Segoe UI"/>
        <b/>
        <color rgb="FF212529"/>
        <sz val="12.0"/>
      </rPr>
      <t>а) Вагонетка</t>
    </r>
    <r>
      <rPr>
        <rFont val="Segoe UI"/>
        <color rgb="FF212529"/>
        <sz val="12.0"/>
      </rPr>
      <t> б) Лодка в) Весло г) Лопата</t>
    </r>
  </si>
  <si>
    <r>
      <rPr>
        <rFont val="Quattrocento Sans"/>
        <color rgb="FF212529"/>
        <sz val="12.0"/>
      </rPr>
      <t>38. Какой блок нужен для создания зелья? </t>
    </r>
    <r>
      <rPr>
        <rFont val="Segoe UI"/>
        <b/>
        <color rgb="FF212529"/>
        <sz val="12.0"/>
      </rPr>
      <t>а) Варочная стойка</t>
    </r>
    <r>
      <rPr>
        <rFont val="Segoe UI"/>
        <color rgb="FF212529"/>
        <sz val="12.0"/>
      </rPr>
      <t> б) Верстак в) Печь г) Сундук</t>
    </r>
  </si>
  <si>
    <r>
      <rPr>
        <rFont val="Quattrocento Sans"/>
        <color rgb="FF212529"/>
        <sz val="12.0"/>
      </rPr>
      <t>39. Какой блок нужен для хранения предметов? </t>
    </r>
    <r>
      <rPr>
        <rFont val="Segoe UI"/>
        <b/>
        <color rgb="FF212529"/>
        <sz val="12.0"/>
      </rPr>
      <t>а) Сундук</t>
    </r>
    <r>
      <rPr>
        <rFont val="Segoe UI"/>
        <color rgb="FF212529"/>
        <sz val="12.0"/>
      </rPr>
      <t> б) Верстак в) Печь г) Камень</t>
    </r>
  </si>
  <si>
    <r>
      <rPr>
        <rFont val="Quattrocento Sans"/>
        <color rgb="FF212529"/>
        <sz val="12.0"/>
      </rPr>
      <t>40. Какой предмет используется для зачарования? </t>
    </r>
    <r>
      <rPr>
        <rFont val="Segoe UI"/>
        <b/>
        <color rgb="FF212529"/>
        <sz val="12.0"/>
      </rPr>
      <t>а) Зачаровальный стол</t>
    </r>
    <r>
      <rPr>
        <rFont val="Segoe UI"/>
        <color rgb="FF212529"/>
        <sz val="12.0"/>
      </rPr>
      <t> б) Печь в) Верстак г) Сундук</t>
    </r>
  </si>
  <si>
    <r>
      <rPr>
        <rFont val="Quattrocento Sans"/>
        <color rgb="FF212529"/>
        <sz val="12.0"/>
      </rPr>
      <t>41. Какое достижение дается за вход в Нижний мир? </t>
    </r>
    <r>
      <rPr>
        <rFont val="Segoe UI"/>
        <b/>
        <color rgb="FF212529"/>
        <sz val="12.0"/>
      </rPr>
      <t>а) “Огненные недра”</t>
    </r>
    <r>
      <rPr>
        <rFont val="Segoe UI"/>
        <color rgb="FF212529"/>
        <sz val="12.0"/>
      </rPr>
      <t> б) “На дно” в) “Свободное падение” г) “Начать гонку”</t>
    </r>
  </si>
  <si>
    <r>
      <rPr>
        <rFont val="Quattrocento Sans"/>
        <color rgb="FF212529"/>
        <sz val="12.0"/>
      </rPr>
      <t>42. Какое достижение дается за попадание в Край? </t>
    </r>
    <r>
      <rPr>
        <rFont val="Segoe UI"/>
        <b/>
        <color rgb="FF212529"/>
        <sz val="12.0"/>
      </rPr>
      <t>а) “Конец?”</t>
    </r>
    <r>
      <rPr>
        <rFont val="Segoe UI"/>
        <color rgb="FF212529"/>
        <sz val="12.0"/>
      </rPr>
      <t> б) “Выйти за рамки” в) “Начать гонку” г) “Дикий”</t>
    </r>
  </si>
  <si>
    <r>
      <rPr>
        <rFont val="Quattrocento Sans"/>
        <color rgb="FF212529"/>
        <sz val="12.0"/>
      </rPr>
      <t>43. Какое достижение дается за создание алмазной брони? </t>
    </r>
    <r>
      <rPr>
        <rFont val="Segoe UI"/>
        <b/>
        <color rgb="FF212529"/>
        <sz val="12.0"/>
      </rPr>
      <t>а) “Осыпь меня алмазами”</t>
    </r>
    <r>
      <rPr>
        <rFont val="Segoe UI"/>
        <color rgb="FF212529"/>
        <sz val="12.0"/>
      </rPr>
      <t> б) “Отправиться на войну” в) “Мы богачи” г) “Железный человек”</t>
    </r>
  </si>
  <si>
    <r>
      <rPr>
        <rFont val="Quattrocento Sans"/>
        <color rgb="FF212529"/>
        <sz val="12.0"/>
      </rPr>
      <t>51. Как называется моб, который охраняет сокровищницу в лесном особняке? </t>
    </r>
    <r>
      <rPr>
        <rFont val="Segoe UI"/>
        <b/>
        <color rgb="FF212529"/>
        <sz val="12.0"/>
      </rPr>
      <t>а) Разоритель</t>
    </r>
    <r>
      <rPr>
        <rFont val="Segoe UI"/>
        <color rgb="FF212529"/>
        <sz val="12.0"/>
      </rPr>
      <t> б) Страж в) Эндермен г) Гаст</t>
    </r>
  </si>
  <si>
    <r>
      <rPr>
        <rFont val="Quattrocento Sans"/>
        <color rgb="FF212529"/>
        <sz val="12.0"/>
      </rPr>
      <t>52. Какой предмет нужен для призыва Иссушителя? </t>
    </r>
    <r>
      <rPr>
        <rFont val="Segoe UI"/>
        <b/>
        <color rgb="FF212529"/>
        <sz val="12.0"/>
      </rPr>
      <t>а) Песок душ</t>
    </r>
    <r>
      <rPr>
        <rFont val="Segoe UI"/>
        <color rgb="FF212529"/>
        <sz val="12.0"/>
      </rPr>
      <t> б) Алмазный блок в) Железный слиток г) Золотой слиток</t>
    </r>
  </si>
  <si>
    <r>
      <rPr>
        <rFont val="Quattrocento Sans"/>
        <color rgb="FF212529"/>
        <sz val="12.0"/>
      </rPr>
      <t>53. Какой моб может телепортироваться и красть блоки? </t>
    </r>
    <r>
      <rPr>
        <rFont val="Segoe UI"/>
        <b/>
        <color rgb="FF212529"/>
        <sz val="12.0"/>
      </rPr>
      <t>а) Эндермен</t>
    </r>
    <r>
      <rPr>
        <rFont val="Segoe UI"/>
        <color rgb="FF212529"/>
        <sz val="12.0"/>
      </rPr>
      <t> б) Зомби в) Крипер г) Скелет</t>
    </r>
  </si>
  <si>
    <r>
      <rPr>
        <rFont val="Quattrocento Sans"/>
        <color rgb="FF212529"/>
        <sz val="12.0"/>
      </rPr>
      <t>54. Какой моб является боссом океанического монумента? </t>
    </r>
    <r>
      <rPr>
        <rFont val="Segoe UI"/>
        <b/>
        <color rgb="FF212529"/>
        <sz val="12.0"/>
      </rPr>
      <t>а) Древний страж</t>
    </r>
    <r>
      <rPr>
        <rFont val="Segoe UI"/>
        <color rgb="FF212529"/>
        <sz val="12.0"/>
      </rPr>
      <t> б) Страж в) Утопленник г) Гаст</t>
    </r>
  </si>
  <si>
    <r>
      <rPr>
        <rFont val="Quattrocento Sans"/>
        <color rgb="FF212529"/>
        <sz val="12.0"/>
      </rPr>
      <t>55. Какой моб является враждебной версией жителя деревни? </t>
    </r>
    <r>
      <rPr>
        <rFont val="Segoe UI"/>
        <b/>
        <color rgb="FF212529"/>
        <sz val="12.0"/>
      </rPr>
      <t>а) Разбойник</t>
    </r>
    <r>
      <rPr>
        <rFont val="Segoe UI"/>
        <color rgb="FF212529"/>
        <sz val="12.0"/>
      </rPr>
      <t> б) Зомби в) Скелет г) Крипер</t>
    </r>
  </si>
  <si>
    <r>
      <rPr>
        <rFont val="Quattrocento Sans"/>
        <color rgb="FF212529"/>
        <sz val="12.0"/>
      </rPr>
      <t>56. Какой инструмент используется для копания земли и песка? </t>
    </r>
    <r>
      <rPr>
        <rFont val="Segoe UI"/>
        <b/>
        <color rgb="FF212529"/>
        <sz val="12.0"/>
      </rPr>
      <t>а) Лопата</t>
    </r>
    <r>
      <rPr>
        <rFont val="Segoe UI"/>
        <color rgb="FF212529"/>
        <sz val="12.0"/>
      </rPr>
      <t> б) Кирка в) Топор г) Мотыга</t>
    </r>
  </si>
  <si>
    <r>
      <rPr>
        <rFont val="Quattrocento Sans"/>
        <color rgb="FF212529"/>
        <sz val="12.0"/>
      </rPr>
      <t>57. Какой инструмент используется для рубки дерева? </t>
    </r>
    <r>
      <rPr>
        <rFont val="Segoe UI"/>
        <b/>
        <color rgb="FF212529"/>
        <sz val="12.0"/>
      </rPr>
      <t>а) Топор</t>
    </r>
    <r>
      <rPr>
        <rFont val="Segoe UI"/>
        <color rgb="FF212529"/>
        <sz val="12.0"/>
      </rPr>
      <t> б) Кирка в) Лопата г) Мотыга</t>
    </r>
  </si>
  <si>
    <r>
      <rPr>
        <rFont val="Quattrocento Sans"/>
        <color rgb="FF212529"/>
        <sz val="12.0"/>
      </rPr>
      <t>58. Какой предмет используется для создания стрел? </t>
    </r>
    <r>
      <rPr>
        <rFont val="Segoe UI"/>
        <b/>
        <color rgb="FF212529"/>
        <sz val="12.0"/>
      </rPr>
      <t>а) Кремний</t>
    </r>
    <r>
      <rPr>
        <rFont val="Segoe UI"/>
        <color rgb="FF212529"/>
        <sz val="12.0"/>
      </rPr>
      <t> б) Уголь в) Железо г) Золото</t>
    </r>
  </si>
  <si>
    <r>
      <rPr>
        <rFont val="Quattrocento Sans"/>
        <color rgb="FF212529"/>
        <sz val="12.0"/>
      </rPr>
      <t>60. Какой предмет используется для стрельбы стрелами? </t>
    </r>
    <r>
      <rPr>
        <rFont val="Segoe UI"/>
        <b/>
        <color rgb="FF212529"/>
        <sz val="12.0"/>
      </rPr>
      <t>а) Лук</t>
    </r>
    <r>
      <rPr>
        <rFont val="Segoe UI"/>
        <color rgb="FF212529"/>
        <sz val="12.0"/>
      </rPr>
      <t> б) Меч в) Топор г) Мотыга</t>
    </r>
  </si>
  <si>
    <r>
      <rPr>
        <rFont val="Quattrocento Sans"/>
        <color rgb="FF212529"/>
        <sz val="12.0"/>
      </rPr>
      <t>62. Какой блок можно использовать для создания света? </t>
    </r>
    <r>
      <rPr>
        <rFont val="Segoe UI"/>
        <b/>
        <color rgb="FF212529"/>
        <sz val="12.0"/>
      </rPr>
      <t>а) Факел</t>
    </r>
    <r>
      <rPr>
        <rFont val="Segoe UI"/>
        <color rgb="FF212529"/>
        <sz val="12.0"/>
      </rPr>
      <t> б) Земля в) Камень г) Песок</t>
    </r>
  </si>
  <si>
    <r>
      <rPr>
        <rFont val="Quattrocento Sans"/>
        <color rgb="FF212529"/>
        <sz val="12.0"/>
      </rPr>
      <t>63. Какой блок используется для плавки руды? </t>
    </r>
    <r>
      <rPr>
        <rFont val="Segoe UI"/>
        <b/>
        <color rgb="FF212529"/>
        <sz val="12.0"/>
      </rPr>
      <t>а) Печь</t>
    </r>
    <r>
      <rPr>
        <rFont val="Segoe UI"/>
        <color rgb="FF212529"/>
        <sz val="12.0"/>
      </rPr>
      <t> б) Верстак в) Сундук г) Камень</t>
    </r>
  </si>
  <si>
    <r>
      <rPr>
        <rFont val="Quattrocento Sans"/>
        <color rgb="FF212529"/>
        <sz val="12.0"/>
      </rPr>
      <t>65. Какой блок используется для создания водяных лифтов? </t>
    </r>
    <r>
      <rPr>
        <rFont val="Segoe UI"/>
        <b/>
        <color rgb="FF212529"/>
        <sz val="12.0"/>
      </rPr>
      <t>а) Песок душ</t>
    </r>
    <r>
      <rPr>
        <rFont val="Segoe UI"/>
        <color rgb="FF212529"/>
        <sz val="12.0"/>
      </rPr>
      <t> б) Факел в) Камень г) Земля</t>
    </r>
  </si>
  <si>
    <r>
      <rPr>
        <rFont val="Quattrocento Sans"/>
        <color rgb="FF212529"/>
        <sz val="12.0"/>
      </rPr>
      <t>71. Как называется мир, который является “адом” в Minecraft? </t>
    </r>
    <r>
      <rPr>
        <rFont val="Segoe UI"/>
        <b/>
        <color rgb="FF212529"/>
        <sz val="12.0"/>
      </rPr>
      <t>а) Нижний мир</t>
    </r>
    <r>
      <rPr>
        <rFont val="Segoe UI"/>
        <color rgb="FF212529"/>
        <sz val="12.0"/>
      </rPr>
      <t> б) Край в) Верхний мир г) Измерение грибов</t>
    </r>
  </si>
  <si>
    <r>
      <rPr>
        <rFont val="Quattrocento Sans"/>
        <color rgb="FF212529"/>
        <sz val="12.0"/>
      </rPr>
      <t>74. Что является основной валютой для торговли с жителями деревни? </t>
    </r>
    <r>
      <rPr>
        <rFont val="Segoe UI"/>
        <b/>
        <color rgb="FF212529"/>
        <sz val="12.0"/>
      </rPr>
      <t>а) Изумруды</t>
    </r>
    <r>
      <rPr>
        <rFont val="Segoe UI"/>
        <color rgb="FF212529"/>
        <sz val="12.0"/>
      </rPr>
      <t> б) Золото в) Железо г) Алмазы</t>
    </r>
  </si>
  <si>
    <r>
      <rPr>
        <rFont val="Quattrocento Sans"/>
        <color rgb="FF212529"/>
        <sz val="12.0"/>
      </rPr>
      <t>76. Какое животное можно вырастить из яйца? </t>
    </r>
    <r>
      <rPr>
        <rFont val="Segoe UI"/>
        <b/>
        <color rgb="FF212529"/>
        <sz val="12.0"/>
      </rPr>
      <t>а) Курица</t>
    </r>
    <r>
      <rPr>
        <rFont val="Segoe UI"/>
        <color rgb="FF212529"/>
        <sz val="12.0"/>
      </rPr>
      <t> б) Овца в) Свинья г) Корова</t>
    </r>
  </si>
  <si>
    <r>
      <rPr>
        <rFont val="Quattrocento Sans"/>
        <color rgb="FF212529"/>
        <sz val="12.0"/>
      </rPr>
      <t>77. Какой предмет используется для создания лодки? </t>
    </r>
    <r>
      <rPr>
        <rFont val="Segoe UI"/>
        <b/>
        <color rgb="FF212529"/>
        <sz val="12.0"/>
      </rPr>
      <t>а) Дерево</t>
    </r>
    <r>
      <rPr>
        <rFont val="Segoe UI"/>
        <color rgb="FF212529"/>
        <sz val="12.0"/>
      </rPr>
      <t> б) Железо в) Алмазы г) Обсидиан</t>
    </r>
  </si>
  <si>
    <r>
      <rPr>
        <rFont val="Quattrocento Sans"/>
        <color rgb="FF212529"/>
        <sz val="12.0"/>
      </rPr>
      <t>79. Какой блок можно использовать для создания портала в Нижний мир? </t>
    </r>
    <r>
      <rPr>
        <rFont val="Segoe UI"/>
        <b/>
        <color rgb="FF212529"/>
        <sz val="12.0"/>
      </rPr>
      <t>а) Обсидиан</t>
    </r>
    <r>
      <rPr>
        <rFont val="Segoe UI"/>
        <color rgb="FF212529"/>
        <sz val="12.0"/>
      </rPr>
      <t> б) Железо в) Золото г) Алмаз</t>
    </r>
  </si>
  <si>
    <r>
      <rPr>
        <rFont val="Quattrocento Sans"/>
        <color rgb="FF212529"/>
        <sz val="12.0"/>
      </rPr>
      <t>82. Как называется режим игры, в котором у игрока есть только одна жизнь? </t>
    </r>
    <r>
      <rPr>
        <rFont val="Segoe UI"/>
        <b/>
        <color rgb="FF212529"/>
        <sz val="12.0"/>
      </rPr>
      <t>а) Хардкор</t>
    </r>
    <r>
      <rPr>
        <rFont val="Segoe UI"/>
        <color rgb="FF212529"/>
        <sz val="12.0"/>
      </rPr>
      <t> б) Выживание в) Приключение г) Креатив</t>
    </r>
  </si>
  <si>
    <r>
      <rPr>
        <rFont val="Quattrocento Sans"/>
        <color rgb="FF212529"/>
        <sz val="12.0"/>
      </rPr>
      <t>83. Как называется режим игры, в котором нужно добывать ресурсы и выживать? </t>
    </r>
    <r>
      <rPr>
        <rFont val="Segoe UI"/>
        <b/>
        <color rgb="FF212529"/>
        <sz val="12.0"/>
      </rPr>
      <t>а) Выживание</t>
    </r>
    <r>
      <rPr>
        <rFont val="Segoe UI"/>
        <color rgb="FF212529"/>
        <sz val="12.0"/>
      </rPr>
      <t> б) Хардкор в) Креатив г) Приключение</t>
    </r>
  </si>
  <si>
    <r>
      <rPr>
        <rFont val="Quattrocento Sans"/>
        <color rgb="FF212529"/>
        <sz val="12.0"/>
      </rPr>
      <t>84. Как называется режим игры, в котором нельзя ломать блоки? </t>
    </r>
    <r>
      <rPr>
        <rFont val="Segoe UI"/>
        <b/>
        <color rgb="FF212529"/>
        <sz val="12.0"/>
      </rPr>
      <t>а) Приключение</t>
    </r>
    <r>
      <rPr>
        <rFont val="Segoe UI"/>
        <color rgb="FF212529"/>
        <sz val="12.0"/>
      </rPr>
      <t> б) Хардкор в) Выживание г) Креатив</t>
    </r>
  </si>
  <si>
    <r>
      <rPr>
        <rFont val="Quattrocento Sans"/>
        <color rgb="FF212529"/>
        <sz val="12.0"/>
      </rPr>
      <t>86. В каком обновлении были добавлены лисы? </t>
    </r>
    <r>
      <rPr>
        <rFont val="Segoe UI"/>
        <b/>
        <color rgb="FF212529"/>
        <sz val="12.0"/>
      </rPr>
      <t>а) 1.14</t>
    </r>
    <r>
      <rPr>
        <rFont val="Segoe UI"/>
        <color rgb="FF212529"/>
        <sz val="12.0"/>
      </rPr>
      <t> б) 1.16 в) 1.17 г) 1.18</t>
    </r>
  </si>
  <si>
    <r>
      <rPr>
        <rFont val="Quattrocento Sans"/>
        <color rgb="FF212529"/>
        <sz val="12.0"/>
      </rPr>
      <t>87. В каком обновлении были добавлены незеритовые предметы? </t>
    </r>
    <r>
      <rPr>
        <rFont val="Segoe UI"/>
        <b/>
        <color rgb="FF212529"/>
        <sz val="12.0"/>
      </rPr>
      <t>а) 1.16</t>
    </r>
    <r>
      <rPr>
        <rFont val="Segoe UI"/>
        <color rgb="FF212529"/>
        <sz val="12.0"/>
      </rPr>
      <t> б) 1.14 в) 1.17 г) 1.18</t>
    </r>
  </si>
  <si>
    <r>
      <rPr>
        <rFont val="Quattrocento Sans"/>
        <color rgb="FF212529"/>
        <sz val="12.0"/>
      </rPr>
      <t>88. В каком обновлении был добавлен Варден? </t>
    </r>
    <r>
      <rPr>
        <rFont val="Segoe UI"/>
        <b/>
        <color rgb="FF212529"/>
        <sz val="12.0"/>
      </rPr>
      <t>а) 1.19</t>
    </r>
    <r>
      <rPr>
        <rFont val="Segoe UI"/>
        <color rgb="FF212529"/>
        <sz val="12.0"/>
      </rPr>
      <t> б) 1.17 в) 1.16 г) 1.15</t>
    </r>
  </si>
  <si>
    <r>
      <rPr>
        <rFont val="Quattrocento Sans"/>
        <color rgb="FF212529"/>
        <sz val="12.0"/>
      </rPr>
      <t>89. В каком обновлении были добавлены аксолотли? </t>
    </r>
    <r>
      <rPr>
        <rFont val="Segoe UI"/>
        <b/>
        <color rgb="FF212529"/>
        <sz val="12.0"/>
      </rPr>
      <t>а) 1.17</t>
    </r>
    <r>
      <rPr>
        <rFont val="Segoe UI"/>
        <color rgb="FF212529"/>
        <sz val="12.0"/>
      </rPr>
      <t> б) 1.19 в) 1.16 г) 1.15</t>
    </r>
  </si>
  <si>
    <r>
      <rPr>
        <rFont val="Quattrocento Sans"/>
        <color rgb="FF212529"/>
        <sz val="12.0"/>
      </rPr>
      <t>90. В каком обновлении были добавлены пещеры и скалы? </t>
    </r>
    <r>
      <rPr>
        <rFont val="Segoe UI"/>
        <b/>
        <color rgb="FF212529"/>
        <sz val="12.0"/>
      </rPr>
      <t>а) 1.18</t>
    </r>
    <r>
      <rPr>
        <rFont val="Segoe UI"/>
        <color rgb="FF212529"/>
        <sz val="12.0"/>
      </rPr>
      <t> б) 1.17 в) 1.19 г) 1.16</t>
    </r>
  </si>
  <si>
    <r>
      <rPr>
        <rFont val="Quattrocento Sans"/>
        <color rgb="FF212529"/>
        <sz val="12.0"/>
      </rPr>
      <t>91. Какая механика используется для создания сложных механизмов? </t>
    </r>
    <r>
      <rPr>
        <rFont val="Segoe UI"/>
        <b/>
        <color rgb="FF212529"/>
        <sz val="12.0"/>
      </rPr>
      <t>а) Редстоун</t>
    </r>
    <r>
      <rPr>
        <rFont val="Segoe UI"/>
        <color rgb="FF212529"/>
        <sz val="12.0"/>
      </rPr>
      <t> б) Камень в) Дерево г) Песок</t>
    </r>
  </si>
  <si>
    <r>
      <rPr>
        <rFont val="Quattrocento Sans"/>
        <color rgb="FF212529"/>
        <sz val="12.0"/>
      </rPr>
      <t>92. Как называется эффект от использования тотема бессмертия? </t>
    </r>
    <r>
      <rPr>
        <rFont val="Segoe UI"/>
        <b/>
        <color rgb="FF212529"/>
        <sz val="12.0"/>
      </rPr>
      <t>а) Поглощение урона</t>
    </r>
    <r>
      <rPr>
        <rFont val="Segoe UI"/>
        <color rgb="FF212529"/>
        <sz val="12.0"/>
      </rPr>
      <t> б) Скорость в) Ночное зрение г) Сила</t>
    </r>
  </si>
  <si>
    <r>
      <rPr>
        <rFont val="Quattrocento Sans"/>
        <color rgb="FF212529"/>
        <sz val="12.0"/>
      </rPr>
      <t>93. Как называется еда для приручения лошадей? </t>
    </r>
    <r>
      <rPr>
        <rFont val="Segoe UI"/>
        <b/>
        <color rgb="FF212529"/>
        <sz val="12.0"/>
      </rPr>
      <t>а) Золотое яблоко</t>
    </r>
    <r>
      <rPr>
        <rFont val="Segoe UI"/>
        <color rgb="FF212529"/>
        <sz val="12.0"/>
      </rPr>
      <t> б) Пшеница в) Морковь г) Сахар</t>
    </r>
  </si>
  <si>
    <r>
      <rPr>
        <rFont val="Quattrocento Sans"/>
        <color rgb="FF212529"/>
        <sz val="12.0"/>
      </rPr>
      <t>94. Какой инструмент используется для сбора меда? </t>
    </r>
    <r>
      <rPr>
        <rFont val="Segoe UI"/>
        <b/>
        <color rgb="FF212529"/>
        <sz val="12.0"/>
      </rPr>
      <t>а) Стеклянная бутылка</t>
    </r>
    <r>
      <rPr>
        <rFont val="Segoe UI"/>
        <color rgb="FF212529"/>
        <sz val="12.0"/>
      </rPr>
      <t> б) Топор в) Кирка г) Лопата</t>
    </r>
  </si>
  <si>
    <r>
      <rPr>
        <rFont val="Quattrocento Sans"/>
        <color rgb="FF212529"/>
        <sz val="12.0"/>
      </rPr>
      <t>95. Какой блок позволяет игроку спать ночью? </t>
    </r>
    <r>
      <rPr>
        <rFont val="Segoe UI"/>
        <b/>
        <color rgb="FF212529"/>
        <sz val="12.0"/>
      </rPr>
      <t>а) Кровать</t>
    </r>
    <r>
      <rPr>
        <rFont val="Segoe UI"/>
        <color rgb="FF212529"/>
        <sz val="12.0"/>
      </rPr>
      <t> б) Верстак в) Сундук г) Печь</t>
    </r>
  </si>
  <si>
    <r>
      <rPr>
        <rFont val="Quattrocento Sans"/>
        <color rgb="FF212529"/>
        <sz val="12.0"/>
      </rPr>
      <t>96. Какой моб в Minecraft не имеет ног? </t>
    </r>
    <r>
      <rPr>
        <rFont val="Segoe UI"/>
        <b/>
        <color rgb="FF212529"/>
        <sz val="12.0"/>
      </rPr>
      <t>а) Слизень</t>
    </r>
    <r>
      <rPr>
        <rFont val="Segoe UI"/>
        <color rgb="FF212529"/>
        <sz val="12.0"/>
      </rPr>
      <t> б) Зомби в) Скелет г) Крипер</t>
    </r>
  </si>
  <si>
    <r>
      <rPr>
        <rFont val="Quattrocento Sans"/>
        <color rgb="FF212529"/>
        <sz val="12.0"/>
      </rPr>
      <t>97. Какой блок используется для создания красителей? </t>
    </r>
    <r>
      <rPr>
        <rFont val="Segoe UI"/>
        <b/>
        <color rgb="FF212529"/>
        <sz val="12.0"/>
      </rPr>
      <t>а) Цветы</t>
    </r>
    <r>
      <rPr>
        <rFont val="Segoe UI"/>
        <color rgb="FF212529"/>
        <sz val="12.0"/>
      </rPr>
      <t> б) Камни в) Дерево г) Земля</t>
    </r>
  </si>
  <si>
    <r>
      <rPr>
        <rFont val="Quattrocento Sans"/>
        <color rgb="FF212529"/>
        <sz val="12.0"/>
      </rPr>
      <t>99. Какой предмет используется для создания фейерверков? </t>
    </r>
    <r>
      <rPr>
        <rFont val="Segoe UI"/>
        <b/>
        <color rgb="FF212529"/>
        <sz val="12.0"/>
      </rPr>
      <t>а) Порох</t>
    </r>
    <r>
      <rPr>
        <rFont val="Segoe UI"/>
        <color rgb="FF212529"/>
        <sz val="12.0"/>
      </rPr>
      <t> б) Алмазы в) Железо г) Золото</t>
    </r>
  </si>
  <si>
    <r>
      <rPr>
        <rFont val="Quattrocento Sans"/>
        <color rgb="FF212529"/>
        <sz val="12.0"/>
      </rPr>
      <t>100. Как называется предмет, позволяющий убирать зачарования с предметов? </t>
    </r>
    <r>
      <rPr>
        <rFont val="Segoe UI"/>
        <b/>
        <color rgb="FF212529"/>
        <sz val="12.0"/>
      </rPr>
      <t>а) Жернов</t>
    </r>
    <r>
      <rPr>
        <rFont val="Segoe UI"/>
        <color rgb="FF212529"/>
        <sz val="12.0"/>
      </rPr>
      <t> б) Верстак в) Печь г) Сундук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</si>
</sst>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242F26"/>
      <name val="Arial"/>
    </font>
    <font>
      <b/>
      <sz val="11.0"/>
      <color theme="1"/>
      <name val="Arial"/>
    </font>
    <font>
      <sz val="10.0"/>
      <color theme="1"/>
      <name val="Arial"/>
    </font>
    <font>
      <sz val="12.0"/>
      <color rgb="FF212529"/>
      <name val="Quattrocento Sans"/>
    </font>
    <font>
      <sz val="10.0"/>
      <color rgb="FF000000"/>
      <name val="Arial"/>
    </font>
    <font>
      <b/>
      <sz val="12.0"/>
      <color rgb="FF212529"/>
      <name val="Quattrocento Sans"/>
    </font>
    <font>
      <color theme="1"/>
      <name val="Arial"/>
      <scheme val="minor"/>
    </font>
    <font>
      <sz val="12.0"/>
      <color rgb="FF212529"/>
      <name val="-apple-system"/>
    </font>
    <font>
      <sz val="12.0"/>
      <color rgb="FF212529"/>
      <name val="Arial"/>
    </font>
    <font>
      <sz val="11.0"/>
      <color rgb="FFFFFFFF"/>
      <name val="-apple-system"/>
    </font>
    <font>
      <sz val="12.0"/>
      <color rgb="FFFFFFFF"/>
      <name val="-apple-system"/>
    </font>
    <font>
      <b/>
      <sz val="11.0"/>
      <color theme="1"/>
      <name val="Arial"/>
      <scheme val="minor"/>
    </font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02123"/>
        <bgColor rgb="FF202123"/>
      </patternFill>
    </fill>
    <fill>
      <patternFill patternType="solid">
        <fgColor rgb="FF19C37D"/>
        <bgColor rgb="FF19C37D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3" fillId="0" fontId="2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 vertical="top"/>
    </xf>
    <xf borderId="4" fillId="0" fontId="3" numFmtId="0" xfId="0" applyAlignment="1" applyBorder="1" applyFont="1">
      <alignment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5" fillId="0" fontId="3" numFmtId="0" xfId="0" applyAlignment="1" applyBorder="1" applyFont="1">
      <alignment vertical="center"/>
    </xf>
    <xf borderId="4" fillId="0" fontId="5" numFmtId="0" xfId="0" applyBorder="1" applyFont="1"/>
    <xf borderId="4" fillId="0" fontId="7" numFmtId="0" xfId="0" applyBorder="1" applyFont="1"/>
    <xf borderId="0" fillId="2" fontId="8" numFmtId="0" xfId="0" applyAlignment="1" applyFill="1" applyFont="1">
      <alignment horizontal="left" readingOrder="0"/>
    </xf>
    <xf borderId="0" fillId="2" fontId="8" numFmtId="0" xfId="0" applyAlignment="1" applyFont="1">
      <alignment horizontal="left"/>
    </xf>
    <xf borderId="0" fillId="2" fontId="9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3" fontId="10" numFmtId="0" xfId="0" applyAlignment="1" applyFill="1" applyFont="1">
      <alignment horizontal="center" readingOrder="0"/>
    </xf>
    <xf borderId="0" fillId="3" fontId="10" numFmtId="0" xfId="0" applyAlignment="1" applyFont="1">
      <alignment horizontal="center" readingOrder="0" shrinkToFit="0" wrapText="1"/>
    </xf>
    <xf borderId="0" fillId="4" fontId="11" numFmtId="0" xfId="0" applyAlignment="1" applyFill="1" applyFont="1">
      <alignment horizontal="left" readingOrder="0" shrinkToFit="0" wrapText="1"/>
    </xf>
    <xf borderId="0" fillId="0" fontId="12" numFmtId="0" xfId="0" applyAlignment="1" applyFont="1">
      <alignment horizontal="center"/>
    </xf>
    <xf borderId="3" fillId="0" fontId="1" numFmtId="0" xfId="0" applyAlignment="1" applyBorder="1" applyFont="1">
      <alignment horizontal="center" shrinkToFit="0" vertical="top" wrapText="1"/>
    </xf>
    <xf borderId="0" fillId="2" fontId="8" numFmtId="0" xfId="0" applyAlignment="1" applyFont="1">
      <alignment horizontal="left" readingOrder="0" shrinkToFit="0" wrapText="1"/>
    </xf>
    <xf borderId="0" fillId="2" fontId="9" numFmtId="0" xfId="0" applyAlignment="1" applyFont="1">
      <alignment horizontal="left" readingOrder="0" shrinkToFit="0" wrapText="1"/>
    </xf>
    <xf borderId="0" fillId="0" fontId="13" numFmtId="0" xfId="0" applyAlignment="1" applyFont="1">
      <alignment readingOrder="0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майнкрафт-style">
      <tableStyleElement dxfId="1" type="headerRow"/>
      <tableStyleElement dxfId="2" type="firstRowStripe"/>
      <tableStyleElement dxfId="3" type="secondRowStripe"/>
    </tableStyle>
    <tableStyle count="2" pivot="0" name="Лист1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0" displayName="Table_1" name="Table_1" id="1">
  <tableColumns count="7">
    <tableColumn name="Вопрос" id="1"/>
    <tableColumn name="Тип вопроса" id="2"/>
    <tableColumn name="Изображение" id="3"/>
    <tableColumn name="Правильный ответ" id="4"/>
    <tableColumn name="Неправильный ответ 1" id="5"/>
    <tableColumn name="Неправильный ответ 2" id="6"/>
    <tableColumn name="Неправильный ответ 3" id="7"/>
  </tableColumns>
  <tableStyleInfo name="майнкрафт-style" showColumnStripes="0" showFirstColumn="1" showLastColumn="1" showRowStripes="1"/>
</table>
</file>

<file path=xl/tables/table2.xml><?xml version="1.0" encoding="utf-8"?>
<table xmlns="http://schemas.openxmlformats.org/spreadsheetml/2006/main" headerRowCount="0" ref="A2:G34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13"/>
    <col customWidth="1" min="2" max="4" width="19.75"/>
    <col customWidth="1" min="5" max="7" width="23.75"/>
    <col customWidth="1" min="8" max="8" width="65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A2" s="5" t="str">
        <f>IFERROR(__xludf.DUMMYFUNCTION("REGEXEXTRACT(H2, ""\d+\.\s*(.*?)\s*а\)"")"),"Какой блок является основным строительным материалом в Minecraft? ")</f>
        <v>Какой блок является основным строительным материалом в Minecraft? </v>
      </c>
      <c r="B2" s="5">
        <v>1.0</v>
      </c>
      <c r="C2" s="5"/>
      <c r="D2" s="5" t="str">
        <f>IFERROR(__xludf.DUMMYFUNCTION("REGEXREPLACE(REGEXEXTRACT(H2, ""а\)\s*(.*?)\s*б\)""), ""^\s*"", """")"),"Камень ")</f>
        <v>Камень </v>
      </c>
      <c r="E2" s="5" t="str">
        <f>IFERROR(__xludf.DUMMYFUNCTION("REGEXREPLACE(REGEXEXTRACT(H2, ""б\)\s*(.*?)\s*в\)""), ""^\s*"", """")"),"Песок")</f>
        <v>Песок</v>
      </c>
      <c r="F2" s="5" t="str">
        <f>IFERROR(__xludf.DUMMYFUNCTION("REGEXREPLACE(REGEXEXTRACT(H2, ""в\)\s*(.*?)\s*г\)""), ""^\s*"", """")"),"Земля")</f>
        <v>Земля</v>
      </c>
      <c r="G2" s="5" t="str">
        <f>IFERROR(__xludf.DUMMYFUNCTION("REGEXREPLACE(REGEXEXTRACT(H2, ""г\)\s*(.*)""), ""^\s*"", """")"),"Гравий")</f>
        <v>Гравий</v>
      </c>
      <c r="H2" s="6" t="s">
        <v>8</v>
      </c>
    </row>
    <row r="3" ht="15.75" customHeight="1">
      <c r="A3" s="5" t="str">
        <f>IFERROR(__xludf.DUMMYFUNCTION("REGEXEXTRACT(H3, ""\d+\.\s*(.*?)\s*а\)"")"),"Как называется измерение, где обитает Эндер-дракон? ")</f>
        <v>Как называется измерение, где обитает Эндер-дракон? </v>
      </c>
      <c r="B3" s="5">
        <v>1.0</v>
      </c>
      <c r="C3" s="5"/>
      <c r="D3" s="5" t="str">
        <f>IFERROR(__xludf.DUMMYFUNCTION("REGEXREPLACE(REGEXEXTRACT(H3, ""а\)\s*(.*?)\s*б\)""), ""^\s*"", """")"),"Край ")</f>
        <v>Край </v>
      </c>
      <c r="E3" s="5" t="str">
        <f>IFERROR(__xludf.DUMMYFUNCTION("REGEXREPLACE(REGEXEXTRACT(H3, ""б\)\s*(.*?)\s*в\)""), ""^\s*"", """")"),"Ад")</f>
        <v>Ад</v>
      </c>
      <c r="F3" s="5" t="str">
        <f>IFERROR(__xludf.DUMMYFUNCTION("REGEXREPLACE(REGEXEXTRACT(H3, ""в\)\s*(.*?)\s*г\)""), ""^\s*"", """")"),"Верхний мир")</f>
        <v>Верхний мир</v>
      </c>
      <c r="G3" s="5" t="str">
        <f>IFERROR(__xludf.DUMMYFUNCTION("REGEXREPLACE(REGEXEXTRACT(H3, ""г\)\s*(.*)""), ""^\s*"", """")"),"Измерение грибов")</f>
        <v>Измерение грибов</v>
      </c>
      <c r="H3" s="7" t="s">
        <v>9</v>
      </c>
    </row>
    <row r="4" ht="15.75" hidden="1" customHeight="1">
      <c r="A4" s="5"/>
      <c r="B4" s="5">
        <v>1.0</v>
      </c>
      <c r="C4" s="5"/>
      <c r="D4" s="5"/>
      <c r="E4" s="5"/>
      <c r="F4" s="5"/>
      <c r="G4" s="5"/>
      <c r="H4" s="6"/>
    </row>
    <row r="5" ht="15.75" hidden="1" customHeight="1">
      <c r="A5" s="5"/>
      <c r="B5" s="5">
        <v>1.0</v>
      </c>
      <c r="C5" s="5"/>
      <c r="D5" s="5"/>
      <c r="E5" s="5"/>
      <c r="F5" s="5"/>
      <c r="G5" s="5"/>
      <c r="H5" s="7"/>
    </row>
    <row r="6" ht="15.75" hidden="1" customHeight="1">
      <c r="A6" s="5"/>
      <c r="B6" s="5">
        <v>1.0</v>
      </c>
      <c r="C6" s="5"/>
      <c r="D6" s="5"/>
      <c r="E6" s="5"/>
      <c r="F6" s="5"/>
      <c r="G6" s="5"/>
      <c r="H6" s="6"/>
    </row>
    <row r="7" ht="15.75" hidden="1" customHeight="1">
      <c r="A7" s="5"/>
      <c r="B7" s="5">
        <v>1.0</v>
      </c>
      <c r="C7" s="5"/>
      <c r="D7" s="5"/>
      <c r="E7" s="5"/>
      <c r="F7" s="5"/>
      <c r="G7" s="5"/>
      <c r="H7" s="7"/>
    </row>
    <row r="8" ht="15.75" hidden="1" customHeight="1">
      <c r="A8" s="5"/>
      <c r="B8" s="5">
        <v>1.0</v>
      </c>
      <c r="C8" s="5"/>
      <c r="D8" s="5"/>
      <c r="E8" s="5"/>
      <c r="F8" s="5"/>
      <c r="G8" s="5"/>
      <c r="H8" s="6"/>
    </row>
    <row r="9" ht="15.75" hidden="1" customHeight="1">
      <c r="A9" s="5"/>
      <c r="B9" s="5">
        <v>1.0</v>
      </c>
      <c r="C9" s="5"/>
      <c r="D9" s="5"/>
      <c r="E9" s="5"/>
      <c r="F9" s="5"/>
      <c r="G9" s="5"/>
      <c r="H9" s="7"/>
    </row>
    <row r="10" ht="15.75" customHeight="1">
      <c r="A10" s="5" t="str">
        <f>IFERROR(__xludf.DUMMYFUNCTION("REGEXEXTRACT(H10, ""\d+\.\s*(.*?)\s*а\)"")"),"Какой моб взрывается при приближении к игроку? ")</f>
        <v>Какой моб взрывается при приближении к игроку? </v>
      </c>
      <c r="B10" s="5">
        <v>1.0</v>
      </c>
      <c r="C10" s="5"/>
      <c r="D10" s="5" t="str">
        <f>IFERROR(__xludf.DUMMYFUNCTION("REGEXREPLACE(REGEXEXTRACT(H10, ""а\)\s*(.*?)\s*б\)""), ""^\s*"", """")"),"Крипер ")</f>
        <v>Крипер </v>
      </c>
      <c r="E10" s="5" t="str">
        <f>IFERROR(__xludf.DUMMYFUNCTION("REGEXREPLACE(REGEXEXTRACT(H10, ""б\)\s*(.*?)\s*в\)""), ""^\s*"", """")"),"Скелет")</f>
        <v>Скелет</v>
      </c>
      <c r="F10" s="5" t="str">
        <f>IFERROR(__xludf.DUMMYFUNCTION("REGEXREPLACE(REGEXEXTRACT(H10, ""в\)\s*(.*?)\s*г\)""), ""^\s*"", """")"),"Зомби")</f>
        <v>Зомби</v>
      </c>
      <c r="G10" s="5" t="str">
        <f>IFERROR(__xludf.DUMMYFUNCTION("REGEXREPLACE(REGEXEXTRACT(H10, ""г\)\s*(.*)""), ""^\s*"", """")"),"Паук")</f>
        <v>Паук</v>
      </c>
      <c r="H10" s="6" t="s">
        <v>10</v>
      </c>
    </row>
    <row r="11" ht="15.75" hidden="1" customHeight="1">
      <c r="A11" s="5"/>
      <c r="B11" s="5">
        <v>1.0</v>
      </c>
      <c r="C11" s="5"/>
      <c r="D11" s="5"/>
      <c r="E11" s="5"/>
      <c r="F11" s="5"/>
      <c r="G11" s="5"/>
      <c r="H11" s="7"/>
    </row>
    <row r="12" ht="15.75" hidden="1" customHeight="1">
      <c r="A12" s="5"/>
      <c r="B12" s="5">
        <v>1.0</v>
      </c>
      <c r="C12" s="5"/>
      <c r="D12" s="5"/>
      <c r="E12" s="5"/>
      <c r="F12" s="5"/>
      <c r="G12" s="5"/>
      <c r="H12" s="6"/>
    </row>
    <row r="13" ht="15.75" hidden="1" customHeight="1">
      <c r="A13" s="5"/>
      <c r="B13" s="5">
        <v>1.0</v>
      </c>
      <c r="C13" s="5"/>
      <c r="D13" s="5"/>
      <c r="E13" s="5"/>
      <c r="F13" s="5"/>
      <c r="G13" s="5"/>
    </row>
    <row r="14" ht="15.75" hidden="1" customHeight="1">
      <c r="A14" s="5"/>
      <c r="B14" s="5">
        <v>1.0</v>
      </c>
      <c r="C14" s="5"/>
      <c r="D14" s="5"/>
      <c r="E14" s="5"/>
      <c r="F14" s="5"/>
      <c r="G14" s="5"/>
      <c r="H14" s="8"/>
    </row>
    <row r="15" ht="15.75" hidden="1" customHeight="1">
      <c r="A15" s="9"/>
      <c r="B15" s="5">
        <v>1.0</v>
      </c>
      <c r="C15" s="9"/>
      <c r="D15" s="9"/>
      <c r="E15" s="9"/>
      <c r="F15" s="9"/>
      <c r="G15" s="9"/>
      <c r="H15" s="7"/>
    </row>
    <row r="16" ht="15.75" customHeight="1">
      <c r="A16" s="5" t="str">
        <f>IFERROR(__xludf.DUMMYFUNCTION("REGEXEXTRACT(H16, ""\d+\.\s*(.*?)\s*а\)"")"),"Какой моб сбрасывает стрелы? ")</f>
        <v>Какой моб сбрасывает стрелы? </v>
      </c>
      <c r="B16" s="5">
        <v>1.0</v>
      </c>
      <c r="C16" s="10"/>
      <c r="D16" s="5" t="str">
        <f>IFERROR(__xludf.DUMMYFUNCTION("REGEXREPLACE(REGEXEXTRACT(H16, ""а\)\s*(.*?)\s*б\)""), ""^\s*"", """")"),"Скелет ")</f>
        <v>Скелет </v>
      </c>
      <c r="E16" s="5" t="str">
        <f>IFERROR(__xludf.DUMMYFUNCTION("REGEXREPLACE(REGEXEXTRACT(H16, ""б\)\s*(.*?)\s*в\)""), ""^\s*"", """")"),"Зомби")</f>
        <v>Зомби</v>
      </c>
      <c r="F16" s="5" t="str">
        <f>IFERROR(__xludf.DUMMYFUNCTION("REGEXREPLACE(REGEXEXTRACT(H16, ""в\)\s*(.*?)\s*г\)""), ""^\s*"", """")"),"Крипер")</f>
        <v>Крипер</v>
      </c>
      <c r="G16" s="5" t="str">
        <f>IFERROR(__xludf.DUMMYFUNCTION("REGEXREPLACE(REGEXEXTRACT(H16, ""г\)\s*(.*)""), ""^\s*"", """")"),"Паук")</f>
        <v>Паук</v>
      </c>
      <c r="H16" s="6" t="s">
        <v>11</v>
      </c>
    </row>
    <row r="17" ht="15.75" hidden="1" customHeight="1">
      <c r="A17" s="10"/>
      <c r="B17" s="5">
        <v>1.0</v>
      </c>
      <c r="C17" s="10"/>
      <c r="D17" s="10"/>
      <c r="E17" s="10"/>
      <c r="F17" s="10"/>
      <c r="G17" s="10"/>
      <c r="H17" s="7"/>
    </row>
    <row r="18" ht="15.75" customHeight="1">
      <c r="A18" s="5" t="str">
        <f>IFERROR(__xludf.DUMMYFUNCTION("REGEXEXTRACT(H18, ""\d+\.\s*(.*?)\s*а\)"")"),"Какой моб плавает в воде и может атаковать игрока? ")</f>
        <v>Какой моб плавает в воде и может атаковать игрока? </v>
      </c>
      <c r="B18" s="5">
        <v>1.0</v>
      </c>
      <c r="C18" s="10"/>
      <c r="D18" s="5" t="str">
        <f>IFERROR(__xludf.DUMMYFUNCTION("REGEXREPLACE(REGEXEXTRACT(H18, ""а\)\s*(.*?)\s*б\)""), ""^\s*"", """")"),"Утопленник ")</f>
        <v>Утопленник </v>
      </c>
      <c r="E18" s="5" t="str">
        <f>IFERROR(__xludf.DUMMYFUNCTION("REGEXREPLACE(REGEXEXTRACT(H18, ""б\)\s*(.*?)\s*в\)""), ""^\s*"", """")"),"Овца")</f>
        <v>Овца</v>
      </c>
      <c r="F18" s="5" t="str">
        <f>IFERROR(__xludf.DUMMYFUNCTION("REGEXREPLACE(REGEXEXTRACT(H18, ""в\)\s*(.*?)\s*г\)""), ""^\s*"", """")"),"Свинья")</f>
        <v>Свинья</v>
      </c>
      <c r="G18" s="5" t="str">
        <f>IFERROR(__xludf.DUMMYFUNCTION("REGEXREPLACE(REGEXEXTRACT(H18, ""г\)\s*(.*)""), ""^\s*"", """")"),"Корова")</f>
        <v>Корова</v>
      </c>
      <c r="H18" s="6" t="s">
        <v>12</v>
      </c>
    </row>
    <row r="19" ht="15.75" hidden="1" customHeight="1">
      <c r="A19" s="10"/>
      <c r="B19" s="5">
        <v>1.0</v>
      </c>
      <c r="C19" s="10"/>
      <c r="D19" s="10"/>
      <c r="E19" s="10"/>
      <c r="F19" s="10"/>
      <c r="G19" s="10"/>
      <c r="H19" s="7"/>
    </row>
    <row r="20" ht="15.75" customHeight="1">
      <c r="A20" s="5" t="str">
        <f>IFERROR(__xludf.DUMMYFUNCTION("REGEXEXTRACT(H20, ""\d+\.\s*(.*?)\s*а\)"")"),"Какого моба можно приручить с помощью костей? ")</f>
        <v>Какого моба можно приручить с помощью костей? </v>
      </c>
      <c r="B20" s="5">
        <v>1.0</v>
      </c>
      <c r="C20" s="10"/>
      <c r="D20" s="5" t="str">
        <f>IFERROR(__xludf.DUMMYFUNCTION("REGEXREPLACE(REGEXEXTRACT(H20, ""а\)\s*(.*?)\s*б\)""), ""^\s*"", """")"),"Волк ")</f>
        <v>Волк </v>
      </c>
      <c r="E20" s="5" t="str">
        <f>IFERROR(__xludf.DUMMYFUNCTION("REGEXREPLACE(REGEXEXTRACT(H20, ""б\)\s*(.*?)\s*в\)""), ""^\s*"", """")"),"Кошка")</f>
        <v>Кошка</v>
      </c>
      <c r="F20" s="5" t="str">
        <f>IFERROR(__xludf.DUMMYFUNCTION("REGEXREPLACE(REGEXEXTRACT(H20, ""в\)\s*(.*?)\s*г\)""), ""^\s*"", """")"),"Лошадь")</f>
        <v>Лошадь</v>
      </c>
      <c r="G20" s="5" t="str">
        <f>IFERROR(__xludf.DUMMYFUNCTION("REGEXREPLACE(REGEXEXTRACT(H20, ""г\)\s*(.*)""), ""^\s*"", """")"),"Попугай")</f>
        <v>Попугай</v>
      </c>
      <c r="H20" s="6" t="s">
        <v>13</v>
      </c>
    </row>
    <row r="21" ht="15.75" hidden="1" customHeight="1">
      <c r="A21" s="10"/>
      <c r="B21" s="5">
        <v>1.0</v>
      </c>
      <c r="C21" s="10"/>
      <c r="D21" s="10"/>
      <c r="E21" s="10"/>
      <c r="F21" s="10"/>
      <c r="G21" s="10"/>
      <c r="H21" s="7"/>
    </row>
    <row r="22" ht="15.75" customHeight="1">
      <c r="A22" s="5" t="str">
        <f>IFERROR(__xludf.DUMMYFUNCTION("REGEXEXTRACT(H22, ""\d+\.\s*(.*?)\s*а\)"")"),"Какой моб можно найти в аду и он стреляет огненными шарами? ")</f>
        <v>Какой моб можно найти в аду и он стреляет огненными шарами? </v>
      </c>
      <c r="B22" s="5">
        <v>1.0</v>
      </c>
      <c r="C22" s="10"/>
      <c r="D22" s="5" t="str">
        <f>IFERROR(__xludf.DUMMYFUNCTION("REGEXREPLACE(REGEXEXTRACT(H22, ""а\)\s*(.*?)\s*б\)""), ""^\s*"", """")"),"Гаст ")</f>
        <v>Гаст </v>
      </c>
      <c r="E22" s="5" t="str">
        <f>IFERROR(__xludf.DUMMYFUNCTION("REGEXREPLACE(REGEXEXTRACT(H22, ""б\)\s*(.*?)\s*в\)""), ""^\s*"", """")"),"Эндермен")</f>
        <v>Эндермен</v>
      </c>
      <c r="F22" s="5" t="str">
        <f>IFERROR(__xludf.DUMMYFUNCTION("REGEXREPLACE(REGEXEXTRACT(H22, ""в\)\s*(.*?)\s*г\)""), ""^\s*"", """")"),"Зомби-свиночеловек")</f>
        <v>Зомби-свиночеловек</v>
      </c>
      <c r="G22" s="5" t="str">
        <f>IFERROR(__xludf.DUMMYFUNCTION("REGEXREPLACE(REGEXEXTRACT(H22, ""г\)\s*(.*)""), ""^\s*"", """")"),"Страж")</f>
        <v>Страж</v>
      </c>
      <c r="H22" s="6" t="s">
        <v>14</v>
      </c>
    </row>
    <row r="23" ht="15.75" hidden="1" customHeight="1">
      <c r="A23" s="10"/>
      <c r="B23" s="5">
        <v>1.0</v>
      </c>
      <c r="C23" s="10"/>
      <c r="D23" s="10"/>
      <c r="E23" s="10"/>
      <c r="F23" s="10"/>
      <c r="G23" s="10"/>
      <c r="H23" s="7"/>
    </row>
    <row r="24" ht="15.75" customHeight="1">
      <c r="A24" s="5" t="str">
        <f>IFERROR(__xludf.DUMMYFUNCTION("REGEXEXTRACT(H24, ""\d+\.\s*(.*?)\s*а\)"")"),"Какой моб даёт шерсть? ")</f>
        <v>Какой моб даёт шерсть? </v>
      </c>
      <c r="B24" s="5">
        <v>1.0</v>
      </c>
      <c r="C24" s="10"/>
      <c r="D24" s="5" t="str">
        <f>IFERROR(__xludf.DUMMYFUNCTION("REGEXREPLACE(REGEXEXTRACT(H24, ""а\)\s*(.*?)\s*б\)""), ""^\s*"", """")"),"Овца ")</f>
        <v>Овца </v>
      </c>
      <c r="E24" s="5" t="str">
        <f>IFERROR(__xludf.DUMMYFUNCTION("REGEXREPLACE(REGEXEXTRACT(H24, ""б\)\s*(.*?)\s*в\)""), ""^\s*"", """")"),"Курица")</f>
        <v>Курица</v>
      </c>
      <c r="F24" s="5" t="str">
        <f>IFERROR(__xludf.DUMMYFUNCTION("REGEXREPLACE(REGEXEXTRACT(H24, ""в\)\s*(.*?)\s*г\)""), ""^\s*"", """")"),"Свинья")</f>
        <v>Свинья</v>
      </c>
      <c r="G24" s="5" t="str">
        <f>IFERROR(__xludf.DUMMYFUNCTION("REGEXREPLACE(REGEXEXTRACT(H24, ""г\)\s*(.*)""), ""^\s*"", """")"),"Корова")</f>
        <v>Корова</v>
      </c>
      <c r="H24" s="6" t="s">
        <v>15</v>
      </c>
    </row>
    <row r="25" ht="15.75" hidden="1" customHeight="1">
      <c r="A25" s="10"/>
      <c r="B25" s="5">
        <v>1.0</v>
      </c>
      <c r="C25" s="10"/>
      <c r="D25" s="10"/>
      <c r="E25" s="10"/>
      <c r="F25" s="10"/>
      <c r="G25" s="10"/>
    </row>
    <row r="26" ht="15.75" hidden="1" customHeight="1">
      <c r="A26" s="10"/>
      <c r="B26" s="5">
        <v>1.0</v>
      </c>
      <c r="C26" s="10"/>
      <c r="D26" s="10"/>
      <c r="E26" s="10"/>
      <c r="F26" s="10"/>
      <c r="G26" s="10"/>
      <c r="H26" s="8"/>
    </row>
    <row r="27" ht="15.75" hidden="1" customHeight="1">
      <c r="A27" s="10"/>
      <c r="B27" s="5">
        <v>1.0</v>
      </c>
      <c r="C27" s="10"/>
      <c r="D27" s="10"/>
      <c r="E27" s="10"/>
      <c r="F27" s="10"/>
      <c r="G27" s="10"/>
      <c r="H27" s="7"/>
    </row>
    <row r="28" ht="15.75" customHeight="1">
      <c r="A28" s="5" t="str">
        <f>IFERROR(__xludf.DUMMYFUNCTION("REGEXEXTRACT(H28, ""\d+\.\s*(.*?)\s*а\)"")"),"Какой предмет используется для создания портала в Нижний мир? ")</f>
        <v>Какой предмет используется для создания портала в Нижний мир? </v>
      </c>
      <c r="B28" s="5">
        <v>1.0</v>
      </c>
      <c r="C28" s="10"/>
      <c r="D28" s="5" t="str">
        <f>IFERROR(__xludf.DUMMYFUNCTION("REGEXREPLACE(REGEXEXTRACT(H28, ""а\)\s*(.*?)\s*б\)""), ""^\s*"", """")"),"Обсидиан ")</f>
        <v>Обсидиан </v>
      </c>
      <c r="E28" s="5" t="str">
        <f>IFERROR(__xludf.DUMMYFUNCTION("REGEXREPLACE(REGEXEXTRACT(H28, ""б\)\s*(.*?)\s*в\)""), ""^\s*"", """")"),"Алмаз")</f>
        <v>Алмаз</v>
      </c>
      <c r="F28" s="5" t="str">
        <f>IFERROR(__xludf.DUMMYFUNCTION("REGEXREPLACE(REGEXEXTRACT(H28, ""в\)\s*(.*?)\s*г\)""), ""^\s*"", """")"),"Золото")</f>
        <v>Золото</v>
      </c>
      <c r="G28" s="5" t="str">
        <f>IFERROR(__xludf.DUMMYFUNCTION("REGEXREPLACE(REGEXEXTRACT(H28, ""г\)\s*(.*)""), ""^\s*"", """")"),"Железо")</f>
        <v>Железо</v>
      </c>
      <c r="H28" s="6" t="s">
        <v>16</v>
      </c>
    </row>
    <row r="29" ht="15.75" hidden="1" customHeight="1">
      <c r="A29" s="10"/>
      <c r="B29" s="5">
        <v>1.0</v>
      </c>
      <c r="C29" s="10"/>
      <c r="D29" s="10"/>
      <c r="E29" s="10"/>
      <c r="F29" s="10"/>
      <c r="G29" s="10"/>
      <c r="H29" s="7"/>
    </row>
    <row r="30" ht="15.75" customHeight="1">
      <c r="A30" s="5" t="str">
        <f>IFERROR(__xludf.DUMMYFUNCTION("REGEXEXTRACT(H30, ""\d+\.\s*(.*?)\s*а\)"")"),"Какой предмет нужен для создания хлеба? ")</f>
        <v>Какой предмет нужен для создания хлеба? </v>
      </c>
      <c r="B30" s="5">
        <v>1.0</v>
      </c>
      <c r="C30" s="10"/>
      <c r="D30" s="5" t="str">
        <f>IFERROR(__xludf.DUMMYFUNCTION("REGEXREPLACE(REGEXEXTRACT(H30, ""а\)\s*(.*?)\s*б\)""), ""^\s*"", """")"),"Пшеница ")</f>
        <v>Пшеница </v>
      </c>
      <c r="E30" s="5" t="str">
        <f>IFERROR(__xludf.DUMMYFUNCTION("REGEXREPLACE(REGEXEXTRACT(H30, ""б\)\s*(.*?)\s*в\)""), ""^\s*"", """")"),"Камень")</f>
        <v>Камень</v>
      </c>
      <c r="F30" s="5" t="str">
        <f>IFERROR(__xludf.DUMMYFUNCTION("REGEXREPLACE(REGEXEXTRACT(H30, ""в\)\s*(.*?)\s*г\)""), ""^\s*"", """")"),"Дерево")</f>
        <v>Дерево</v>
      </c>
      <c r="G30" s="5" t="str">
        <f>IFERROR(__xludf.DUMMYFUNCTION("REGEXREPLACE(REGEXEXTRACT(H30, ""г\)\s*(.*)""), ""^\s*"", """")"),"Уголь")</f>
        <v>Уголь</v>
      </c>
      <c r="H30" s="6" t="s">
        <v>17</v>
      </c>
    </row>
    <row r="31" ht="15.75" hidden="1" customHeight="1">
      <c r="A31" s="10"/>
      <c r="B31" s="5">
        <v>1.0</v>
      </c>
      <c r="C31" s="10"/>
      <c r="D31" s="10"/>
      <c r="E31" s="10"/>
      <c r="F31" s="10"/>
      <c r="G31" s="10"/>
      <c r="H31" s="7"/>
    </row>
    <row r="32" ht="15.75" hidden="1" customHeight="1">
      <c r="A32" s="10"/>
      <c r="B32" s="5">
        <v>1.0</v>
      </c>
      <c r="C32" s="10"/>
      <c r="D32" s="10"/>
      <c r="E32" s="10"/>
      <c r="F32" s="10"/>
      <c r="G32" s="10"/>
      <c r="H32" s="6"/>
    </row>
    <row r="33" ht="15.75" hidden="1" customHeight="1">
      <c r="A33" s="10"/>
      <c r="B33" s="5">
        <v>1.0</v>
      </c>
      <c r="C33" s="10"/>
      <c r="D33" s="10"/>
      <c r="E33" s="10"/>
      <c r="F33" s="10"/>
      <c r="G33" s="10"/>
      <c r="H33" s="7"/>
    </row>
    <row r="34" ht="15.75" hidden="1" customHeight="1">
      <c r="A34" s="10"/>
      <c r="B34" s="5">
        <v>1.0</v>
      </c>
      <c r="C34" s="10"/>
      <c r="D34" s="10"/>
      <c r="E34" s="10"/>
      <c r="F34" s="10"/>
      <c r="G34" s="10"/>
      <c r="H34" s="6"/>
    </row>
    <row r="35" ht="15.75" hidden="1" customHeight="1">
      <c r="A35" s="10"/>
      <c r="B35" s="5">
        <v>1.0</v>
      </c>
      <c r="C35" s="10"/>
      <c r="D35" s="10"/>
      <c r="E35" s="10"/>
      <c r="F35" s="10"/>
      <c r="G35" s="10"/>
      <c r="H35" s="7"/>
    </row>
    <row r="36" ht="15.75" customHeight="1">
      <c r="A36" s="5" t="str">
        <f>IFERROR(__xludf.DUMMYFUNCTION("REGEXEXTRACT(H36, ""\d+\.\s*(.*?)\s*а\)"")"),"Какой предмет используется для создания факелов? ")</f>
        <v>Какой предмет используется для создания факелов? </v>
      </c>
      <c r="B36" s="5">
        <v>1.0</v>
      </c>
      <c r="C36" s="10"/>
      <c r="D36" s="5" t="str">
        <f>IFERROR(__xludf.DUMMYFUNCTION("REGEXREPLACE(REGEXEXTRACT(H36, ""а\)\s*(.*?)\s*б\)""), ""^\s*"", """")"),"Уголь ")</f>
        <v>Уголь </v>
      </c>
      <c r="E36" s="5" t="str">
        <f>IFERROR(__xludf.DUMMYFUNCTION("REGEXREPLACE(REGEXEXTRACT(H36, ""б\)\s*(.*?)\s*в\)""), ""^\s*"", """")"),"Алмаз")</f>
        <v>Алмаз</v>
      </c>
      <c r="F36" s="5" t="str">
        <f>IFERROR(__xludf.DUMMYFUNCTION("REGEXREPLACE(REGEXEXTRACT(H36, ""в\)\s*(.*?)\s*г\)""), ""^\s*"", """")"),"Золото")</f>
        <v>Золото</v>
      </c>
      <c r="G36" s="5" t="str">
        <f>IFERROR(__xludf.DUMMYFUNCTION("REGEXREPLACE(REGEXEXTRACT(H36, ""г\)\s*(.*)""), ""^\s*"", """")"),"Железо")</f>
        <v>Железо</v>
      </c>
      <c r="H36" s="6" t="s">
        <v>18</v>
      </c>
    </row>
    <row r="37" ht="15.75" hidden="1" customHeight="1">
      <c r="A37" s="10"/>
      <c r="B37" s="5">
        <v>1.0</v>
      </c>
      <c r="C37" s="10"/>
      <c r="D37" s="10"/>
      <c r="E37" s="10"/>
      <c r="F37" s="10"/>
      <c r="G37" s="10"/>
    </row>
    <row r="38" ht="15.75" hidden="1" customHeight="1">
      <c r="A38" s="10"/>
      <c r="B38" s="5">
        <v>1.0</v>
      </c>
      <c r="C38" s="10"/>
      <c r="D38" s="10"/>
      <c r="E38" s="10"/>
      <c r="F38" s="10"/>
      <c r="G38" s="10"/>
      <c r="H38" s="8"/>
    </row>
    <row r="39" ht="15.75" hidden="1" customHeight="1">
      <c r="A39" s="10"/>
      <c r="B39" s="5">
        <v>1.0</v>
      </c>
      <c r="C39" s="10"/>
      <c r="D39" s="10"/>
      <c r="E39" s="10"/>
      <c r="F39" s="10"/>
      <c r="G39" s="10"/>
      <c r="H39" s="7"/>
    </row>
    <row r="40" ht="15.75" customHeight="1">
      <c r="A40" s="5" t="str">
        <f>IFERROR(__xludf.DUMMYFUNCTION("REGEXEXTRACT(H40, ""\d+\.\s*(.*?)\s*а\)"")"),"В каком биоме растут кактусы? ")</f>
        <v>В каком биоме растут кактусы? </v>
      </c>
      <c r="B40" s="5">
        <v>1.0</v>
      </c>
      <c r="C40" s="10"/>
      <c r="D40" s="5" t="str">
        <f>IFERROR(__xludf.DUMMYFUNCTION("REGEXREPLACE(REGEXEXTRACT(H40, ""а\)\s*(.*?)\s*б\)""), ""^\s*"", """")"),"Пустыня ")</f>
        <v>Пустыня </v>
      </c>
      <c r="E40" s="5" t="str">
        <f>IFERROR(__xludf.DUMMYFUNCTION("REGEXREPLACE(REGEXEXTRACT(H40, ""б\)\s*(.*?)\s*в\)""), ""^\s*"", """")"),"Лес")</f>
        <v>Лес</v>
      </c>
      <c r="F40" s="5" t="str">
        <f>IFERROR(__xludf.DUMMYFUNCTION("REGEXREPLACE(REGEXEXTRACT(H40, ""в\)\s*(.*?)\s*г\)""), ""^\s*"", """")"),"Тундра")</f>
        <v>Тундра</v>
      </c>
      <c r="G40" s="5" t="str">
        <f>IFERROR(__xludf.DUMMYFUNCTION("REGEXREPLACE(REGEXEXTRACT(H40, ""г\)\s*(.*)""), ""^\s*"", """")"),"Джунгли")</f>
        <v>Джунгли</v>
      </c>
      <c r="H40" s="6" t="s">
        <v>19</v>
      </c>
    </row>
    <row r="41" ht="15.75" hidden="1" customHeight="1">
      <c r="A41" s="10"/>
      <c r="B41" s="5">
        <v>1.0</v>
      </c>
      <c r="C41" s="10"/>
      <c r="D41" s="10"/>
      <c r="E41" s="10"/>
      <c r="F41" s="10"/>
      <c r="G41" s="10"/>
      <c r="H41" s="7"/>
    </row>
    <row r="42" ht="15.75" customHeight="1">
      <c r="A42" s="5" t="str">
        <f>IFERROR(__xludf.DUMMYFUNCTION("REGEXEXTRACT(H42, ""\d+\.\s*(.*?)\s*а\)"")"),"Какой биом содержит много воды и лилий? ")</f>
        <v>Какой биом содержит много воды и лилий? </v>
      </c>
      <c r="B42" s="5">
        <v>1.0</v>
      </c>
      <c r="C42" s="10"/>
      <c r="D42" s="5" t="str">
        <f>IFERROR(__xludf.DUMMYFUNCTION("REGEXREPLACE(REGEXEXTRACT(H42, ""а\)\s*(.*?)\s*б\)""), ""^\s*"", """")"),"Болото ")</f>
        <v>Болото </v>
      </c>
      <c r="E42" s="5" t="str">
        <f>IFERROR(__xludf.DUMMYFUNCTION("REGEXREPLACE(REGEXEXTRACT(H42, ""б\)\s*(.*?)\s*в\)""), ""^\s*"", """")"),"Горы")</f>
        <v>Горы</v>
      </c>
      <c r="F42" s="5" t="str">
        <f>IFERROR(__xludf.DUMMYFUNCTION("REGEXREPLACE(REGEXEXTRACT(H42, ""в\)\s*(.*?)\s*г\)""), ""^\s*"", """")"),"Равнина")</f>
        <v>Равнина</v>
      </c>
      <c r="G42" s="5" t="str">
        <f>IFERROR(__xludf.DUMMYFUNCTION("REGEXREPLACE(REGEXEXTRACT(H42, ""г\)\s*(.*)""), ""^\s*"", """")"),"Саванна")</f>
        <v>Саванна</v>
      </c>
      <c r="H42" s="6" t="s">
        <v>20</v>
      </c>
    </row>
    <row r="43" ht="15.75" hidden="1" customHeight="1">
      <c r="A43" s="10"/>
      <c r="B43" s="5">
        <v>1.0</v>
      </c>
      <c r="C43" s="10"/>
      <c r="D43" s="10"/>
      <c r="E43" s="10"/>
      <c r="F43" s="10"/>
      <c r="G43" s="10"/>
      <c r="H43" s="7"/>
    </row>
    <row r="44" ht="15.75" customHeight="1">
      <c r="A44" s="5" t="str">
        <f>IFERROR(__xludf.DUMMYFUNCTION("REGEXEXTRACT(H44, ""\d+\.\s*(.*?)\s*а\)"")"),"В каком биоме выпадает снег? ")</f>
        <v>В каком биоме выпадает снег? </v>
      </c>
      <c r="B44" s="5">
        <v>1.0</v>
      </c>
      <c r="C44" s="10"/>
      <c r="D44" s="5" t="str">
        <f>IFERROR(__xludf.DUMMYFUNCTION("REGEXREPLACE(REGEXEXTRACT(H44, ""а\)\s*(.*?)\s*б\)""), ""^\s*"", """")"),"Тундра ")</f>
        <v>Тундра </v>
      </c>
      <c r="E44" s="5" t="str">
        <f>IFERROR(__xludf.DUMMYFUNCTION("REGEXREPLACE(REGEXEXTRACT(H44, ""б\)\s*(.*?)\s*в\)""), ""^\s*"", """")"),"Пустыня")</f>
        <v>Пустыня</v>
      </c>
      <c r="F44" s="5" t="str">
        <f>IFERROR(__xludf.DUMMYFUNCTION("REGEXREPLACE(REGEXEXTRACT(H44, ""в\)\s*(.*?)\s*г\)""), ""^\s*"", """")"),"Джунгли")</f>
        <v>Джунгли</v>
      </c>
      <c r="G44" s="5" t="str">
        <f>IFERROR(__xludf.DUMMYFUNCTION("REGEXREPLACE(REGEXEXTRACT(H44, ""г\)\s*(.*)""), ""^\s*"", """")"),"Саванна")</f>
        <v>Саванна</v>
      </c>
      <c r="H44" s="6" t="s">
        <v>21</v>
      </c>
    </row>
    <row r="45" ht="15.75" hidden="1" customHeight="1">
      <c r="A45" s="10"/>
      <c r="B45" s="5">
        <v>1.0</v>
      </c>
      <c r="C45" s="10"/>
      <c r="D45" s="10"/>
      <c r="E45" s="10"/>
      <c r="F45" s="10"/>
      <c r="G45" s="10"/>
      <c r="H45" s="7"/>
    </row>
    <row r="46" ht="15.75" customHeight="1">
      <c r="A46" s="5" t="str">
        <f>IFERROR(__xludf.DUMMYFUNCTION("REGEXEXTRACT(H46, ""\d+\.\s*(.*?)\s*а\)"")"),"Какой биом известен своими высокими деревьями и лианами? ")</f>
        <v>Какой биом известен своими высокими деревьями и лианами? </v>
      </c>
      <c r="B46" s="5">
        <v>1.0</v>
      </c>
      <c r="C46" s="10"/>
      <c r="D46" s="5" t="str">
        <f>IFERROR(__xludf.DUMMYFUNCTION("REGEXREPLACE(REGEXEXTRACT(H46, ""а\)\s*(.*?)\s*б\)""), ""^\s*"", """")"),"Джунгли ")</f>
        <v>Джунгли </v>
      </c>
      <c r="E46" s="5" t="str">
        <f>IFERROR(__xludf.DUMMYFUNCTION("REGEXREPLACE(REGEXEXTRACT(H46, ""б\)\s*(.*?)\s*в\)""), ""^\s*"", """")"),"Равнина")</f>
        <v>Равнина</v>
      </c>
      <c r="F46" s="5" t="str">
        <f>IFERROR(__xludf.DUMMYFUNCTION("REGEXREPLACE(REGEXEXTRACT(H46, ""в\)\s*(.*?)\s*г\)""), ""^\s*"", """")"),"Горы")</f>
        <v>Горы</v>
      </c>
      <c r="G46" s="5" t="str">
        <f>IFERROR(__xludf.DUMMYFUNCTION("REGEXREPLACE(REGEXEXTRACT(H46, ""г\)\s*(.*)""), ""^\s*"", """")"),"Тундра")</f>
        <v>Тундра</v>
      </c>
      <c r="H46" s="6" t="s">
        <v>22</v>
      </c>
    </row>
    <row r="47" ht="15.75" hidden="1" customHeight="1">
      <c r="A47" s="10"/>
      <c r="B47" s="5">
        <v>1.0</v>
      </c>
      <c r="C47" s="10"/>
      <c r="D47" s="10"/>
      <c r="E47" s="10"/>
      <c r="F47" s="10"/>
      <c r="G47" s="10"/>
      <c r="H47" s="7"/>
    </row>
    <row r="48" ht="15.75" customHeight="1">
      <c r="A48" s="5" t="str">
        <f>IFERROR(__xludf.DUMMYFUNCTION("REGEXEXTRACT(H48, ""\d+\.\s*(.*?)\s*а\)"")"),"Какой биом содержит много грибов? ")</f>
        <v>Какой биом содержит много грибов? </v>
      </c>
      <c r="B48" s="5">
        <v>1.0</v>
      </c>
      <c r="C48" s="10"/>
      <c r="D48" s="5" t="str">
        <f>IFERROR(__xludf.DUMMYFUNCTION("REGEXREPLACE(REGEXEXTRACT(H48, ""а\)\s*(.*?)\s*б\)""), ""^\s*"", """")"),"Грибной остров ")</f>
        <v>Грибной остров </v>
      </c>
      <c r="E48" s="5" t="str">
        <f>IFERROR(__xludf.DUMMYFUNCTION("REGEXREPLACE(REGEXEXTRACT(H48, ""б\)\s*(.*?)\s*в\)""), ""^\s*"", """")"),"Лес")</f>
        <v>Лес</v>
      </c>
      <c r="F48" s="5" t="str">
        <f>IFERROR(__xludf.DUMMYFUNCTION("REGEXREPLACE(REGEXEXTRACT(H48, ""в\)\s*(.*?)\s*г\)""), ""^\s*"", """")"),"Пустыня")</f>
        <v>Пустыня</v>
      </c>
      <c r="G48" s="5" t="str">
        <f>IFERROR(__xludf.DUMMYFUNCTION("REGEXREPLACE(REGEXEXTRACT(H48, ""г\)\s*(.*)""), ""^\s*"", """")"),"Тайга")</f>
        <v>Тайга</v>
      </c>
      <c r="H48" s="6" t="s">
        <v>23</v>
      </c>
    </row>
    <row r="49" ht="15.75" hidden="1" customHeight="1">
      <c r="A49" s="10"/>
      <c r="B49" s="5">
        <v>1.0</v>
      </c>
      <c r="C49" s="10"/>
      <c r="D49" s="10"/>
      <c r="E49" s="10"/>
      <c r="F49" s="10"/>
      <c r="G49" s="10"/>
    </row>
    <row r="50" ht="15.75" hidden="1" customHeight="1">
      <c r="A50" s="10"/>
      <c r="B50" s="5">
        <v>1.0</v>
      </c>
      <c r="C50" s="10"/>
      <c r="D50" s="10"/>
      <c r="E50" s="10"/>
      <c r="F50" s="10"/>
      <c r="G50" s="10"/>
      <c r="H50" s="8"/>
    </row>
    <row r="51" ht="15.75" hidden="1" customHeight="1">
      <c r="A51" s="10"/>
      <c r="B51" s="10"/>
      <c r="C51" s="10"/>
      <c r="D51" s="10"/>
      <c r="E51" s="10"/>
      <c r="F51" s="10"/>
      <c r="G51" s="10"/>
      <c r="H51" s="7"/>
    </row>
    <row r="52" ht="15.75" customHeight="1">
      <c r="A52" s="5" t="str">
        <f>IFERROR(__xludf.DUMMYFUNCTION("REGEXEXTRACT(H52, ""\d+\.\s*(.*?)\s*а\)"")"),"Какую структуру можно найти в пустыне? ")</f>
        <v>Какую структуру можно найти в пустыне? </v>
      </c>
      <c r="B52" s="5">
        <v>1.0</v>
      </c>
      <c r="C52" s="10"/>
      <c r="D52" s="5" t="str">
        <f>IFERROR(__xludf.DUMMYFUNCTION("REGEXREPLACE(REGEXEXTRACT(H52, ""а\)\s*(.*?)\s*б\)""), ""^\s*"", """")"),"Пирамида ")</f>
        <v>Пирамида </v>
      </c>
      <c r="E52" s="5" t="str">
        <f>IFERROR(__xludf.DUMMYFUNCTION("REGEXREPLACE(REGEXEXTRACT(H52, ""б\)\s*(.*?)\s*в\)""), ""^\s*"", """")"),"Деревня")</f>
        <v>Деревня</v>
      </c>
      <c r="F52" s="5" t="str">
        <f>IFERROR(__xludf.DUMMYFUNCTION("REGEXREPLACE(REGEXEXTRACT(H52, ""в\)\s*(.*?)\s*г\)""), ""^\s*"", """")"),"Крепость")</f>
        <v>Крепость</v>
      </c>
      <c r="G52" s="5" t="str">
        <f>IFERROR(__xludf.DUMMYFUNCTION("REGEXREPLACE(REGEXEXTRACT(H52, ""г\)\s*(.*)""), ""^\s*"", """")"),"Шахта")</f>
        <v>Шахта</v>
      </c>
      <c r="H52" s="6" t="s">
        <v>24</v>
      </c>
    </row>
    <row r="53" ht="15.75" hidden="1" customHeight="1">
      <c r="A53" s="10"/>
      <c r="B53" s="10"/>
      <c r="C53" s="10"/>
      <c r="D53" s="10"/>
      <c r="E53" s="10"/>
      <c r="F53" s="10"/>
      <c r="G53" s="10"/>
      <c r="H53" s="7"/>
    </row>
    <row r="54" ht="15.75" customHeight="1">
      <c r="A54" s="5" t="str">
        <f>IFERROR(__xludf.DUMMYFUNCTION("REGEXEXTRACT(H54, ""\d+\.\s*(.*?)\s*а\)"")"),"Какую структуру можно найти в океане? ")</f>
        <v>Какую структуру можно найти в океане? </v>
      </c>
      <c r="B54" s="5">
        <v>1.0</v>
      </c>
      <c r="C54" s="10"/>
      <c r="D54" s="5" t="str">
        <f>IFERROR(__xludf.DUMMYFUNCTION("REGEXREPLACE(REGEXEXTRACT(H54, ""а\)\s*(.*?)\s*б\)""), ""^\s*"", """")"),"Морской монумент ")</f>
        <v>Морской монумент </v>
      </c>
      <c r="E54" s="5" t="str">
        <f>IFERROR(__xludf.DUMMYFUNCTION("REGEXREPLACE(REGEXEXTRACT(H54, ""б\)\s*(.*?)\s*в\)""), ""^\s*"", """")"),"Храм джунглей")</f>
        <v>Храм джунглей</v>
      </c>
      <c r="F54" s="5" t="str">
        <f>IFERROR(__xludf.DUMMYFUNCTION("REGEXREPLACE(REGEXEXTRACT(H54, ""в\)\s*(.*?)\s*г\)""), ""^\s*"", """")"),"Иглу")</f>
        <v>Иглу</v>
      </c>
      <c r="G54" s="5" t="str">
        <f>IFERROR(__xludf.DUMMYFUNCTION("REGEXREPLACE(REGEXEXTRACT(H54, ""г\)\s*(.*)""), ""^\s*"", """")"),"Заброшенная шахта")</f>
        <v>Заброшенная шахта</v>
      </c>
      <c r="H54" s="6" t="s">
        <v>25</v>
      </c>
    </row>
    <row r="55" ht="15.75" hidden="1" customHeight="1">
      <c r="A55" s="10"/>
      <c r="B55" s="10"/>
      <c r="C55" s="10"/>
      <c r="D55" s="10"/>
      <c r="E55" s="10"/>
      <c r="F55" s="10"/>
      <c r="G55" s="10"/>
      <c r="H55" s="7"/>
    </row>
    <row r="56" ht="15.75" customHeight="1">
      <c r="A56" s="5" t="str">
        <f>IFERROR(__xludf.DUMMYFUNCTION("REGEXEXTRACT(H56, ""\d+\.\s*(.*?)\s*а\)"")"),"В какой структуре можно найти сокровище? ")</f>
        <v>В какой структуре можно найти сокровище? </v>
      </c>
      <c r="B56" s="5">
        <v>1.0</v>
      </c>
      <c r="C56" s="10"/>
      <c r="D56" s="5" t="str">
        <f>IFERROR(__xludf.DUMMYFUNCTION("REGEXREPLACE(REGEXEXTRACT(H56, ""а\)\s*(.*?)\s*б\)""), ""^\s*"", """")"),"Сундук с сокровищами ")</f>
        <v>Сундук с сокровищами </v>
      </c>
      <c r="E56" s="5" t="str">
        <f>IFERROR(__xludf.DUMMYFUNCTION("REGEXREPLACE(REGEXEXTRACT(H56, ""б\)\s*(.*?)\s*в\)""), ""^\s*"", """")"),"Дом деревенского жителя")</f>
        <v>Дом деревенского жителя</v>
      </c>
      <c r="F56" s="5" t="str">
        <f>IFERROR(__xludf.DUMMYFUNCTION("REGEXREPLACE(REGEXEXTRACT(H56, ""в\)\s*(.*?)\s*г\)""), ""^\s*"", """")"),"Верстак")</f>
        <v>Верстак</v>
      </c>
      <c r="G56" s="5" t="str">
        <f>IFERROR(__xludf.DUMMYFUNCTION("REGEXREPLACE(REGEXEXTRACT(H56, ""г\)\s*(.*)""), ""^\s*"", """")"),"Печь")</f>
        <v>Печь</v>
      </c>
      <c r="H56" s="6" t="s">
        <v>26</v>
      </c>
    </row>
    <row r="57" ht="15.75" hidden="1" customHeight="1">
      <c r="A57" s="10"/>
      <c r="B57" s="10"/>
      <c r="C57" s="10"/>
      <c r="D57" s="10"/>
      <c r="E57" s="10"/>
      <c r="F57" s="10"/>
      <c r="G57" s="10"/>
      <c r="H57" s="7"/>
    </row>
    <row r="58" ht="15.75" customHeight="1">
      <c r="A58" s="5" t="str">
        <f>IFERROR(__xludf.DUMMYFUNCTION("REGEXEXTRACT(H58, ""\d+\.\s*(.*?)\s*а\)"")"),"Какую структуру можно найти в Нижнем мире? ")</f>
        <v>Какую структуру можно найти в Нижнем мире? </v>
      </c>
      <c r="B58" s="5">
        <v>1.0</v>
      </c>
      <c r="C58" s="10"/>
      <c r="D58" s="5" t="str">
        <f>IFERROR(__xludf.DUMMYFUNCTION("REGEXREPLACE(REGEXEXTRACT(H58, ""а\)\s*(.*?)\s*б\)""), ""^\s*"", """")"),"Крепость Нижнего мира ")</f>
        <v>Крепость Нижнего мира </v>
      </c>
      <c r="E58" s="5" t="str">
        <f>IFERROR(__xludf.DUMMYFUNCTION("REGEXREPLACE(REGEXEXTRACT(H58, ""б\)\s*(.*?)\s*в\)""), ""^\s*"", """")"),"Деревня")</f>
        <v>Деревня</v>
      </c>
      <c r="F58" s="5" t="str">
        <f>IFERROR(__xludf.DUMMYFUNCTION("REGEXREPLACE(REGEXEXTRACT(H58, ""в\)\s*(.*?)\s*г\)""), ""^\s*"", """")"),"Иглу")</f>
        <v>Иглу</v>
      </c>
      <c r="G58" s="5" t="str">
        <f>IFERROR(__xludf.DUMMYFUNCTION("REGEXREPLACE(REGEXEXTRACT(H58, ""г\)\s*(.*)""), ""^\s*"", """")"),"Шахта")</f>
        <v>Шахта</v>
      </c>
      <c r="H58" s="6" t="s">
        <v>27</v>
      </c>
    </row>
    <row r="59" ht="15.75" hidden="1" customHeight="1">
      <c r="A59" s="10"/>
      <c r="B59" s="10"/>
      <c r="C59" s="10"/>
      <c r="D59" s="10"/>
      <c r="E59" s="10"/>
      <c r="F59" s="10"/>
      <c r="G59" s="10"/>
      <c r="H59" s="7"/>
    </row>
    <row r="60" ht="15.75" hidden="1" customHeight="1">
      <c r="A60" s="10"/>
      <c r="B60" s="10"/>
      <c r="C60" s="10"/>
      <c r="D60" s="10"/>
      <c r="E60" s="10"/>
      <c r="F60" s="10"/>
      <c r="G60" s="10"/>
      <c r="H60" s="6"/>
    </row>
    <row r="61" ht="15.75" hidden="1" customHeight="1">
      <c r="A61" s="10"/>
      <c r="B61" s="10"/>
      <c r="C61" s="10"/>
      <c r="D61" s="10"/>
      <c r="E61" s="10"/>
      <c r="F61" s="10"/>
      <c r="G61" s="10"/>
    </row>
    <row r="62" ht="15.75" hidden="1" customHeight="1">
      <c r="A62" s="10"/>
      <c r="B62" s="10"/>
      <c r="C62" s="10"/>
      <c r="D62" s="10"/>
      <c r="E62" s="10"/>
      <c r="F62" s="10"/>
      <c r="G62" s="10"/>
      <c r="H62" s="8"/>
    </row>
    <row r="63" ht="15.75" hidden="1" customHeight="1">
      <c r="A63" s="10"/>
      <c r="B63" s="10"/>
      <c r="C63" s="10"/>
      <c r="D63" s="10"/>
      <c r="E63" s="10"/>
      <c r="F63" s="10"/>
      <c r="G63" s="10"/>
      <c r="H63" s="7"/>
    </row>
    <row r="64" ht="15.75" customHeight="1">
      <c r="A64" s="5" t="str">
        <f>IFERROR(__xludf.DUMMYFUNCTION("REGEXEXTRACT(H64, ""\d+\.\s*(.*?)\s*а\)"")"),"Какой ингредиент нужен для создания зелья силы? ")</f>
        <v>Какой ингредиент нужен для создания зелья силы? </v>
      </c>
      <c r="B64" s="5">
        <v>1.0</v>
      </c>
      <c r="C64" s="10"/>
      <c r="D64" s="5" t="str">
        <f>IFERROR(__xludf.DUMMYFUNCTION("REGEXREPLACE(REGEXEXTRACT(H64, ""а\)\s*(.*?)\s*б\)""), ""^\s*"", """")"),"Адский нарост ")</f>
        <v>Адский нарост </v>
      </c>
      <c r="E64" s="5" t="str">
        <f>IFERROR(__xludf.DUMMYFUNCTION("REGEXREPLACE(REGEXEXTRACT(H64, ""б\)\s*(.*?)\s*в\)""), ""^\s*"", """")"),"Слеза гаста")</f>
        <v>Слеза гаста</v>
      </c>
      <c r="F64" s="5" t="str">
        <f>IFERROR(__xludf.DUMMYFUNCTION("REGEXREPLACE(REGEXEXTRACT(H64, ""в\)\s*(.*?)\s*г\)""), ""^\s*"", """")"),"Красная пыль")</f>
        <v>Красная пыль</v>
      </c>
      <c r="G64" s="5" t="str">
        <f>IFERROR(__xludf.DUMMYFUNCTION("REGEXREPLACE(REGEXEXTRACT(H64, ""г\)\s*(.*)""), ""^\s*"", """")"),"Золотая морковь")</f>
        <v>Золотая морковь</v>
      </c>
      <c r="H64" s="6" t="s">
        <v>28</v>
      </c>
    </row>
    <row r="65" ht="15.75" hidden="1" customHeight="1">
      <c r="A65" s="10"/>
      <c r="B65" s="10"/>
      <c r="C65" s="10"/>
      <c r="D65" s="10"/>
      <c r="E65" s="10"/>
      <c r="F65" s="10"/>
      <c r="G65" s="10"/>
      <c r="H65" s="7"/>
    </row>
    <row r="66" ht="15.75" hidden="1" customHeight="1">
      <c r="A66" s="10"/>
      <c r="B66" s="10"/>
      <c r="C66" s="10"/>
      <c r="D66" s="10"/>
      <c r="E66" s="10"/>
      <c r="F66" s="10"/>
      <c r="G66" s="10"/>
      <c r="H66" s="6"/>
    </row>
    <row r="67" ht="15.75" hidden="1" customHeight="1">
      <c r="A67" s="10"/>
      <c r="B67" s="10"/>
      <c r="C67" s="10"/>
      <c r="D67" s="10"/>
      <c r="E67" s="10"/>
      <c r="F67" s="10"/>
      <c r="G67" s="10"/>
      <c r="H67" s="7"/>
    </row>
    <row r="68" ht="15.75" customHeight="1">
      <c r="A68" s="5" t="str">
        <f>IFERROR(__xludf.DUMMYFUNCTION("REGEXEXTRACT(H68, ""\d+\.\s*(.*?)\s*а\)"")"),"Какое зачарование позволяет ходить по воде? ")</f>
        <v>Какое зачарование позволяет ходить по воде? </v>
      </c>
      <c r="B68" s="5">
        <v>1.0</v>
      </c>
      <c r="C68" s="10"/>
      <c r="D68" s="5" t="str">
        <f>IFERROR(__xludf.DUMMYFUNCTION("REGEXREPLACE(REGEXEXTRACT(H68, ""а\)\s*(.*?)\s*б\)""), ""^\s*"", """")"),"Ледоход ")</f>
        <v>Ледоход </v>
      </c>
      <c r="E68" s="5" t="str">
        <f>IFERROR(__xludf.DUMMYFUNCTION("REGEXREPLACE(REGEXEXTRACT(H68, ""б\)\s*(.*?)\s*в\)""), ""^\s*"", """")"),"Починка")</f>
        <v>Починка</v>
      </c>
      <c r="F68" s="5" t="str">
        <f>IFERROR(__xludf.DUMMYFUNCTION("REGEXREPLACE(REGEXEXTRACT(H68, ""в\)\s*(.*?)\s*г\)""), ""^\s*"", """")"),"Небесная кара")</f>
        <v>Небесная кара</v>
      </c>
      <c r="G68" s="5" t="str">
        <f>IFERROR(__xludf.DUMMYFUNCTION("REGEXREPLACE(REGEXEXTRACT(H68, ""г\)\s*(.*)""), ""^\s*"", """")"),"Отдача")</f>
        <v>Отдача</v>
      </c>
      <c r="H68" s="6" t="s">
        <v>29</v>
      </c>
    </row>
    <row r="69" ht="15.75" hidden="1" customHeight="1">
      <c r="A69" s="10"/>
      <c r="B69" s="10"/>
      <c r="C69" s="10"/>
      <c r="D69" s="10"/>
      <c r="E69" s="10"/>
      <c r="F69" s="10"/>
      <c r="G69" s="10"/>
      <c r="H69" s="7"/>
    </row>
    <row r="70" ht="15.75" customHeight="1">
      <c r="A70" s="5" t="str">
        <f>IFERROR(__xludf.DUMMYFUNCTION("REGEXEXTRACT(H70, ""\d+\.\s*(.*?)\s*а\)"")"),"Какое зачарование позволяет дышать под водой? ")</f>
        <v>Какое зачарование позволяет дышать под водой? </v>
      </c>
      <c r="B70" s="5">
        <v>1.0</v>
      </c>
      <c r="C70" s="10"/>
      <c r="D70" s="5" t="str">
        <f>IFERROR(__xludf.DUMMYFUNCTION("REGEXREPLACE(REGEXEXTRACT(H70, ""а\)\s*(.*?)\s*б\)""), ""^\s*"", """")"),"Подводное дыхание ")</f>
        <v>Подводное дыхание </v>
      </c>
      <c r="E70" s="5" t="str">
        <f>IFERROR(__xludf.DUMMYFUNCTION("REGEXREPLACE(REGEXEXTRACT(H70, ""б\)\s*(.*?)\s*в\)""), ""^\s*"", """")"),"Невесомость")</f>
        <v>Невесомость</v>
      </c>
      <c r="F70" s="5" t="str">
        <f>IFERROR(__xludf.DUMMYFUNCTION("REGEXREPLACE(REGEXEXTRACT(H70, ""в\)\s*(.*?)\s*г\)""), ""^\s*"", """")"),"Регенерация")</f>
        <v>Регенерация</v>
      </c>
      <c r="G70" s="5" t="str">
        <f>IFERROR(__xludf.DUMMYFUNCTION("REGEXREPLACE(REGEXEXTRACT(H70, ""г\)\s*(.*)""), ""^\s*"", """")"),"Отдача")</f>
        <v>Отдача</v>
      </c>
      <c r="H70" s="6" t="s">
        <v>30</v>
      </c>
    </row>
    <row r="71" ht="15.75" hidden="1" customHeight="1">
      <c r="A71" s="10"/>
      <c r="B71" s="10"/>
      <c r="C71" s="10"/>
      <c r="D71" s="10"/>
      <c r="E71" s="10"/>
      <c r="F71" s="10"/>
      <c r="G71" s="10"/>
      <c r="H71" s="7"/>
    </row>
    <row r="72" ht="15.75" customHeight="1">
      <c r="A72" s="5" t="str">
        <f>IFERROR(__xludf.DUMMYFUNCTION("REGEXEXTRACT(H72, ""\d+\.\s*(.*?)\s*а\)"")"),"Какой ингредиент используется для приготовления зелья невидимости? ")</f>
        <v>Какой ингредиент используется для приготовления зелья невидимости? </v>
      </c>
      <c r="B72" s="5">
        <v>1.0</v>
      </c>
      <c r="C72" s="10"/>
      <c r="D72" s="5" t="str">
        <f>IFERROR(__xludf.DUMMYFUNCTION("REGEXREPLACE(REGEXEXTRACT(H72, ""а\)\s*(.*?)\s*б\)""), ""^\s*"", """")"),"Золотая морковь ")</f>
        <v>Золотая морковь </v>
      </c>
      <c r="E72" s="5" t="str">
        <f>IFERROR(__xludf.DUMMYFUNCTION("REGEXREPLACE(REGEXEXTRACT(H72, ""б\)\s*(.*?)\s*в\)""), ""^\s*"", """")"),"Слеза гаста")</f>
        <v>Слеза гаста</v>
      </c>
      <c r="F72" s="5" t="str">
        <f>IFERROR(__xludf.DUMMYFUNCTION("REGEXREPLACE(REGEXEXTRACT(H72, ""в\)\s*(.*?)\s*г\)""), ""^\s*"", """")"),"Адский нарост")</f>
        <v>Адский нарост</v>
      </c>
      <c r="G72" s="5" t="str">
        <f>IFERROR(__xludf.DUMMYFUNCTION("REGEXREPLACE(REGEXEXTRACT(H72, ""г\)\s*(.*)""), ""^\s*"", """")"),"Красная пыль")</f>
        <v>Красная пыль</v>
      </c>
      <c r="H72" s="6" t="s">
        <v>31</v>
      </c>
    </row>
    <row r="73" ht="15.75" hidden="1" customHeight="1">
      <c r="A73" s="10"/>
      <c r="B73" s="10"/>
      <c r="C73" s="10"/>
      <c r="D73" s="10"/>
      <c r="E73" s="10"/>
      <c r="F73" s="10"/>
      <c r="G73" s="10"/>
    </row>
    <row r="74" ht="15.75" hidden="1" customHeight="1">
      <c r="A74" s="10"/>
      <c r="B74" s="10"/>
      <c r="C74" s="10"/>
      <c r="D74" s="10"/>
      <c r="E74" s="10"/>
      <c r="F74" s="10"/>
      <c r="G74" s="10"/>
      <c r="H74" s="8"/>
    </row>
    <row r="75" ht="15.75" hidden="1" customHeight="1">
      <c r="A75" s="10"/>
      <c r="B75" s="10"/>
      <c r="C75" s="10"/>
      <c r="D75" s="10"/>
      <c r="E75" s="10"/>
      <c r="F75" s="10"/>
      <c r="G75" s="10"/>
      <c r="H75" s="7"/>
    </row>
    <row r="76" ht="15.75" customHeight="1">
      <c r="A76" s="5" t="str">
        <f>IFERROR(__xludf.DUMMYFUNCTION("REGEXEXTRACT(H76, ""\d+\.\s*(.*?)\s*а\)"")"),"Какой блок передает редстоун сигнал? ")</f>
        <v>Какой блок передает редстоун сигнал? </v>
      </c>
      <c r="B76" s="5">
        <v>1.0</v>
      </c>
      <c r="C76" s="10"/>
      <c r="D76" s="5" t="str">
        <f>IFERROR(__xludf.DUMMYFUNCTION("REGEXREPLACE(REGEXEXTRACT(H76, ""а\)\s*(.*?)\s*б\)""), ""^\s*"", """")"),"Рычаг ")</f>
        <v>Рычаг </v>
      </c>
      <c r="E76" s="5" t="str">
        <f>IFERROR(__xludf.DUMMYFUNCTION("REGEXREPLACE(REGEXEXTRACT(H76, ""б\)\s*(.*?)\s*в\)""), ""^\s*"", """")"),"Сундук")</f>
        <v>Сундук</v>
      </c>
      <c r="F76" s="5" t="str">
        <f>IFERROR(__xludf.DUMMYFUNCTION("REGEXREPLACE(REGEXEXTRACT(H76, ""в\)\s*(.*?)\s*г\)""), ""^\s*"", """")"),"Верстак")</f>
        <v>Верстак</v>
      </c>
      <c r="G76" s="5" t="str">
        <f>IFERROR(__xludf.DUMMYFUNCTION("REGEXREPLACE(REGEXEXTRACT(H76, ""г\)\s*(.*)""), ""^\s*"", """")"),"Печь")</f>
        <v>Печь</v>
      </c>
      <c r="H76" s="6" t="s">
        <v>32</v>
      </c>
    </row>
    <row r="77" ht="15.75" hidden="1" customHeight="1">
      <c r="A77" s="10"/>
      <c r="B77" s="10"/>
      <c r="C77" s="10"/>
      <c r="D77" s="10"/>
      <c r="E77" s="10"/>
      <c r="F77" s="10"/>
      <c r="G77" s="10"/>
      <c r="H77" s="7"/>
    </row>
    <row r="78" ht="15.75" customHeight="1">
      <c r="A78" s="5" t="str">
        <f>IFERROR(__xludf.DUMMYFUNCTION("REGEXEXTRACT(H78, ""\d+\.\s*(.*?)\s*а\)"")"),"Какой блок используется для создания сложных механизмов? ")</f>
        <v>Какой блок используется для создания сложных механизмов? </v>
      </c>
      <c r="B78" s="5">
        <v>1.0</v>
      </c>
      <c r="C78" s="10"/>
      <c r="D78" s="5" t="str">
        <f>IFERROR(__xludf.DUMMYFUNCTION("REGEXREPLACE(REGEXEXTRACT(H78, ""а\)\s*(.*?)\s*б\)""), ""^\s*"", """")"),"Поршень ")</f>
        <v>Поршень </v>
      </c>
      <c r="E78" s="5" t="str">
        <f>IFERROR(__xludf.DUMMYFUNCTION("REGEXREPLACE(REGEXEXTRACT(H78, ""б\)\s*(.*?)\s*в\)""), ""^\s*"", """")"),"Дерево")</f>
        <v>Дерево</v>
      </c>
      <c r="F78" s="5" t="str">
        <f>IFERROR(__xludf.DUMMYFUNCTION("REGEXREPLACE(REGEXEXTRACT(H78, ""в\)\s*(.*?)\s*г\)""), ""^\s*"", """")"),"Камень")</f>
        <v>Камень</v>
      </c>
      <c r="G78" s="5" t="str">
        <f>IFERROR(__xludf.DUMMYFUNCTION("REGEXREPLACE(REGEXEXTRACT(H78, ""г\)\s*(.*)""), ""^\s*"", """")"),"Стекло")</f>
        <v>Стекло</v>
      </c>
      <c r="H78" s="6" t="s">
        <v>33</v>
      </c>
    </row>
    <row r="79" ht="15.75" hidden="1" customHeight="1">
      <c r="A79" s="10"/>
      <c r="B79" s="10"/>
      <c r="C79" s="10"/>
      <c r="D79" s="10"/>
      <c r="E79" s="10"/>
      <c r="F79" s="10"/>
      <c r="G79" s="10"/>
      <c r="H79" s="7"/>
    </row>
    <row r="80" ht="15.75" hidden="1" customHeight="1">
      <c r="A80" s="10"/>
      <c r="B80" s="10"/>
      <c r="C80" s="10"/>
      <c r="D80" s="10"/>
      <c r="E80" s="10"/>
      <c r="F80" s="10"/>
      <c r="G80" s="10"/>
      <c r="H80" s="6"/>
    </row>
    <row r="81" ht="15.75" hidden="1" customHeight="1">
      <c r="A81" s="10"/>
      <c r="B81" s="10"/>
      <c r="C81" s="10"/>
      <c r="D81" s="10"/>
      <c r="E81" s="10"/>
      <c r="F81" s="10"/>
      <c r="G81" s="10"/>
      <c r="H81" s="7"/>
    </row>
    <row r="82" ht="15.75" hidden="1" customHeight="1">
      <c r="A82" s="10"/>
      <c r="B82" s="10"/>
      <c r="C82" s="10"/>
      <c r="D82" s="10"/>
      <c r="E82" s="10"/>
      <c r="F82" s="10"/>
      <c r="G82" s="10"/>
      <c r="H82" s="6"/>
    </row>
    <row r="83" ht="15.75" hidden="1" customHeight="1">
      <c r="A83" s="10"/>
      <c r="B83" s="10"/>
      <c r="C83" s="10"/>
      <c r="D83" s="10"/>
      <c r="E83" s="10"/>
      <c r="F83" s="10"/>
      <c r="G83" s="10"/>
      <c r="H83" s="7"/>
    </row>
    <row r="84" ht="15.75" customHeight="1">
      <c r="A84" s="5" t="str">
        <f>IFERROR(__xludf.DUMMYFUNCTION("REGEXEXTRACT(H84, ""\d+\.\s*(.*?)\s*а\)"")"),"Какой блок может передавать редстоун сигнал без проводов? ")</f>
        <v>Какой блок может передавать редстоун сигнал без проводов? </v>
      </c>
      <c r="B84" s="5">
        <v>1.0</v>
      </c>
      <c r="C84" s="10"/>
      <c r="D84" s="5" t="str">
        <f>IFERROR(__xludf.DUMMYFUNCTION("REGEXREPLACE(REGEXEXTRACT(H84, ""а\)\s*(.*?)\s*б\)""), ""^\s*"", """")"),"Наблюдатель ")</f>
        <v>Наблюдатель </v>
      </c>
      <c r="E84" s="5" t="str">
        <f>IFERROR(__xludf.DUMMYFUNCTION("REGEXREPLACE(REGEXEXTRACT(H84, ""б\)\s*(.*?)\s*в\)""), ""^\s*"", """")"),"Компаратор")</f>
        <v>Компаратор</v>
      </c>
      <c r="F84" s="5" t="str">
        <f>IFERROR(__xludf.DUMMYFUNCTION("REGEXREPLACE(REGEXEXTRACT(H84, ""в\)\s*(.*?)\s*г\)""), ""^\s*"", """")"),"Повторитель")</f>
        <v>Повторитель</v>
      </c>
      <c r="G84" s="5" t="str">
        <f>IFERROR(__xludf.DUMMYFUNCTION("REGEXREPLACE(REGEXEXTRACT(H84, ""г\)\s*(.*)""), ""^\s*"", """")"),"Поршень")</f>
        <v>Поршень</v>
      </c>
      <c r="H84" s="6" t="s">
        <v>34</v>
      </c>
    </row>
    <row r="85" ht="15.75" hidden="1" customHeight="1">
      <c r="A85" s="10"/>
      <c r="B85" s="10"/>
      <c r="C85" s="10"/>
      <c r="D85" s="10"/>
      <c r="E85" s="10"/>
      <c r="F85" s="10"/>
      <c r="G85" s="10"/>
    </row>
    <row r="86" ht="15.75" hidden="1" customHeight="1">
      <c r="A86" s="10"/>
      <c r="B86" s="10"/>
      <c r="C86" s="10"/>
      <c r="D86" s="10"/>
      <c r="E86" s="10"/>
      <c r="F86" s="10"/>
      <c r="G86" s="10"/>
      <c r="H86" s="8"/>
    </row>
    <row r="87" ht="15.75" hidden="1" customHeight="1">
      <c r="A87" s="10"/>
      <c r="B87" s="10"/>
      <c r="C87" s="10"/>
      <c r="D87" s="10"/>
      <c r="E87" s="10"/>
      <c r="F87" s="10"/>
      <c r="G87" s="10"/>
      <c r="H87" s="7"/>
    </row>
    <row r="88" ht="15.75" customHeight="1">
      <c r="A88" s="5" t="str">
        <f>IFERROR(__xludf.DUMMYFUNCTION("REGEXEXTRACT(H88, ""\d+\.\s*(.*?)\s*а\)"")"),"Какой предмет нужно использовать для создания брони? ")</f>
        <v>Какой предмет нужно использовать для создания брони? </v>
      </c>
      <c r="B88" s="5">
        <v>1.0</v>
      </c>
      <c r="C88" s="10"/>
      <c r="D88" s="5" t="str">
        <f>IFERROR(__xludf.DUMMYFUNCTION("REGEXREPLACE(REGEXEXTRACT(H88, ""а\)\s*(.*?)\s*б\)""), ""^\s*"", """")"),"Кожа ")</f>
        <v>Кожа </v>
      </c>
      <c r="E88" s="5" t="str">
        <f>IFERROR(__xludf.DUMMYFUNCTION("REGEXREPLACE(REGEXEXTRACT(H88, ""б\)\s*(.*?)\s*в\)""), ""^\s*"", """")"),"Земля")</f>
        <v>Земля</v>
      </c>
      <c r="F88" s="5" t="str">
        <f>IFERROR(__xludf.DUMMYFUNCTION("REGEXREPLACE(REGEXEXTRACT(H88, ""в\)\s*(.*?)\s*г\)""), ""^\s*"", """")"),"Камень")</f>
        <v>Камень</v>
      </c>
      <c r="G88" s="5" t="str">
        <f>IFERROR(__xludf.DUMMYFUNCTION("REGEXREPLACE(REGEXEXTRACT(H88, ""г\)\s*(.*)""), ""^\s*"", """")"),"Песок")</f>
        <v>Песок</v>
      </c>
      <c r="H88" s="6" t="s">
        <v>35</v>
      </c>
    </row>
    <row r="89" ht="15.75" hidden="1" customHeight="1">
      <c r="A89" s="10"/>
      <c r="B89" s="10"/>
      <c r="C89" s="10"/>
      <c r="D89" s="10"/>
      <c r="E89" s="10"/>
      <c r="F89" s="10"/>
      <c r="G89" s="10"/>
      <c r="H89" s="7"/>
    </row>
    <row r="90" ht="15.75" customHeight="1">
      <c r="A90" s="5" t="str">
        <f>IFERROR(__xludf.DUMMYFUNCTION("REGEXEXTRACT(H90, ""\d+\.\s*(.*?)\s*а\)"")"),"Какой предмет позволяет быстро перемещаться по рельсам? ")</f>
        <v>Какой предмет позволяет быстро перемещаться по рельсам? </v>
      </c>
      <c r="B90" s="5">
        <v>1.0</v>
      </c>
      <c r="C90" s="10"/>
      <c r="D90" s="5" t="str">
        <f>IFERROR(__xludf.DUMMYFUNCTION("REGEXREPLACE(REGEXEXTRACT(H90, ""а\)\s*(.*?)\s*б\)""), ""^\s*"", """")"),"Вагонетка ")</f>
        <v>Вагонетка </v>
      </c>
      <c r="E90" s="5" t="str">
        <f>IFERROR(__xludf.DUMMYFUNCTION("REGEXREPLACE(REGEXEXTRACT(H90, ""б\)\s*(.*?)\s*в\)""), ""^\s*"", """")"),"Лодка")</f>
        <v>Лодка</v>
      </c>
      <c r="F90" s="5" t="str">
        <f>IFERROR(__xludf.DUMMYFUNCTION("REGEXREPLACE(REGEXEXTRACT(H90, ""в\)\s*(.*?)\s*г\)""), ""^\s*"", """")"),"Весло")</f>
        <v>Весло</v>
      </c>
      <c r="G90" s="5" t="str">
        <f>IFERROR(__xludf.DUMMYFUNCTION("REGEXREPLACE(REGEXEXTRACT(H90, ""г\)\s*(.*)""), ""^\s*"", """")"),"Лопата")</f>
        <v>Лопата</v>
      </c>
      <c r="H90" s="6" t="s">
        <v>36</v>
      </c>
    </row>
    <row r="91" ht="15.75" hidden="1" customHeight="1">
      <c r="A91" s="10"/>
      <c r="B91" s="10"/>
      <c r="C91" s="10"/>
      <c r="D91" s="10"/>
      <c r="E91" s="10"/>
      <c r="F91" s="10"/>
      <c r="G91" s="10"/>
      <c r="H91" s="7"/>
    </row>
    <row r="92" ht="15.75" customHeight="1">
      <c r="A92" s="5" t="str">
        <f>IFERROR(__xludf.DUMMYFUNCTION("REGEXEXTRACT(H92, ""\d+\.\s*(.*?)\s*а\)"")"),"Какой блок нужен для создания зелья? ")</f>
        <v>Какой блок нужен для создания зелья? </v>
      </c>
      <c r="B92" s="5">
        <v>1.0</v>
      </c>
      <c r="C92" s="10"/>
      <c r="D92" s="5" t="str">
        <f>IFERROR(__xludf.DUMMYFUNCTION("REGEXREPLACE(REGEXEXTRACT(H92, ""а\)\s*(.*?)\s*б\)""), ""^\s*"", """")"),"Варочная стойка ")</f>
        <v>Варочная стойка </v>
      </c>
      <c r="E92" s="5" t="str">
        <f>IFERROR(__xludf.DUMMYFUNCTION("REGEXREPLACE(REGEXEXTRACT(H92, ""б\)\s*(.*?)\s*в\)""), ""^\s*"", """")"),"Верстак")</f>
        <v>Верстак</v>
      </c>
      <c r="F92" s="5" t="str">
        <f>IFERROR(__xludf.DUMMYFUNCTION("REGEXREPLACE(REGEXEXTRACT(H92, ""в\)\s*(.*?)\s*г\)""), ""^\s*"", """")"),"Печь")</f>
        <v>Печь</v>
      </c>
      <c r="G92" s="5" t="str">
        <f>IFERROR(__xludf.DUMMYFUNCTION("REGEXREPLACE(REGEXEXTRACT(H92, ""г\)\s*(.*)""), ""^\s*"", """")"),"Сундук")</f>
        <v>Сундук</v>
      </c>
      <c r="H92" s="6" t="s">
        <v>37</v>
      </c>
    </row>
    <row r="93" ht="15.75" hidden="1" customHeight="1">
      <c r="A93" s="10"/>
      <c r="B93" s="10"/>
      <c r="C93" s="10"/>
      <c r="D93" s="10"/>
      <c r="E93" s="10"/>
      <c r="F93" s="10"/>
      <c r="G93" s="10"/>
      <c r="H93" s="7"/>
    </row>
    <row r="94" ht="15.75" customHeight="1">
      <c r="A94" s="5" t="str">
        <f>IFERROR(__xludf.DUMMYFUNCTION("REGEXEXTRACT(H94, ""\d+\.\s*(.*?)\s*а\)"")"),"Какой блок нужен для хранения предметов? ")</f>
        <v>Какой блок нужен для хранения предметов? </v>
      </c>
      <c r="B94" s="5">
        <v>1.0</v>
      </c>
      <c r="C94" s="10"/>
      <c r="D94" s="5" t="str">
        <f>IFERROR(__xludf.DUMMYFUNCTION("REGEXREPLACE(REGEXEXTRACT(H94, ""а\)\s*(.*?)\s*б\)""), ""^\s*"", """")"),"Сундук ")</f>
        <v>Сундук </v>
      </c>
      <c r="E94" s="5" t="str">
        <f>IFERROR(__xludf.DUMMYFUNCTION("REGEXREPLACE(REGEXEXTRACT(H94, ""б\)\s*(.*?)\s*в\)""), ""^\s*"", """")"),"Верстак")</f>
        <v>Верстак</v>
      </c>
      <c r="F94" s="5" t="str">
        <f>IFERROR(__xludf.DUMMYFUNCTION("REGEXREPLACE(REGEXEXTRACT(H94, ""в\)\s*(.*?)\s*г\)""), ""^\s*"", """")"),"Печь")</f>
        <v>Печь</v>
      </c>
      <c r="G94" s="5" t="str">
        <f>IFERROR(__xludf.DUMMYFUNCTION("REGEXREPLACE(REGEXEXTRACT(H94, ""г\)\s*(.*)""), ""^\s*"", """")"),"Камень")</f>
        <v>Камень</v>
      </c>
      <c r="H94" s="6" t="s">
        <v>38</v>
      </c>
    </row>
    <row r="95" ht="15.75" hidden="1" customHeight="1">
      <c r="A95" s="10"/>
      <c r="B95" s="10"/>
      <c r="C95" s="10"/>
      <c r="D95" s="10"/>
      <c r="E95" s="10"/>
      <c r="F95" s="10"/>
      <c r="G95" s="10"/>
      <c r="H95" s="7"/>
    </row>
    <row r="96" ht="15.75" customHeight="1">
      <c r="A96" s="5" t="str">
        <f>IFERROR(__xludf.DUMMYFUNCTION("REGEXEXTRACT(H96, ""\d+\.\s*(.*?)\s*а\)"")"),"Какой предмет используется для зачарования? ")</f>
        <v>Какой предмет используется для зачарования? </v>
      </c>
      <c r="B96" s="5">
        <v>1.0</v>
      </c>
      <c r="C96" s="10"/>
      <c r="D96" s="5" t="str">
        <f>IFERROR(__xludf.DUMMYFUNCTION("REGEXREPLACE(REGEXEXTRACT(H96, ""а\)\s*(.*?)\s*б\)""), ""^\s*"", """")"),"Зачаровальный стол ")</f>
        <v>Зачаровальный стол </v>
      </c>
      <c r="E96" s="5" t="str">
        <f>IFERROR(__xludf.DUMMYFUNCTION("REGEXREPLACE(REGEXEXTRACT(H96, ""б\)\s*(.*?)\s*в\)""), ""^\s*"", """")"),"Печь")</f>
        <v>Печь</v>
      </c>
      <c r="F96" s="5" t="str">
        <f>IFERROR(__xludf.DUMMYFUNCTION("REGEXREPLACE(REGEXEXTRACT(H96, ""в\)\s*(.*?)\s*г\)""), ""^\s*"", """")"),"Верстак")</f>
        <v>Верстак</v>
      </c>
      <c r="G96" s="5" t="str">
        <f>IFERROR(__xludf.DUMMYFUNCTION("REGEXREPLACE(REGEXEXTRACT(H96, ""г\)\s*(.*)""), ""^\s*"", """")"),"Сундук")</f>
        <v>Сундук</v>
      </c>
      <c r="H96" s="6" t="s">
        <v>39</v>
      </c>
    </row>
    <row r="97" ht="15.75" hidden="1" customHeight="1">
      <c r="A97" s="10"/>
      <c r="B97" s="10"/>
      <c r="C97" s="10"/>
      <c r="D97" s="10"/>
      <c r="E97" s="10"/>
      <c r="F97" s="10"/>
      <c r="G97" s="10"/>
    </row>
    <row r="98" ht="15.75" hidden="1" customHeight="1">
      <c r="A98" s="10"/>
      <c r="B98" s="10"/>
      <c r="C98" s="10"/>
      <c r="D98" s="10"/>
      <c r="E98" s="10"/>
      <c r="F98" s="10"/>
      <c r="G98" s="10"/>
      <c r="H98" s="8"/>
    </row>
    <row r="99" ht="15.75" hidden="1" customHeight="1">
      <c r="A99" s="10"/>
      <c r="B99" s="10"/>
      <c r="C99" s="10"/>
      <c r="D99" s="10"/>
      <c r="E99" s="10"/>
      <c r="F99" s="10"/>
      <c r="G99" s="10"/>
      <c r="H99" s="7"/>
    </row>
    <row r="100" ht="15.75" customHeight="1">
      <c r="A100" s="5" t="str">
        <f>IFERROR(__xludf.DUMMYFUNCTION("REGEXEXTRACT(H100, ""\d+\.\s*(.*?)\s*а\)"")"),"Какое достижение дается за вход в Нижний мир? ")</f>
        <v>Какое достижение дается за вход в Нижний мир? </v>
      </c>
      <c r="B100" s="5">
        <v>1.0</v>
      </c>
      <c r="C100" s="10"/>
      <c r="D100" s="5" t="str">
        <f>IFERROR(__xludf.DUMMYFUNCTION("REGEXREPLACE(REGEXEXTRACT(H100, ""а\)\s*(.*?)\s*б\)""), ""^\s*"", """")"),"“Огненные недра” ")</f>
        <v>“Огненные недра” </v>
      </c>
      <c r="E100" s="5" t="str">
        <f>IFERROR(__xludf.DUMMYFUNCTION("REGEXREPLACE(REGEXEXTRACT(H100, ""б\)\s*(.*?)\s*в\)""), ""^\s*"", """")"),"“На дно”")</f>
        <v>“На дно”</v>
      </c>
      <c r="F100" s="5" t="str">
        <f>IFERROR(__xludf.DUMMYFUNCTION("REGEXREPLACE(REGEXEXTRACT(H100, ""в\)\s*(.*?)\s*г\)""), ""^\s*"", """")"),"“Свободное падение”")</f>
        <v>“Свободное падение”</v>
      </c>
      <c r="G100" s="5" t="str">
        <f>IFERROR(__xludf.DUMMYFUNCTION("REGEXREPLACE(REGEXEXTRACT(H100, ""г\)\s*(.*)""), ""^\s*"", """")"),"“Начать гонку”")</f>
        <v>“Начать гонку”</v>
      </c>
      <c r="H100" s="6" t="s">
        <v>40</v>
      </c>
    </row>
    <row r="101" ht="15.75" hidden="1" customHeight="1">
      <c r="H101" s="7"/>
    </row>
    <row r="102" ht="15.75" customHeight="1">
      <c r="A102" s="5" t="str">
        <f>IFERROR(__xludf.DUMMYFUNCTION("REGEXEXTRACT(H102, ""\d+\.\s*(.*?)\s*а\)"")"),"Какое достижение дается за попадание в Край? ")</f>
        <v>Какое достижение дается за попадание в Край? </v>
      </c>
      <c r="B102" s="5">
        <v>1.0</v>
      </c>
      <c r="C102" s="11"/>
      <c r="D102" s="5" t="str">
        <f>IFERROR(__xludf.DUMMYFUNCTION("REGEXREPLACE(REGEXEXTRACT(H102, ""а\)\s*(.*?)\s*б\)""), ""^\s*"", """")"),"“Конец?” ")</f>
        <v>“Конец?” </v>
      </c>
      <c r="E102" s="5" t="str">
        <f>IFERROR(__xludf.DUMMYFUNCTION("REGEXREPLACE(REGEXEXTRACT(H102, ""б\)\s*(.*?)\s*в\)""), ""^\s*"", """")"),"“Выйти за рамки”")</f>
        <v>“Выйти за рамки”</v>
      </c>
      <c r="F102" s="5" t="str">
        <f>IFERROR(__xludf.DUMMYFUNCTION("REGEXREPLACE(REGEXEXTRACT(H102, ""в\)\s*(.*?)\s*г\)""), ""^\s*"", """")"),"“Начать гонку”")</f>
        <v>“Начать гонку”</v>
      </c>
      <c r="G102" s="5" t="str">
        <f>IFERROR(__xludf.DUMMYFUNCTION("REGEXREPLACE(REGEXEXTRACT(H102, ""г\)\s*(.*)""), ""^\s*"", """")"),"“Дикий”")</f>
        <v>“Дикий”</v>
      </c>
      <c r="H102" s="6" t="s">
        <v>41</v>
      </c>
    </row>
    <row r="103" ht="15.75" hidden="1" customHeight="1">
      <c r="A103" s="11"/>
      <c r="B103" s="11"/>
      <c r="C103" s="11"/>
      <c r="D103" s="11"/>
      <c r="E103" s="11"/>
      <c r="F103" s="11"/>
      <c r="G103" s="11"/>
      <c r="H103" s="7"/>
    </row>
    <row r="104" ht="15.75" customHeight="1">
      <c r="A104" s="5" t="str">
        <f>IFERROR(__xludf.DUMMYFUNCTION("REGEXEXTRACT(H104, ""\d+\.\s*(.*?)\s*а\)"")"),"Какое достижение дается за создание алмазной брони? ")</f>
        <v>Какое достижение дается за создание алмазной брони? </v>
      </c>
      <c r="B104" s="5">
        <v>1.0</v>
      </c>
      <c r="C104" s="11"/>
      <c r="D104" s="5" t="str">
        <f>IFERROR(__xludf.DUMMYFUNCTION("REGEXREPLACE(REGEXEXTRACT(H104, ""а\)\s*(.*?)\s*б\)""), ""^\s*"", """")"),"“Осыпь меня алмазами” ")</f>
        <v>“Осыпь меня алмазами” </v>
      </c>
      <c r="E104" s="5" t="str">
        <f>IFERROR(__xludf.DUMMYFUNCTION("REGEXREPLACE(REGEXEXTRACT(H104, ""б\)\s*(.*?)\s*в\)""), ""^\s*"", """")"),"“Отправиться на войну”")</f>
        <v>“Отправиться на войну”</v>
      </c>
      <c r="F104" s="5" t="str">
        <f>IFERROR(__xludf.DUMMYFUNCTION("REGEXREPLACE(REGEXEXTRACT(H104, ""в\)\s*(.*?)\s*г\)""), ""^\s*"", """")"),"“Мы богачи”")</f>
        <v>“Мы богачи”</v>
      </c>
      <c r="G104" s="5" t="str">
        <f>IFERROR(__xludf.DUMMYFUNCTION("REGEXREPLACE(REGEXEXTRACT(H104, ""г\)\s*(.*)""), ""^\s*"", """")"),"“Железный человек”")</f>
        <v>“Железный человек”</v>
      </c>
      <c r="H104" s="6" t="s">
        <v>42</v>
      </c>
    </row>
    <row r="105" ht="15.75" hidden="1" customHeight="1">
      <c r="A105" s="11"/>
      <c r="B105" s="11"/>
      <c r="C105" s="11"/>
      <c r="D105" s="11"/>
      <c r="E105" s="11"/>
      <c r="F105" s="11"/>
      <c r="G105" s="11"/>
      <c r="H105" s="7"/>
    </row>
    <row r="106" ht="15.75" hidden="1" customHeight="1">
      <c r="A106" s="11"/>
      <c r="B106" s="11"/>
      <c r="C106" s="11"/>
      <c r="D106" s="11"/>
      <c r="E106" s="11"/>
      <c r="F106" s="11"/>
      <c r="G106" s="11"/>
      <c r="H106" s="6"/>
    </row>
    <row r="107" ht="15.75" hidden="1" customHeight="1">
      <c r="A107" s="11"/>
      <c r="B107" s="11"/>
      <c r="C107" s="11"/>
      <c r="D107" s="11"/>
      <c r="E107" s="11"/>
      <c r="F107" s="11"/>
      <c r="G107" s="11"/>
      <c r="H107" s="7"/>
    </row>
    <row r="108" ht="15.75" hidden="1" customHeight="1">
      <c r="A108" s="11"/>
      <c r="B108" s="11"/>
      <c r="C108" s="11"/>
      <c r="D108" s="11"/>
      <c r="E108" s="11"/>
      <c r="F108" s="11"/>
      <c r="G108" s="11"/>
      <c r="H108" s="6"/>
    </row>
    <row r="109" ht="15.75" hidden="1" customHeight="1">
      <c r="A109" s="11"/>
      <c r="B109" s="11"/>
      <c r="C109" s="11"/>
      <c r="D109" s="11"/>
      <c r="E109" s="11"/>
      <c r="F109" s="11"/>
      <c r="G109" s="11"/>
    </row>
    <row r="110" ht="15.75" hidden="1" customHeight="1">
      <c r="A110" s="11"/>
      <c r="B110" s="11"/>
      <c r="C110" s="11"/>
      <c r="D110" s="11"/>
      <c r="E110" s="11"/>
      <c r="F110" s="11"/>
      <c r="G110" s="11"/>
      <c r="H110" s="8"/>
    </row>
    <row r="111" ht="15.75" hidden="1" customHeight="1">
      <c r="A111" s="11"/>
      <c r="B111" s="11"/>
      <c r="C111" s="11"/>
      <c r="D111" s="11"/>
      <c r="E111" s="11"/>
      <c r="F111" s="11"/>
      <c r="G111" s="11"/>
      <c r="H111" s="7"/>
    </row>
    <row r="112" ht="15.75" hidden="1" customHeight="1">
      <c r="A112" s="5" t="str">
        <f>IFERROR(__xludf.DUMMYFUNCTION("REGEXEXTRACT(H112, ""\d+\.\s*(.*?)\s*а\)"")"),"#N/A")</f>
        <v>#N/A</v>
      </c>
      <c r="B112" s="5">
        <v>1.0</v>
      </c>
      <c r="C112" s="11"/>
      <c r="D112" s="5" t="str">
        <f>IFERROR(__xludf.DUMMYFUNCTION("REGEXREPLACE(REGEXEXTRACT(H112, ""а\)\s*(.*?)\s*б\)""), ""^\s*"", """")"),"#N/A")</f>
        <v>#N/A</v>
      </c>
      <c r="E112" s="5" t="str">
        <f>IFERROR(__xludf.DUMMYFUNCTION("REGEXREPLACE(REGEXEXTRACT(H112, ""б\)\s*(.*?)\s*в\)""), ""^\s*"", """")"),"#N/A")</f>
        <v>#N/A</v>
      </c>
      <c r="F112" s="5" t="str">
        <f>IFERROR(__xludf.DUMMYFUNCTION("REGEXREPLACE(REGEXEXTRACT(H112, ""в\)\s*(.*?)\s*г\)""), ""^\s*"", """")"),"#N/A")</f>
        <v>#N/A</v>
      </c>
      <c r="G112" s="5" t="str">
        <f>IFERROR(__xludf.DUMMYFUNCTION("REGEXREPLACE(REGEXEXTRACT(H112, ""г\)\s*(.*)""), ""^\s*"", """")"),"#N/A")</f>
        <v>#N/A</v>
      </c>
      <c r="H112" s="6"/>
    </row>
    <row r="113" ht="15.75" hidden="1" customHeight="1">
      <c r="A113" s="11"/>
      <c r="B113" s="11"/>
      <c r="C113" s="11"/>
      <c r="D113" s="11"/>
      <c r="E113" s="11"/>
      <c r="F113" s="11"/>
      <c r="G113" s="11"/>
      <c r="H113" s="7"/>
    </row>
    <row r="114" ht="15.75" hidden="1" customHeight="1">
      <c r="A114" s="11"/>
      <c r="B114" s="11"/>
      <c r="C114" s="11"/>
      <c r="D114" s="11"/>
      <c r="E114" s="11"/>
      <c r="F114" s="11"/>
      <c r="G114" s="11"/>
      <c r="H114" s="6"/>
    </row>
    <row r="115" ht="15.75" hidden="1" customHeight="1">
      <c r="A115" s="11"/>
      <c r="B115" s="11"/>
      <c r="C115" s="11"/>
      <c r="D115" s="11"/>
      <c r="E115" s="11"/>
      <c r="F115" s="11"/>
      <c r="G115" s="11"/>
      <c r="H115" s="7"/>
    </row>
    <row r="116" ht="15.75" hidden="1" customHeight="1">
      <c r="A116" s="5" t="str">
        <f>IFERROR(__xludf.DUMMYFUNCTION("REGEXEXTRACT(H116, ""\d+\.\s*(.*?)\s*а\)"")"),"#N/A")</f>
        <v>#N/A</v>
      </c>
      <c r="B116" s="5">
        <v>1.0</v>
      </c>
      <c r="C116" s="11"/>
      <c r="D116" s="5" t="str">
        <f>IFERROR(__xludf.DUMMYFUNCTION("REGEXREPLACE(REGEXEXTRACT(H116, ""а\)\s*(.*?)\s*б\)""), ""^\s*"", """")"),"#N/A")</f>
        <v>#N/A</v>
      </c>
      <c r="E116" s="5" t="str">
        <f>IFERROR(__xludf.DUMMYFUNCTION("REGEXREPLACE(REGEXEXTRACT(H116, ""б\)\s*(.*?)\s*в\)""), ""^\s*"", """")"),"#N/A")</f>
        <v>#N/A</v>
      </c>
      <c r="F116" s="5" t="str">
        <f>IFERROR(__xludf.DUMMYFUNCTION("REGEXREPLACE(REGEXEXTRACT(H116, ""в\)\s*(.*?)\s*г\)""), ""^\s*"", """")"),"#N/A")</f>
        <v>#N/A</v>
      </c>
      <c r="G116" s="5" t="str">
        <f>IFERROR(__xludf.DUMMYFUNCTION("REGEXREPLACE(REGEXEXTRACT(H116, ""г\)\s*(.*)""), ""^\s*"", """")"),"#N/A")</f>
        <v>#N/A</v>
      </c>
      <c r="H116" s="6"/>
    </row>
    <row r="117" ht="15.75" hidden="1" customHeight="1">
      <c r="A117" s="11"/>
      <c r="B117" s="11"/>
      <c r="C117" s="11"/>
      <c r="D117" s="11"/>
      <c r="E117" s="11"/>
      <c r="F117" s="11"/>
      <c r="G117" s="11"/>
      <c r="H117" s="7"/>
    </row>
    <row r="118" ht="15.75" hidden="1" customHeight="1">
      <c r="A118" s="5" t="str">
        <f>IFERROR(__xludf.DUMMYFUNCTION("REGEXEXTRACT(H118, ""\d+\.\s*(.*?)\s*а\)"")"),"#N/A")</f>
        <v>#N/A</v>
      </c>
      <c r="B118" s="5">
        <v>1.0</v>
      </c>
      <c r="C118" s="11"/>
      <c r="D118" s="5" t="str">
        <f>IFERROR(__xludf.DUMMYFUNCTION("REGEXREPLACE(REGEXEXTRACT(H118, ""а\)\s*(.*?)\s*б\)""), ""^\s*"", """")"),"#N/A")</f>
        <v>#N/A</v>
      </c>
      <c r="E118" s="5" t="str">
        <f>IFERROR(__xludf.DUMMYFUNCTION("REGEXREPLACE(REGEXEXTRACT(H118, ""б\)\s*(.*?)\s*в\)""), ""^\s*"", """")"),"#N/A")</f>
        <v>#N/A</v>
      </c>
      <c r="F118" s="5" t="str">
        <f>IFERROR(__xludf.DUMMYFUNCTION("REGEXREPLACE(REGEXEXTRACT(H118, ""в\)\s*(.*?)\s*г\)""), ""^\s*"", """")"),"#N/A")</f>
        <v>#N/A</v>
      </c>
      <c r="G118" s="5" t="str">
        <f>IFERROR(__xludf.DUMMYFUNCTION("REGEXREPLACE(REGEXEXTRACT(H118, ""г\)\s*(.*)""), ""^\s*"", """")"),"#N/A")</f>
        <v>#N/A</v>
      </c>
      <c r="H118" s="6"/>
    </row>
    <row r="119" ht="15.75" hidden="1" customHeight="1">
      <c r="A119" s="11"/>
      <c r="B119" s="11"/>
      <c r="C119" s="11"/>
      <c r="D119" s="11"/>
      <c r="E119" s="11"/>
      <c r="F119" s="11"/>
      <c r="G119" s="11"/>
      <c r="H119" s="7"/>
    </row>
    <row r="120" ht="15.75" hidden="1" customHeight="1">
      <c r="A120" s="5" t="str">
        <f>IFERROR(__xludf.DUMMYFUNCTION("REGEXEXTRACT(H120, ""\d+\.\s*(.*?)\s*а\)"")"),"#N/A")</f>
        <v>#N/A</v>
      </c>
      <c r="B120" s="5">
        <v>1.0</v>
      </c>
      <c r="C120" s="11"/>
      <c r="D120" s="5" t="str">
        <f>IFERROR(__xludf.DUMMYFUNCTION("REGEXREPLACE(REGEXEXTRACT(H120, ""а\)\s*(.*?)\s*б\)""), ""^\s*"", """")"),"#N/A")</f>
        <v>#N/A</v>
      </c>
      <c r="E120" s="5" t="str">
        <f>IFERROR(__xludf.DUMMYFUNCTION("REGEXREPLACE(REGEXEXTRACT(H120, ""б\)\s*(.*?)\s*в\)""), ""^\s*"", """")"),"#N/A")</f>
        <v>#N/A</v>
      </c>
      <c r="F120" s="5" t="str">
        <f>IFERROR(__xludf.DUMMYFUNCTION("REGEXREPLACE(REGEXEXTRACT(H120, ""в\)\s*(.*?)\s*г\)""), ""^\s*"", """")"),"#N/A")</f>
        <v>#N/A</v>
      </c>
      <c r="G120" s="5" t="str">
        <f>IFERROR(__xludf.DUMMYFUNCTION("REGEXREPLACE(REGEXEXTRACT(H120, ""г\)\s*(.*)""), ""^\s*"", """")"),"#N/A")</f>
        <v>#N/A</v>
      </c>
      <c r="H120" s="6"/>
    </row>
    <row r="121" ht="15.75" hidden="1" customHeight="1">
      <c r="A121" s="11"/>
      <c r="B121" s="11"/>
      <c r="C121" s="11"/>
      <c r="D121" s="11"/>
      <c r="E121" s="11"/>
      <c r="F121" s="11"/>
      <c r="G121" s="11"/>
    </row>
    <row r="122" ht="15.75" hidden="1" customHeight="1">
      <c r="A122" s="11"/>
      <c r="B122" s="11"/>
      <c r="C122" s="11"/>
      <c r="D122" s="11"/>
      <c r="E122" s="11"/>
      <c r="F122" s="11"/>
      <c r="G122" s="11"/>
      <c r="H122" s="8"/>
    </row>
    <row r="123" ht="15.75" hidden="1" customHeight="1">
      <c r="A123" s="11"/>
      <c r="B123" s="11"/>
      <c r="C123" s="11"/>
      <c r="D123" s="11"/>
      <c r="E123" s="11"/>
      <c r="F123" s="11"/>
      <c r="G123" s="11"/>
      <c r="H123" s="8"/>
    </row>
    <row r="124" ht="15.75" hidden="1" customHeight="1">
      <c r="A124" s="11"/>
      <c r="B124" s="11"/>
      <c r="C124" s="11"/>
      <c r="D124" s="11"/>
      <c r="E124" s="11"/>
      <c r="F124" s="11"/>
      <c r="G124" s="11"/>
      <c r="H124" s="7"/>
    </row>
    <row r="125" ht="15.75" customHeight="1">
      <c r="A125" s="5" t="str">
        <f>IFERROR(__xludf.DUMMYFUNCTION("REGEXEXTRACT(H125, ""\d+\.\s*(.*?)\s*а\)"")"),"Как называется моб, который охраняет сокровищницу в лесном особняке? ")</f>
        <v>Как называется моб, который охраняет сокровищницу в лесном особняке? </v>
      </c>
      <c r="B125" s="5">
        <v>1.0</v>
      </c>
      <c r="C125" s="11"/>
      <c r="D125" s="5" t="str">
        <f>IFERROR(__xludf.DUMMYFUNCTION("REGEXREPLACE(REGEXEXTRACT(H125, ""а\)\s*(.*?)\s*б\)""), ""^\s*"", """")"),"Разоритель ")</f>
        <v>Разоритель </v>
      </c>
      <c r="E125" s="5" t="str">
        <f>IFERROR(__xludf.DUMMYFUNCTION("REGEXREPLACE(REGEXEXTRACT(H125, ""б\)\s*(.*?)\s*в\)""), ""^\s*"", """")"),"Страж")</f>
        <v>Страж</v>
      </c>
      <c r="F125" s="5" t="str">
        <f>IFERROR(__xludf.DUMMYFUNCTION("REGEXREPLACE(REGEXEXTRACT(H125, ""в\)\s*(.*?)\s*г\)""), ""^\s*"", """")"),"Эндермен")</f>
        <v>Эндермен</v>
      </c>
      <c r="G125" s="5" t="str">
        <f>IFERROR(__xludf.DUMMYFUNCTION("REGEXREPLACE(REGEXEXTRACT(H125, ""г\)\s*(.*)""), ""^\s*"", """")"),"Гаст")</f>
        <v>Гаст</v>
      </c>
      <c r="H125" s="6" t="s">
        <v>43</v>
      </c>
    </row>
    <row r="126" ht="15.75" hidden="1" customHeight="1">
      <c r="A126" s="11"/>
      <c r="B126" s="11"/>
      <c r="C126" s="11"/>
      <c r="D126" s="11"/>
      <c r="E126" s="11"/>
      <c r="F126" s="11"/>
      <c r="G126" s="11"/>
      <c r="H126" s="7"/>
    </row>
    <row r="127" ht="15.75" customHeight="1">
      <c r="A127" s="5" t="str">
        <f>IFERROR(__xludf.DUMMYFUNCTION("REGEXEXTRACT(H127, ""\d+\.\s*(.*?)\s*а\)"")"),"Какой предмет нужен для призыва Иссушителя? ")</f>
        <v>Какой предмет нужен для призыва Иссушителя? </v>
      </c>
      <c r="B127" s="5">
        <v>1.0</v>
      </c>
      <c r="C127" s="11"/>
      <c r="D127" s="5" t="str">
        <f>IFERROR(__xludf.DUMMYFUNCTION("REGEXREPLACE(REGEXEXTRACT(H127, ""а\)\s*(.*?)\s*б\)""), ""^\s*"", """")"),"Песок душ ")</f>
        <v>Песок душ </v>
      </c>
      <c r="E127" s="5" t="str">
        <f>IFERROR(__xludf.DUMMYFUNCTION("REGEXREPLACE(REGEXEXTRACT(H127, ""б\)\s*(.*?)\s*в\)""), ""^\s*"", """")"),"Алмазный блок")</f>
        <v>Алмазный блок</v>
      </c>
      <c r="F127" s="5" t="str">
        <f>IFERROR(__xludf.DUMMYFUNCTION("REGEXREPLACE(REGEXEXTRACT(H127, ""в\)\s*(.*?)\s*г\)""), ""^\s*"", """")"),"Железный слиток")</f>
        <v>Железный слиток</v>
      </c>
      <c r="G127" s="5" t="str">
        <f>IFERROR(__xludf.DUMMYFUNCTION("REGEXREPLACE(REGEXEXTRACT(H127, ""г\)\s*(.*)""), ""^\s*"", """")"),"Золотой слиток")</f>
        <v>Золотой слиток</v>
      </c>
      <c r="H127" s="6" t="s">
        <v>44</v>
      </c>
    </row>
    <row r="128" ht="15.75" hidden="1" customHeight="1">
      <c r="A128" s="11"/>
      <c r="B128" s="11"/>
      <c r="C128" s="11"/>
      <c r="D128" s="11"/>
      <c r="E128" s="11"/>
      <c r="F128" s="11"/>
      <c r="G128" s="11"/>
      <c r="H128" s="7"/>
    </row>
    <row r="129" ht="15.75" customHeight="1">
      <c r="A129" s="5" t="str">
        <f>IFERROR(__xludf.DUMMYFUNCTION("REGEXEXTRACT(H129, ""\d+\.\s*(.*?)\s*а\)"")"),"Какой моб может телепортироваться и красть блоки? ")</f>
        <v>Какой моб может телепортироваться и красть блоки? </v>
      </c>
      <c r="B129" s="5">
        <v>1.0</v>
      </c>
      <c r="C129" s="11"/>
      <c r="D129" s="5" t="str">
        <f>IFERROR(__xludf.DUMMYFUNCTION("REGEXREPLACE(REGEXEXTRACT(H129, ""а\)\s*(.*?)\s*б\)""), ""^\s*"", """")"),"Эндермен ")</f>
        <v>Эндермен </v>
      </c>
      <c r="E129" s="5" t="str">
        <f>IFERROR(__xludf.DUMMYFUNCTION("REGEXREPLACE(REGEXEXTRACT(H129, ""б\)\s*(.*?)\s*в\)""), ""^\s*"", """")"),"Зомби")</f>
        <v>Зомби</v>
      </c>
      <c r="F129" s="5" t="str">
        <f>IFERROR(__xludf.DUMMYFUNCTION("REGEXREPLACE(REGEXEXTRACT(H129, ""в\)\s*(.*?)\s*г\)""), ""^\s*"", """")"),"Крипер")</f>
        <v>Крипер</v>
      </c>
      <c r="G129" s="5" t="str">
        <f>IFERROR(__xludf.DUMMYFUNCTION("REGEXREPLACE(REGEXEXTRACT(H129, ""г\)\s*(.*)""), ""^\s*"", """")"),"Скелет")</f>
        <v>Скелет</v>
      </c>
      <c r="H129" s="6" t="s">
        <v>45</v>
      </c>
    </row>
    <row r="130" ht="15.75" hidden="1" customHeight="1">
      <c r="A130" s="11"/>
      <c r="B130" s="11"/>
      <c r="C130" s="11"/>
      <c r="D130" s="11"/>
      <c r="E130" s="11"/>
      <c r="F130" s="11"/>
      <c r="G130" s="11"/>
      <c r="H130" s="7"/>
    </row>
    <row r="131" ht="15.75" customHeight="1">
      <c r="A131" s="5" t="str">
        <f>IFERROR(__xludf.DUMMYFUNCTION("REGEXEXTRACT(H131, ""\d+\.\s*(.*?)\s*а\)"")"),"Какой моб является боссом океанического монумента? ")</f>
        <v>Какой моб является боссом океанического монумента? </v>
      </c>
      <c r="B131" s="5">
        <v>1.0</v>
      </c>
      <c r="C131" s="11"/>
      <c r="D131" s="5" t="str">
        <f>IFERROR(__xludf.DUMMYFUNCTION("REGEXREPLACE(REGEXEXTRACT(H131, ""а\)\s*(.*?)\s*б\)""), ""^\s*"", """")"),"Древний страж ")</f>
        <v>Древний страж </v>
      </c>
      <c r="E131" s="5" t="str">
        <f>IFERROR(__xludf.DUMMYFUNCTION("REGEXREPLACE(REGEXEXTRACT(H131, ""б\)\s*(.*?)\s*в\)""), ""^\s*"", """")"),"Страж")</f>
        <v>Страж</v>
      </c>
      <c r="F131" s="5" t="str">
        <f>IFERROR(__xludf.DUMMYFUNCTION("REGEXREPLACE(REGEXEXTRACT(H131, ""в\)\s*(.*?)\s*г\)""), ""^\s*"", """")"),"Утопленник")</f>
        <v>Утопленник</v>
      </c>
      <c r="G131" s="5" t="str">
        <f>IFERROR(__xludf.DUMMYFUNCTION("REGEXREPLACE(REGEXEXTRACT(H131, ""г\)\s*(.*)""), ""^\s*"", """")"),"Гаст")</f>
        <v>Гаст</v>
      </c>
      <c r="H131" s="6" t="s">
        <v>46</v>
      </c>
    </row>
    <row r="132" ht="15.75" hidden="1" customHeight="1">
      <c r="A132" s="11"/>
      <c r="B132" s="11"/>
      <c r="C132" s="11"/>
      <c r="D132" s="11"/>
      <c r="E132" s="11"/>
      <c r="F132" s="11"/>
      <c r="G132" s="11"/>
      <c r="H132" s="7"/>
    </row>
    <row r="133" ht="15.75" customHeight="1">
      <c r="A133" s="5" t="str">
        <f>IFERROR(__xludf.DUMMYFUNCTION("REGEXEXTRACT(H133, ""\d+\.\s*(.*?)\s*а\)"")"),"Какой моб является враждебной версией жителя деревни? ")</f>
        <v>Какой моб является враждебной версией жителя деревни? </v>
      </c>
      <c r="B133" s="5">
        <v>1.0</v>
      </c>
      <c r="C133" s="11"/>
      <c r="D133" s="5" t="str">
        <f>IFERROR(__xludf.DUMMYFUNCTION("REGEXREPLACE(REGEXEXTRACT(H133, ""а\)\s*(.*?)\s*б\)""), ""^\s*"", """")"),"Разбойник ")</f>
        <v>Разбойник </v>
      </c>
      <c r="E133" s="5" t="str">
        <f>IFERROR(__xludf.DUMMYFUNCTION("REGEXREPLACE(REGEXEXTRACT(H133, ""б\)\s*(.*?)\s*в\)""), ""^\s*"", """")"),"Зомби")</f>
        <v>Зомби</v>
      </c>
      <c r="F133" s="5" t="str">
        <f>IFERROR(__xludf.DUMMYFUNCTION("REGEXREPLACE(REGEXEXTRACT(H133, ""в\)\s*(.*?)\s*г\)""), ""^\s*"", """")"),"Скелет")</f>
        <v>Скелет</v>
      </c>
      <c r="G133" s="5" t="str">
        <f>IFERROR(__xludf.DUMMYFUNCTION("REGEXREPLACE(REGEXEXTRACT(H133, ""г\)\s*(.*)""), ""^\s*"", """")"),"Крипер")</f>
        <v>Крипер</v>
      </c>
      <c r="H133" s="6" t="s">
        <v>47</v>
      </c>
    </row>
    <row r="134" ht="15.75" hidden="1" customHeight="1">
      <c r="A134" s="11"/>
      <c r="B134" s="11"/>
      <c r="C134" s="11"/>
      <c r="D134" s="11"/>
      <c r="E134" s="11"/>
      <c r="F134" s="11"/>
      <c r="G134" s="11"/>
    </row>
    <row r="135" ht="15.75" hidden="1" customHeight="1">
      <c r="A135" s="11"/>
      <c r="B135" s="11"/>
      <c r="C135" s="11"/>
      <c r="D135" s="11"/>
      <c r="E135" s="11"/>
      <c r="F135" s="11"/>
      <c r="G135" s="11"/>
      <c r="H135" s="8"/>
    </row>
    <row r="136" ht="15.75" hidden="1" customHeight="1">
      <c r="A136" s="11"/>
      <c r="B136" s="11"/>
      <c r="C136" s="11"/>
      <c r="D136" s="11"/>
      <c r="E136" s="11"/>
      <c r="F136" s="11"/>
      <c r="G136" s="11"/>
      <c r="H136" s="7"/>
    </row>
    <row r="137" ht="15.75" customHeight="1">
      <c r="A137" s="5" t="str">
        <f>IFERROR(__xludf.DUMMYFUNCTION("REGEXEXTRACT(H137, ""\d+\.\s*(.*?)\s*а\)"")"),"Какой инструмент используется для копания земли и песка? ")</f>
        <v>Какой инструмент используется для копания земли и песка? </v>
      </c>
      <c r="B137" s="5">
        <v>1.0</v>
      </c>
      <c r="C137" s="11"/>
      <c r="D137" s="5" t="str">
        <f>IFERROR(__xludf.DUMMYFUNCTION("REGEXREPLACE(REGEXEXTRACT(H137, ""а\)\s*(.*?)\s*б\)""), ""^\s*"", """")"),"Лопата ")</f>
        <v>Лопата </v>
      </c>
      <c r="E137" s="5" t="str">
        <f>IFERROR(__xludf.DUMMYFUNCTION("REGEXREPLACE(REGEXEXTRACT(H137, ""б\)\s*(.*?)\s*в\)""), ""^\s*"", """")"),"Кирка")</f>
        <v>Кирка</v>
      </c>
      <c r="F137" s="5" t="str">
        <f>IFERROR(__xludf.DUMMYFUNCTION("REGEXREPLACE(REGEXEXTRACT(H137, ""в\)\s*(.*?)\s*г\)""), ""^\s*"", """")"),"Топор")</f>
        <v>Топор</v>
      </c>
      <c r="G137" s="5" t="str">
        <f>IFERROR(__xludf.DUMMYFUNCTION("REGEXREPLACE(REGEXEXTRACT(H137, ""г\)\s*(.*)""), ""^\s*"", """")"),"Мотыга")</f>
        <v>Мотыга</v>
      </c>
      <c r="H137" s="6" t="s">
        <v>48</v>
      </c>
    </row>
    <row r="138" ht="15.75" hidden="1" customHeight="1">
      <c r="A138" s="11"/>
      <c r="B138" s="11"/>
      <c r="C138" s="11"/>
      <c r="D138" s="11"/>
      <c r="E138" s="11"/>
      <c r="F138" s="11"/>
      <c r="G138" s="11"/>
      <c r="H138" s="7"/>
    </row>
    <row r="139" ht="15.75" customHeight="1">
      <c r="A139" s="5" t="str">
        <f>IFERROR(__xludf.DUMMYFUNCTION("REGEXEXTRACT(H139, ""\d+\.\s*(.*?)\s*а\)"")"),"Какой инструмент используется для рубки дерева? ")</f>
        <v>Какой инструмент используется для рубки дерева? </v>
      </c>
      <c r="B139" s="5">
        <v>1.0</v>
      </c>
      <c r="C139" s="11"/>
      <c r="D139" s="5" t="str">
        <f>IFERROR(__xludf.DUMMYFUNCTION("REGEXREPLACE(REGEXEXTRACT(H139, ""а\)\s*(.*?)\s*б\)""), ""^\s*"", """")"),"Топор ")</f>
        <v>Топор </v>
      </c>
      <c r="E139" s="5" t="str">
        <f>IFERROR(__xludf.DUMMYFUNCTION("REGEXREPLACE(REGEXEXTRACT(H139, ""б\)\s*(.*?)\s*в\)""), ""^\s*"", """")"),"Кирка")</f>
        <v>Кирка</v>
      </c>
      <c r="F139" s="5" t="str">
        <f>IFERROR(__xludf.DUMMYFUNCTION("REGEXREPLACE(REGEXEXTRACT(H139, ""в\)\s*(.*?)\s*г\)""), ""^\s*"", """")"),"Лопата")</f>
        <v>Лопата</v>
      </c>
      <c r="G139" s="5" t="str">
        <f>IFERROR(__xludf.DUMMYFUNCTION("REGEXREPLACE(REGEXEXTRACT(H139, ""г\)\s*(.*)""), ""^\s*"", """")"),"Мотыга")</f>
        <v>Мотыга</v>
      </c>
      <c r="H139" s="6" t="s">
        <v>49</v>
      </c>
    </row>
    <row r="140" ht="15.75" hidden="1" customHeight="1">
      <c r="A140" s="11"/>
      <c r="B140" s="11"/>
      <c r="C140" s="11"/>
      <c r="D140" s="11"/>
      <c r="E140" s="11"/>
      <c r="F140" s="11"/>
      <c r="G140" s="11"/>
      <c r="H140" s="7"/>
    </row>
    <row r="141" ht="15.75" customHeight="1">
      <c r="A141" s="5" t="str">
        <f>IFERROR(__xludf.DUMMYFUNCTION("REGEXEXTRACT(H141, ""\d+\.\s*(.*?)\s*а\)"")"),"Какой предмет используется для создания стрел? ")</f>
        <v>Какой предмет используется для создания стрел? </v>
      </c>
      <c r="B141" s="5">
        <v>1.0</v>
      </c>
      <c r="C141" s="11"/>
      <c r="D141" s="5" t="str">
        <f>IFERROR(__xludf.DUMMYFUNCTION("REGEXREPLACE(REGEXEXTRACT(H141, ""а\)\s*(.*?)\s*б\)""), ""^\s*"", """")"),"Кремний ")</f>
        <v>Кремний </v>
      </c>
      <c r="E141" s="5" t="str">
        <f>IFERROR(__xludf.DUMMYFUNCTION("REGEXREPLACE(REGEXEXTRACT(H141, ""б\)\s*(.*?)\s*в\)""), ""^\s*"", """")"),"Уголь")</f>
        <v>Уголь</v>
      </c>
      <c r="F141" s="5" t="str">
        <f>IFERROR(__xludf.DUMMYFUNCTION("REGEXREPLACE(REGEXEXTRACT(H141, ""в\)\s*(.*?)\s*г\)""), ""^\s*"", """")"),"Железо")</f>
        <v>Железо</v>
      </c>
      <c r="G141" s="5" t="str">
        <f>IFERROR(__xludf.DUMMYFUNCTION("REGEXREPLACE(REGEXEXTRACT(H141, ""г\)\s*(.*)""), ""^\s*"", """")"),"Золото")</f>
        <v>Золото</v>
      </c>
      <c r="H141" s="6" t="s">
        <v>50</v>
      </c>
    </row>
    <row r="142" ht="15.75" hidden="1" customHeight="1">
      <c r="A142" s="11"/>
      <c r="B142" s="11"/>
      <c r="C142" s="11"/>
      <c r="D142" s="11"/>
      <c r="E142" s="11"/>
      <c r="F142" s="11"/>
      <c r="G142" s="11"/>
      <c r="H142" s="7"/>
    </row>
    <row r="143" ht="15.75" hidden="1" customHeight="1">
      <c r="A143" s="11"/>
      <c r="B143" s="11"/>
      <c r="C143" s="11"/>
      <c r="D143" s="11"/>
      <c r="E143" s="11"/>
      <c r="F143" s="11"/>
      <c r="G143" s="11"/>
      <c r="H143" s="6"/>
    </row>
    <row r="144" ht="15.75" hidden="1" customHeight="1">
      <c r="A144" s="11"/>
      <c r="B144" s="11"/>
      <c r="C144" s="11"/>
      <c r="D144" s="11"/>
      <c r="E144" s="11"/>
      <c r="F144" s="11"/>
      <c r="G144" s="11"/>
      <c r="H144" s="7"/>
    </row>
    <row r="145" ht="15.75" customHeight="1">
      <c r="A145" s="5" t="str">
        <f>IFERROR(__xludf.DUMMYFUNCTION("REGEXEXTRACT(H145, ""\d+\.\s*(.*?)\s*а\)"")"),"Какой предмет используется для стрельбы стрелами? ")</f>
        <v>Какой предмет используется для стрельбы стрелами? </v>
      </c>
      <c r="B145" s="5">
        <v>1.0</v>
      </c>
      <c r="C145" s="11"/>
      <c r="D145" s="5" t="str">
        <f>IFERROR(__xludf.DUMMYFUNCTION("REGEXREPLACE(REGEXEXTRACT(H145, ""а\)\s*(.*?)\s*б\)""), ""^\s*"", """")"),"Лук ")</f>
        <v>Лук </v>
      </c>
      <c r="E145" s="5" t="str">
        <f>IFERROR(__xludf.DUMMYFUNCTION("REGEXREPLACE(REGEXEXTRACT(H145, ""б\)\s*(.*?)\s*в\)""), ""^\s*"", """")"),"Меч")</f>
        <v>Меч</v>
      </c>
      <c r="F145" s="5" t="str">
        <f>IFERROR(__xludf.DUMMYFUNCTION("REGEXREPLACE(REGEXEXTRACT(H145, ""в\)\s*(.*?)\s*г\)""), ""^\s*"", """")"),"Топор")</f>
        <v>Топор</v>
      </c>
      <c r="G145" s="5" t="str">
        <f>IFERROR(__xludf.DUMMYFUNCTION("REGEXREPLACE(REGEXEXTRACT(H145, ""г\)\s*(.*)""), ""^\s*"", """")"),"Мотыга")</f>
        <v>Мотыга</v>
      </c>
      <c r="H145" s="6" t="s">
        <v>51</v>
      </c>
    </row>
    <row r="146" ht="15.75" hidden="1" customHeight="1">
      <c r="A146" s="11"/>
      <c r="B146" s="11"/>
      <c r="C146" s="11"/>
      <c r="D146" s="11"/>
      <c r="E146" s="11"/>
      <c r="F146" s="11"/>
      <c r="G146" s="11"/>
    </row>
    <row r="147" ht="15.75" hidden="1" customHeight="1">
      <c r="A147" s="11"/>
      <c r="B147" s="11"/>
      <c r="C147" s="11"/>
      <c r="D147" s="11"/>
      <c r="E147" s="11"/>
      <c r="F147" s="11"/>
      <c r="G147" s="11"/>
      <c r="H147" s="8"/>
    </row>
    <row r="148" ht="15.75" hidden="1" customHeight="1">
      <c r="A148" s="11"/>
      <c r="B148" s="11"/>
      <c r="C148" s="11"/>
      <c r="D148" s="11"/>
      <c r="E148" s="11"/>
      <c r="F148" s="11"/>
      <c r="G148" s="11"/>
      <c r="H148" s="7"/>
    </row>
    <row r="149" ht="15.75" hidden="1" customHeight="1">
      <c r="A149" s="11"/>
      <c r="B149" s="11"/>
      <c r="C149" s="11"/>
      <c r="D149" s="11"/>
      <c r="E149" s="11"/>
      <c r="F149" s="11"/>
      <c r="G149" s="11"/>
      <c r="H149" s="6"/>
    </row>
    <row r="150" ht="15.75" hidden="1" customHeight="1">
      <c r="A150" s="11"/>
      <c r="B150" s="11"/>
      <c r="C150" s="11"/>
      <c r="D150" s="11"/>
      <c r="E150" s="11"/>
      <c r="F150" s="11"/>
      <c r="G150" s="11"/>
      <c r="H150" s="7"/>
    </row>
    <row r="151" ht="15.75" customHeight="1">
      <c r="A151" s="5" t="str">
        <f>IFERROR(__xludf.DUMMYFUNCTION("REGEXEXTRACT(H151, ""\d+\.\s*(.*?)\s*а\)"")"),"Какой блок можно использовать для создания света? ")</f>
        <v>Какой блок можно использовать для создания света? </v>
      </c>
      <c r="B151" s="5">
        <v>1.0</v>
      </c>
      <c r="C151" s="11"/>
      <c r="D151" s="5" t="str">
        <f>IFERROR(__xludf.DUMMYFUNCTION("REGEXREPLACE(REGEXEXTRACT(H151, ""а\)\s*(.*?)\s*б\)""), ""^\s*"", """")"),"Факел ")</f>
        <v>Факел </v>
      </c>
      <c r="E151" s="5" t="str">
        <f>IFERROR(__xludf.DUMMYFUNCTION("REGEXREPLACE(REGEXEXTRACT(H151, ""б\)\s*(.*?)\s*в\)""), ""^\s*"", """")"),"Земля")</f>
        <v>Земля</v>
      </c>
      <c r="F151" s="5" t="str">
        <f>IFERROR(__xludf.DUMMYFUNCTION("REGEXREPLACE(REGEXEXTRACT(H151, ""в\)\s*(.*?)\s*г\)""), ""^\s*"", """")"),"Камень")</f>
        <v>Камень</v>
      </c>
      <c r="G151" s="5" t="str">
        <f>IFERROR(__xludf.DUMMYFUNCTION("REGEXREPLACE(REGEXEXTRACT(H151, ""г\)\s*(.*)""), ""^\s*"", """")"),"Песок")</f>
        <v>Песок</v>
      </c>
      <c r="H151" s="6" t="s">
        <v>52</v>
      </c>
    </row>
    <row r="152" ht="15.75" hidden="1" customHeight="1">
      <c r="A152" s="11"/>
      <c r="B152" s="11"/>
      <c r="C152" s="11"/>
      <c r="D152" s="11"/>
      <c r="E152" s="11"/>
      <c r="F152" s="11"/>
      <c r="G152" s="11"/>
      <c r="H152" s="7"/>
    </row>
    <row r="153" ht="15.75" customHeight="1">
      <c r="A153" s="5" t="str">
        <f>IFERROR(__xludf.DUMMYFUNCTION("REGEXEXTRACT(H153, ""\d+\.\s*(.*?)\s*а\)"")"),"Какой блок используется для плавки руды? ")</f>
        <v>Какой блок используется для плавки руды? </v>
      </c>
      <c r="B153" s="5">
        <v>1.0</v>
      </c>
      <c r="C153" s="11"/>
      <c r="D153" s="5" t="str">
        <f>IFERROR(__xludf.DUMMYFUNCTION("REGEXREPLACE(REGEXEXTRACT(H153, ""а\)\s*(.*?)\s*б\)""), ""^\s*"", """")"),"Печь ")</f>
        <v>Печь </v>
      </c>
      <c r="E153" s="5" t="str">
        <f>IFERROR(__xludf.DUMMYFUNCTION("REGEXREPLACE(REGEXEXTRACT(H153, ""б\)\s*(.*?)\s*в\)""), ""^\s*"", """")"),"Верстак")</f>
        <v>Верстак</v>
      </c>
      <c r="F153" s="5" t="str">
        <f>IFERROR(__xludf.DUMMYFUNCTION("REGEXREPLACE(REGEXEXTRACT(H153, ""в\)\s*(.*?)\s*г\)""), ""^\s*"", """")"),"Сундук")</f>
        <v>Сундук</v>
      </c>
      <c r="G153" s="5" t="str">
        <f>IFERROR(__xludf.DUMMYFUNCTION("REGEXREPLACE(REGEXEXTRACT(H153, ""г\)\s*(.*)""), ""^\s*"", """")"),"Камень")</f>
        <v>Камень</v>
      </c>
      <c r="H153" s="6" t="s">
        <v>53</v>
      </c>
    </row>
    <row r="154" ht="15.75" hidden="1" customHeight="1">
      <c r="A154" s="11"/>
      <c r="B154" s="11"/>
      <c r="C154" s="11"/>
      <c r="D154" s="11"/>
      <c r="E154" s="11"/>
      <c r="F154" s="11"/>
      <c r="G154" s="11"/>
      <c r="H154" s="7"/>
    </row>
    <row r="155" ht="15.75" hidden="1" customHeight="1">
      <c r="A155" s="11"/>
      <c r="B155" s="11"/>
      <c r="C155" s="11"/>
      <c r="D155" s="11"/>
      <c r="E155" s="11"/>
      <c r="F155" s="11"/>
      <c r="G155" s="11"/>
      <c r="H155" s="6"/>
    </row>
    <row r="156" ht="15.75" hidden="1" customHeight="1">
      <c r="A156" s="11"/>
      <c r="B156" s="11"/>
      <c r="C156" s="11"/>
      <c r="D156" s="11"/>
      <c r="E156" s="11"/>
      <c r="F156" s="11"/>
      <c r="G156" s="11"/>
      <c r="H156" s="7"/>
    </row>
    <row r="157" ht="15.75" customHeight="1">
      <c r="A157" s="5" t="str">
        <f>IFERROR(__xludf.DUMMYFUNCTION("REGEXEXTRACT(H157, ""\d+\.\s*(.*?)\s*а\)"")"),"Какой блок используется для создания водяных лифтов? ")</f>
        <v>Какой блок используется для создания водяных лифтов? </v>
      </c>
      <c r="B157" s="5">
        <v>1.0</v>
      </c>
      <c r="C157" s="11"/>
      <c r="D157" s="5" t="str">
        <f>IFERROR(__xludf.DUMMYFUNCTION("REGEXREPLACE(REGEXEXTRACT(H157, ""а\)\s*(.*?)\s*б\)""), ""^\s*"", """")"),"Песок душ ")</f>
        <v>Песок душ </v>
      </c>
      <c r="E157" s="5" t="str">
        <f>IFERROR(__xludf.DUMMYFUNCTION("REGEXREPLACE(REGEXEXTRACT(H157, ""б\)\s*(.*?)\s*в\)""), ""^\s*"", """")"),"Факел")</f>
        <v>Факел</v>
      </c>
      <c r="F157" s="5" t="str">
        <f>IFERROR(__xludf.DUMMYFUNCTION("REGEXREPLACE(REGEXEXTRACT(H157, ""в\)\s*(.*?)\s*г\)""), ""^\s*"", """")"),"Камень")</f>
        <v>Камень</v>
      </c>
      <c r="G157" s="5" t="str">
        <f>IFERROR(__xludf.DUMMYFUNCTION("REGEXREPLACE(REGEXEXTRACT(H157, ""г\)\s*(.*)""), ""^\s*"", """")"),"Земля")</f>
        <v>Земля</v>
      </c>
      <c r="H157" s="6" t="s">
        <v>54</v>
      </c>
    </row>
    <row r="158" ht="15.75" hidden="1" customHeight="1">
      <c r="A158" s="11"/>
      <c r="B158" s="11"/>
      <c r="C158" s="11"/>
      <c r="D158" s="11"/>
      <c r="E158" s="11"/>
      <c r="F158" s="11"/>
      <c r="G158" s="11"/>
    </row>
    <row r="159" ht="15.75" hidden="1" customHeight="1">
      <c r="A159" s="11"/>
      <c r="B159" s="11"/>
      <c r="C159" s="11"/>
      <c r="D159" s="11"/>
      <c r="E159" s="11"/>
      <c r="F159" s="11"/>
      <c r="G159" s="11"/>
      <c r="H159" s="8"/>
    </row>
    <row r="160" ht="15.75" hidden="1" customHeight="1">
      <c r="A160" s="11"/>
      <c r="B160" s="11"/>
      <c r="C160" s="11"/>
      <c r="D160" s="11"/>
      <c r="E160" s="11"/>
      <c r="F160" s="11"/>
      <c r="G160" s="11"/>
      <c r="H160" s="7"/>
    </row>
    <row r="161" ht="15.75" hidden="1" customHeight="1">
      <c r="A161" s="11"/>
      <c r="B161" s="11"/>
      <c r="C161" s="11"/>
      <c r="D161" s="11"/>
      <c r="E161" s="11"/>
      <c r="F161" s="11"/>
      <c r="G161" s="11"/>
      <c r="H161" s="6"/>
    </row>
    <row r="162" ht="15.75" hidden="1" customHeight="1">
      <c r="A162" s="11"/>
      <c r="B162" s="11"/>
      <c r="C162" s="11"/>
      <c r="D162" s="11"/>
      <c r="E162" s="11"/>
      <c r="F162" s="11"/>
      <c r="G162" s="11"/>
      <c r="H162" s="7"/>
    </row>
    <row r="163" ht="15.75" hidden="1" customHeight="1">
      <c r="A163" s="11"/>
      <c r="B163" s="11"/>
      <c r="C163" s="11"/>
      <c r="D163" s="11"/>
      <c r="E163" s="11"/>
      <c r="F163" s="11"/>
      <c r="G163" s="11"/>
      <c r="H163" s="6"/>
    </row>
    <row r="164" ht="15.75" hidden="1" customHeight="1">
      <c r="A164" s="11"/>
      <c r="B164" s="11"/>
      <c r="C164" s="11"/>
      <c r="D164" s="11"/>
      <c r="E164" s="11"/>
      <c r="F164" s="11"/>
      <c r="G164" s="11"/>
      <c r="H164" s="7"/>
    </row>
    <row r="165" ht="15.75" hidden="1" customHeight="1">
      <c r="A165" s="11"/>
      <c r="B165" s="11"/>
      <c r="C165" s="11"/>
      <c r="D165" s="11"/>
      <c r="E165" s="11"/>
      <c r="F165" s="11"/>
      <c r="G165" s="11"/>
      <c r="H165" s="6"/>
    </row>
    <row r="166" ht="15.75" hidden="1" customHeight="1">
      <c r="A166" s="11"/>
      <c r="B166" s="11"/>
      <c r="C166" s="11"/>
      <c r="D166" s="11"/>
      <c r="E166" s="11"/>
      <c r="F166" s="11"/>
      <c r="G166" s="11"/>
      <c r="H166" s="7"/>
    </row>
    <row r="167" ht="15.75" hidden="1" customHeight="1">
      <c r="A167" s="11"/>
      <c r="B167" s="11"/>
      <c r="C167" s="11"/>
      <c r="D167" s="11"/>
      <c r="E167" s="11"/>
      <c r="F167" s="11"/>
      <c r="G167" s="11"/>
      <c r="H167" s="6"/>
    </row>
    <row r="168" ht="15.75" hidden="1" customHeight="1">
      <c r="A168" s="11"/>
      <c r="B168" s="11"/>
      <c r="C168" s="11"/>
      <c r="D168" s="11"/>
      <c r="E168" s="11"/>
      <c r="F168" s="11"/>
      <c r="G168" s="11"/>
      <c r="H168" s="7"/>
    </row>
    <row r="169" ht="15.75" hidden="1" customHeight="1">
      <c r="A169" s="11"/>
      <c r="B169" s="11"/>
      <c r="C169" s="11"/>
      <c r="D169" s="11"/>
      <c r="E169" s="11"/>
      <c r="F169" s="11"/>
      <c r="G169" s="11"/>
      <c r="H169" s="6"/>
    </row>
    <row r="170" ht="15.75" hidden="1" customHeight="1">
      <c r="A170" s="11"/>
      <c r="B170" s="11"/>
      <c r="C170" s="11"/>
      <c r="D170" s="11"/>
      <c r="E170" s="11"/>
      <c r="F170" s="11"/>
      <c r="G170" s="11"/>
    </row>
    <row r="171" ht="15.75" hidden="1" customHeight="1">
      <c r="A171" s="11"/>
      <c r="B171" s="11"/>
      <c r="C171" s="11"/>
      <c r="D171" s="11"/>
      <c r="E171" s="11"/>
      <c r="F171" s="11"/>
      <c r="G171" s="11"/>
      <c r="H171" s="8"/>
    </row>
    <row r="172" ht="15.75" hidden="1" customHeight="1">
      <c r="A172" s="11"/>
      <c r="B172" s="11"/>
      <c r="C172" s="11"/>
      <c r="D172" s="11"/>
      <c r="E172" s="11"/>
      <c r="F172" s="11"/>
      <c r="G172" s="11"/>
      <c r="H172" s="7"/>
    </row>
    <row r="173" ht="15.75" customHeight="1">
      <c r="A173" s="5" t="str">
        <f>IFERROR(__xludf.DUMMYFUNCTION("REGEXEXTRACT(H173, ""\d+\.\s*(.*?)\s*а\)"")"),"Как называется мир, который является “адом” в Minecraft? ")</f>
        <v>Как называется мир, который является “адом” в Minecraft? </v>
      </c>
      <c r="B173" s="5">
        <v>1.0</v>
      </c>
      <c r="C173" s="11"/>
      <c r="D173" s="5" t="str">
        <f>IFERROR(__xludf.DUMMYFUNCTION("REGEXREPLACE(REGEXEXTRACT(H173, ""а\)\s*(.*?)\s*б\)""), ""^\s*"", """")"),"Нижний мир ")</f>
        <v>Нижний мир </v>
      </c>
      <c r="E173" s="5" t="str">
        <f>IFERROR(__xludf.DUMMYFUNCTION("REGEXREPLACE(REGEXEXTRACT(H173, ""б\)\s*(.*?)\s*в\)""), ""^\s*"", """")"),"Край")</f>
        <v>Край</v>
      </c>
      <c r="F173" s="5" t="str">
        <f>IFERROR(__xludf.DUMMYFUNCTION("REGEXREPLACE(REGEXEXTRACT(H173, ""в\)\s*(.*?)\s*г\)""), ""^\s*"", """")"),"Верхний мир")</f>
        <v>Верхний мир</v>
      </c>
      <c r="G173" s="5" t="str">
        <f>IFERROR(__xludf.DUMMYFUNCTION("REGEXREPLACE(REGEXEXTRACT(H173, ""г\)\s*(.*)""), ""^\s*"", """")"),"Измерение грибов")</f>
        <v>Измерение грибов</v>
      </c>
      <c r="H173" s="6" t="s">
        <v>55</v>
      </c>
    </row>
    <row r="174" ht="15.75" hidden="1" customHeight="1">
      <c r="A174" s="11"/>
      <c r="B174" s="11"/>
      <c r="C174" s="11"/>
      <c r="D174" s="11"/>
      <c r="E174" s="11"/>
      <c r="F174" s="11"/>
      <c r="G174" s="11"/>
      <c r="H174" s="7"/>
    </row>
    <row r="175" ht="15.75" hidden="1" customHeight="1">
      <c r="A175" s="5" t="str">
        <f>IFERROR(__xludf.DUMMYFUNCTION("REGEXEXTRACT(H175, ""\d+\.\s*(.*?)\s*а\)"")"),"#N/A")</f>
        <v>#N/A</v>
      </c>
      <c r="B175" s="5">
        <v>1.0</v>
      </c>
      <c r="C175" s="11"/>
      <c r="D175" s="5" t="str">
        <f>IFERROR(__xludf.DUMMYFUNCTION("REGEXREPLACE(REGEXEXTRACT(H175, ""а\)\s*(.*?)\s*б\)""), ""^\s*"", """")"),"#N/A")</f>
        <v>#N/A</v>
      </c>
      <c r="E175" s="5" t="str">
        <f>IFERROR(__xludf.DUMMYFUNCTION("REGEXREPLACE(REGEXEXTRACT(H175, ""б\)\s*(.*?)\s*в\)""), ""^\s*"", """")"),"#N/A")</f>
        <v>#N/A</v>
      </c>
      <c r="F175" s="5" t="str">
        <f>IFERROR(__xludf.DUMMYFUNCTION("REGEXREPLACE(REGEXEXTRACT(H175, ""в\)\s*(.*?)\s*г\)""), ""^\s*"", """")"),"#N/A")</f>
        <v>#N/A</v>
      </c>
      <c r="G175" s="5" t="str">
        <f>IFERROR(__xludf.DUMMYFUNCTION("REGEXREPLACE(REGEXEXTRACT(H175, ""г\)\s*(.*)""), ""^\s*"", """")"),"#N/A")</f>
        <v>#N/A</v>
      </c>
      <c r="H175" s="6"/>
    </row>
    <row r="176" ht="15.75" hidden="1" customHeight="1">
      <c r="A176" s="11"/>
      <c r="B176" s="11"/>
      <c r="C176" s="11"/>
      <c r="D176" s="11"/>
      <c r="E176" s="11"/>
      <c r="F176" s="11"/>
      <c r="G176" s="11"/>
      <c r="H176" s="7"/>
    </row>
    <row r="177" ht="15.75" hidden="1" customHeight="1">
      <c r="A177" s="5" t="str">
        <f>IFERROR(__xludf.DUMMYFUNCTION("REGEXEXTRACT(H177, ""\d+\.\s*(.*?)\s*а\)"")"),"#N/A")</f>
        <v>#N/A</v>
      </c>
      <c r="B177" s="5">
        <v>1.0</v>
      </c>
      <c r="C177" s="11"/>
      <c r="D177" s="5" t="str">
        <f>IFERROR(__xludf.DUMMYFUNCTION("REGEXREPLACE(REGEXEXTRACT(H177, ""а\)\s*(.*?)\s*б\)""), ""^\s*"", """")"),"#N/A")</f>
        <v>#N/A</v>
      </c>
      <c r="E177" s="5" t="str">
        <f>IFERROR(__xludf.DUMMYFUNCTION("REGEXREPLACE(REGEXEXTRACT(H177, ""б\)\s*(.*?)\s*в\)""), ""^\s*"", """")"),"#N/A")</f>
        <v>#N/A</v>
      </c>
      <c r="F177" s="5" t="str">
        <f>IFERROR(__xludf.DUMMYFUNCTION("REGEXREPLACE(REGEXEXTRACT(H177, ""в\)\s*(.*?)\s*г\)""), ""^\s*"", """")"),"#N/A")</f>
        <v>#N/A</v>
      </c>
      <c r="G177" s="5" t="str">
        <f>IFERROR(__xludf.DUMMYFUNCTION("REGEXREPLACE(REGEXEXTRACT(H177, ""г\)\s*(.*)""), ""^\s*"", """")"),"#N/A")</f>
        <v>#N/A</v>
      </c>
      <c r="H177" s="6"/>
    </row>
    <row r="178" ht="15.75" hidden="1" customHeight="1">
      <c r="A178" s="11"/>
      <c r="B178" s="11"/>
      <c r="C178" s="11"/>
      <c r="D178" s="11"/>
      <c r="E178" s="11"/>
      <c r="F178" s="11"/>
      <c r="G178" s="11"/>
      <c r="H178" s="7"/>
    </row>
    <row r="179" ht="15.75" customHeight="1">
      <c r="A179" s="5" t="str">
        <f>IFERROR(__xludf.DUMMYFUNCTION("REGEXEXTRACT(H179, ""\d+\.\s*(.*?)\s*а\)"")"),"Что является основной валютой для торговли с жителями деревни? ")</f>
        <v>Что является основной валютой для торговли с жителями деревни? </v>
      </c>
      <c r="B179" s="5">
        <v>1.0</v>
      </c>
      <c r="C179" s="11"/>
      <c r="D179" s="5" t="str">
        <f>IFERROR(__xludf.DUMMYFUNCTION("REGEXREPLACE(REGEXEXTRACT(H179, ""а\)\s*(.*?)\s*б\)""), ""^\s*"", """")"),"Изумруды ")</f>
        <v>Изумруды </v>
      </c>
      <c r="E179" s="5" t="str">
        <f>IFERROR(__xludf.DUMMYFUNCTION("REGEXREPLACE(REGEXEXTRACT(H179, ""б\)\s*(.*?)\s*в\)""), ""^\s*"", """")"),"Золото")</f>
        <v>Золото</v>
      </c>
      <c r="F179" s="5" t="str">
        <f>IFERROR(__xludf.DUMMYFUNCTION("REGEXREPLACE(REGEXEXTRACT(H179, ""в\)\s*(.*?)\s*г\)""), ""^\s*"", """")"),"Железо")</f>
        <v>Железо</v>
      </c>
      <c r="G179" s="5" t="str">
        <f>IFERROR(__xludf.DUMMYFUNCTION("REGEXREPLACE(REGEXEXTRACT(H179, ""г\)\s*(.*)""), ""^\s*"", """")"),"Алмазы")</f>
        <v>Алмазы</v>
      </c>
      <c r="H179" s="6" t="s">
        <v>56</v>
      </c>
    </row>
    <row r="180" ht="15.75" hidden="1" customHeight="1">
      <c r="A180" s="11"/>
      <c r="B180" s="11"/>
      <c r="C180" s="11"/>
      <c r="D180" s="11"/>
      <c r="E180" s="11"/>
      <c r="F180" s="11"/>
      <c r="G180" s="11"/>
      <c r="H180" s="7"/>
    </row>
    <row r="181" ht="15.75" hidden="1" customHeight="1">
      <c r="A181" s="11"/>
      <c r="B181" s="11"/>
      <c r="C181" s="11"/>
      <c r="D181" s="11"/>
      <c r="E181" s="11"/>
      <c r="F181" s="11"/>
      <c r="G181" s="11"/>
      <c r="H181" s="6"/>
    </row>
    <row r="182" ht="15.75" hidden="1" customHeight="1">
      <c r="A182" s="11"/>
      <c r="B182" s="11"/>
      <c r="C182" s="11"/>
      <c r="D182" s="11"/>
      <c r="E182" s="11"/>
      <c r="F182" s="11"/>
      <c r="G182" s="11"/>
    </row>
    <row r="183" ht="15.75" hidden="1" customHeight="1">
      <c r="A183" s="11"/>
      <c r="B183" s="11"/>
      <c r="C183" s="11"/>
      <c r="D183" s="11"/>
      <c r="E183" s="11"/>
      <c r="F183" s="11"/>
      <c r="G183" s="11"/>
      <c r="H183" s="8"/>
    </row>
    <row r="184" ht="15.75" hidden="1" customHeight="1">
      <c r="A184" s="11"/>
      <c r="B184" s="11"/>
      <c r="C184" s="11"/>
      <c r="D184" s="11"/>
      <c r="E184" s="11"/>
      <c r="F184" s="11"/>
      <c r="G184" s="11"/>
      <c r="H184" s="7"/>
    </row>
    <row r="185" ht="15.75" customHeight="1">
      <c r="A185" s="5" t="str">
        <f>IFERROR(__xludf.DUMMYFUNCTION("REGEXEXTRACT(H185, ""\d+\.\s*(.*?)\s*а\)"")"),"Какое животное можно вырастить из яйца? ")</f>
        <v>Какое животное можно вырастить из яйца? </v>
      </c>
      <c r="B185" s="5">
        <v>1.0</v>
      </c>
      <c r="C185" s="11"/>
      <c r="D185" s="5" t="str">
        <f>IFERROR(__xludf.DUMMYFUNCTION("REGEXREPLACE(REGEXEXTRACT(H185, ""а\)\s*(.*?)\s*б\)""), ""^\s*"", """")"),"Курица ")</f>
        <v>Курица </v>
      </c>
      <c r="E185" s="5" t="str">
        <f>IFERROR(__xludf.DUMMYFUNCTION("REGEXREPLACE(REGEXEXTRACT(H185, ""б\)\s*(.*?)\s*в\)""), ""^\s*"", """")"),"Овца")</f>
        <v>Овца</v>
      </c>
      <c r="F185" s="5" t="str">
        <f>IFERROR(__xludf.DUMMYFUNCTION("REGEXREPLACE(REGEXEXTRACT(H185, ""в\)\s*(.*?)\s*г\)""), ""^\s*"", """")"),"Свинья")</f>
        <v>Свинья</v>
      </c>
      <c r="G185" s="5" t="str">
        <f>IFERROR(__xludf.DUMMYFUNCTION("REGEXREPLACE(REGEXEXTRACT(H185, ""г\)\s*(.*)""), ""^\s*"", """")"),"Корова")</f>
        <v>Корова</v>
      </c>
      <c r="H185" s="6" t="s">
        <v>57</v>
      </c>
    </row>
    <row r="186" ht="15.75" hidden="1" customHeight="1">
      <c r="A186" s="11"/>
      <c r="B186" s="11"/>
      <c r="C186" s="11"/>
      <c r="D186" s="11"/>
      <c r="E186" s="11"/>
      <c r="F186" s="11"/>
      <c r="G186" s="11"/>
      <c r="H186" s="7"/>
    </row>
    <row r="187" ht="15.75" customHeight="1">
      <c r="A187" s="5" t="str">
        <f>IFERROR(__xludf.DUMMYFUNCTION("REGEXEXTRACT(H187, ""\d+\.\s*(.*?)\s*а\)"")"),"Какой предмет используется для создания лодки? ")</f>
        <v>Какой предмет используется для создания лодки? </v>
      </c>
      <c r="B187" s="5">
        <v>1.0</v>
      </c>
      <c r="C187" s="11"/>
      <c r="D187" s="5" t="str">
        <f>IFERROR(__xludf.DUMMYFUNCTION("REGEXREPLACE(REGEXEXTRACT(H187, ""а\)\s*(.*?)\s*б\)""), ""^\s*"", """")"),"Дерево ")</f>
        <v>Дерево </v>
      </c>
      <c r="E187" s="5" t="str">
        <f>IFERROR(__xludf.DUMMYFUNCTION("REGEXREPLACE(REGEXEXTRACT(H187, ""б\)\s*(.*?)\s*в\)""), ""^\s*"", """")"),"Железо")</f>
        <v>Железо</v>
      </c>
      <c r="F187" s="5" t="str">
        <f>IFERROR(__xludf.DUMMYFUNCTION("REGEXREPLACE(REGEXEXTRACT(H187, ""в\)\s*(.*?)\s*г\)""), ""^\s*"", """")"),"Алмазы")</f>
        <v>Алмазы</v>
      </c>
      <c r="G187" s="5" t="str">
        <f>IFERROR(__xludf.DUMMYFUNCTION("REGEXREPLACE(REGEXEXTRACT(H187, ""г\)\s*(.*)""), ""^\s*"", """")"),"Обсидиан")</f>
        <v>Обсидиан</v>
      </c>
      <c r="H187" s="6" t="s">
        <v>58</v>
      </c>
    </row>
    <row r="188" ht="15.75" hidden="1" customHeight="1">
      <c r="A188" s="11"/>
      <c r="B188" s="11"/>
      <c r="C188" s="11"/>
      <c r="D188" s="11"/>
      <c r="E188" s="11"/>
      <c r="F188" s="11"/>
      <c r="G188" s="11"/>
      <c r="H188" s="7"/>
    </row>
    <row r="189" ht="15.75" hidden="1" customHeight="1">
      <c r="A189" s="11"/>
      <c r="B189" s="11"/>
      <c r="C189" s="11"/>
      <c r="D189" s="11"/>
      <c r="E189" s="11"/>
      <c r="F189" s="11"/>
      <c r="G189" s="11"/>
      <c r="H189" s="6"/>
    </row>
    <row r="190" ht="15.75" hidden="1" customHeight="1">
      <c r="A190" s="11"/>
      <c r="B190" s="11"/>
      <c r="C190" s="11"/>
      <c r="D190" s="11"/>
      <c r="E190" s="11"/>
      <c r="F190" s="11"/>
      <c r="G190" s="11"/>
      <c r="H190" s="7"/>
    </row>
    <row r="191" ht="15.75" customHeight="1">
      <c r="A191" s="5" t="str">
        <f>IFERROR(__xludf.DUMMYFUNCTION("REGEXEXTRACT(H191, ""\d+\.\s*(.*?)\s*а\)"")"),"Какой блок можно использовать для создания портала в Нижний мир? ")</f>
        <v>Какой блок можно использовать для создания портала в Нижний мир? </v>
      </c>
      <c r="B191" s="5">
        <v>1.0</v>
      </c>
      <c r="C191" s="11"/>
      <c r="D191" s="5" t="str">
        <f>IFERROR(__xludf.DUMMYFUNCTION("REGEXREPLACE(REGEXEXTRACT(H191, ""а\)\s*(.*?)\s*б\)""), ""^\s*"", """")"),"Обсидиан ")</f>
        <v>Обсидиан </v>
      </c>
      <c r="E191" s="5" t="str">
        <f>IFERROR(__xludf.DUMMYFUNCTION("REGEXREPLACE(REGEXEXTRACT(H191, ""б\)\s*(.*?)\s*в\)""), ""^\s*"", """")"),"Железо")</f>
        <v>Железо</v>
      </c>
      <c r="F191" s="5" t="str">
        <f>IFERROR(__xludf.DUMMYFUNCTION("REGEXREPLACE(REGEXEXTRACT(H191, ""в\)\s*(.*?)\s*г\)""), ""^\s*"", """")"),"Золото")</f>
        <v>Золото</v>
      </c>
      <c r="G191" s="5" t="str">
        <f>IFERROR(__xludf.DUMMYFUNCTION("REGEXREPLACE(REGEXEXTRACT(H191, ""г\)\s*(.*)""), ""^\s*"", """")"),"Алмаз")</f>
        <v>Алмаз</v>
      </c>
      <c r="H191" s="6" t="s">
        <v>59</v>
      </c>
    </row>
    <row r="192" ht="15.75" hidden="1" customHeight="1">
      <c r="A192" s="11"/>
      <c r="B192" s="11"/>
      <c r="C192" s="11"/>
      <c r="D192" s="11"/>
      <c r="E192" s="11"/>
      <c r="F192" s="11"/>
      <c r="G192" s="11"/>
      <c r="H192" s="7"/>
    </row>
    <row r="193" ht="15.75" hidden="1" customHeight="1">
      <c r="A193" s="11"/>
      <c r="B193" s="11"/>
      <c r="C193" s="11"/>
      <c r="D193" s="11"/>
      <c r="E193" s="11"/>
      <c r="F193" s="11"/>
      <c r="G193" s="11"/>
      <c r="H193" s="6"/>
    </row>
    <row r="194" ht="15.75" hidden="1" customHeight="1">
      <c r="A194" s="11"/>
      <c r="B194" s="11"/>
      <c r="C194" s="11"/>
      <c r="D194" s="11"/>
      <c r="E194" s="11"/>
      <c r="F194" s="11"/>
      <c r="G194" s="11"/>
    </row>
    <row r="195" ht="15.75" hidden="1" customHeight="1">
      <c r="A195" s="11"/>
      <c r="B195" s="11"/>
      <c r="C195" s="11"/>
      <c r="D195" s="11"/>
      <c r="E195" s="11"/>
      <c r="F195" s="11"/>
      <c r="G195" s="11"/>
      <c r="H195" s="8"/>
    </row>
    <row r="196" ht="15.75" hidden="1" customHeight="1">
      <c r="A196" s="11"/>
      <c r="B196" s="11"/>
      <c r="C196" s="11"/>
      <c r="D196" s="11"/>
      <c r="E196" s="11"/>
      <c r="F196" s="11"/>
      <c r="G196" s="11"/>
      <c r="H196" s="7"/>
    </row>
    <row r="197" ht="15.75" hidden="1" customHeight="1">
      <c r="A197" s="11"/>
      <c r="B197" s="11"/>
      <c r="C197" s="11"/>
      <c r="D197" s="11"/>
      <c r="E197" s="11"/>
      <c r="F197" s="11"/>
      <c r="G197" s="11"/>
      <c r="H197" s="6"/>
    </row>
    <row r="198" ht="15.75" hidden="1" customHeight="1">
      <c r="A198" s="11"/>
      <c r="B198" s="11"/>
      <c r="C198" s="11"/>
      <c r="D198" s="11"/>
      <c r="E198" s="11"/>
      <c r="F198" s="11"/>
      <c r="G198" s="11"/>
      <c r="H198" s="7"/>
    </row>
    <row r="199" ht="15.75" customHeight="1">
      <c r="A199" s="5" t="str">
        <f>IFERROR(__xludf.DUMMYFUNCTION("REGEXEXTRACT(H199, ""\d+\.\s*(.*?)\s*а\)"")"),"Как называется режим игры, в котором у игрока есть только одна жизнь? ")</f>
        <v>Как называется режим игры, в котором у игрока есть только одна жизнь? </v>
      </c>
      <c r="B199" s="5">
        <v>1.0</v>
      </c>
      <c r="C199" s="11"/>
      <c r="D199" s="5" t="str">
        <f>IFERROR(__xludf.DUMMYFUNCTION("REGEXREPLACE(REGEXEXTRACT(H199, ""а\)\s*(.*?)\s*б\)""), ""^\s*"", """")"),"Хардкор ")</f>
        <v>Хардкор </v>
      </c>
      <c r="E199" s="5" t="str">
        <f>IFERROR(__xludf.DUMMYFUNCTION("REGEXREPLACE(REGEXEXTRACT(H199, ""б\)\s*(.*?)\s*в\)""), ""^\s*"", """")"),"Выживание")</f>
        <v>Выживание</v>
      </c>
      <c r="F199" s="5" t="str">
        <f>IFERROR(__xludf.DUMMYFUNCTION("REGEXREPLACE(REGEXEXTRACT(H199, ""в\)\s*(.*?)\s*г\)""), ""^\s*"", """")"),"Приключение")</f>
        <v>Приключение</v>
      </c>
      <c r="G199" s="5" t="str">
        <f>IFERROR(__xludf.DUMMYFUNCTION("REGEXREPLACE(REGEXEXTRACT(H199, ""г\)\s*(.*)""), ""^\s*"", """")"),"Креатив")</f>
        <v>Креатив</v>
      </c>
      <c r="H199" s="6" t="s">
        <v>60</v>
      </c>
    </row>
    <row r="200" ht="15.75" hidden="1" customHeight="1">
      <c r="A200" s="11"/>
      <c r="B200" s="11"/>
      <c r="C200" s="11"/>
      <c r="D200" s="11"/>
      <c r="E200" s="11"/>
      <c r="F200" s="11"/>
      <c r="G200" s="11"/>
      <c r="H200" s="7"/>
    </row>
    <row r="201" ht="15.75" customHeight="1">
      <c r="A201" s="5" t="str">
        <f>IFERROR(__xludf.DUMMYFUNCTION("REGEXEXTRACT(H201, ""\d+\.\s*(.*?)\s*а\)"")"),"Как называется режим игры, в котором нужно добывать ресурсы и выживать? ")</f>
        <v>Как называется режим игры, в котором нужно добывать ресурсы и выживать? </v>
      </c>
      <c r="B201" s="5">
        <v>1.0</v>
      </c>
      <c r="C201" s="11"/>
      <c r="D201" s="5" t="str">
        <f>IFERROR(__xludf.DUMMYFUNCTION("REGEXREPLACE(REGEXEXTRACT(H201, ""а\)\s*(.*?)\s*б\)""), ""^\s*"", """")"),"Выживание ")</f>
        <v>Выживание </v>
      </c>
      <c r="E201" s="5" t="str">
        <f>IFERROR(__xludf.DUMMYFUNCTION("REGEXREPLACE(REGEXEXTRACT(H201, ""б\)\s*(.*?)\s*в\)""), ""^\s*"", """")"),"Хардкор")</f>
        <v>Хардкор</v>
      </c>
      <c r="F201" s="5" t="str">
        <f>IFERROR(__xludf.DUMMYFUNCTION("REGEXREPLACE(REGEXEXTRACT(H201, ""в\)\s*(.*?)\s*г\)""), ""^\s*"", """")"),"Креатив")</f>
        <v>Креатив</v>
      </c>
      <c r="G201" s="5" t="str">
        <f>IFERROR(__xludf.DUMMYFUNCTION("REGEXREPLACE(REGEXEXTRACT(H201, ""г\)\s*(.*)""), ""^\s*"", """")"),"Приключение")</f>
        <v>Приключение</v>
      </c>
      <c r="H201" s="6" t="s">
        <v>61</v>
      </c>
    </row>
    <row r="202" ht="15.75" hidden="1" customHeight="1">
      <c r="A202" s="11"/>
      <c r="B202" s="11"/>
      <c r="C202" s="11"/>
      <c r="D202" s="11"/>
      <c r="E202" s="11"/>
      <c r="F202" s="11"/>
      <c r="G202" s="11"/>
      <c r="H202" s="7"/>
    </row>
    <row r="203" ht="15.75" customHeight="1">
      <c r="A203" s="5" t="str">
        <f>IFERROR(__xludf.DUMMYFUNCTION("REGEXEXTRACT(H203, ""\d+\.\s*(.*?)\s*а\)"")"),"Как называется режим игры, в котором нельзя ломать блоки? ")</f>
        <v>Как называется режим игры, в котором нельзя ломать блоки? </v>
      </c>
      <c r="B203" s="5">
        <v>1.0</v>
      </c>
      <c r="C203" s="11"/>
      <c r="D203" s="5" t="str">
        <f>IFERROR(__xludf.DUMMYFUNCTION("REGEXREPLACE(REGEXEXTRACT(H203, ""а\)\s*(.*?)\s*б\)""), ""^\s*"", """")"),"Приключение ")</f>
        <v>Приключение </v>
      </c>
      <c r="E203" s="5" t="str">
        <f>IFERROR(__xludf.DUMMYFUNCTION("REGEXREPLACE(REGEXEXTRACT(H203, ""б\)\s*(.*?)\s*в\)""), ""^\s*"", """")"),"Хардкор")</f>
        <v>Хардкор</v>
      </c>
      <c r="F203" s="5" t="str">
        <f>IFERROR(__xludf.DUMMYFUNCTION("REGEXREPLACE(REGEXEXTRACT(H203, ""в\)\s*(.*?)\s*г\)""), ""^\s*"", """")"),"Выживание")</f>
        <v>Выживание</v>
      </c>
      <c r="G203" s="5" t="str">
        <f>IFERROR(__xludf.DUMMYFUNCTION("REGEXREPLACE(REGEXEXTRACT(H203, ""г\)\s*(.*)""), ""^\s*"", """")"),"Креатив")</f>
        <v>Креатив</v>
      </c>
      <c r="H203" s="6" t="s">
        <v>62</v>
      </c>
    </row>
    <row r="204" ht="15.75" hidden="1" customHeight="1">
      <c r="A204" s="11"/>
      <c r="B204" s="11"/>
      <c r="C204" s="11"/>
      <c r="D204" s="11"/>
      <c r="E204" s="11"/>
      <c r="F204" s="11"/>
      <c r="G204" s="11"/>
      <c r="H204" s="7"/>
    </row>
    <row r="205" ht="15.75" hidden="1" customHeight="1">
      <c r="A205" s="11"/>
      <c r="B205" s="11"/>
      <c r="C205" s="11"/>
      <c r="D205" s="11"/>
      <c r="E205" s="11"/>
      <c r="F205" s="11"/>
      <c r="G205" s="11"/>
      <c r="H205" s="6"/>
    </row>
    <row r="206" ht="15.75" hidden="1" customHeight="1">
      <c r="A206" s="11"/>
      <c r="B206" s="11"/>
      <c r="C206" s="11"/>
      <c r="D206" s="11"/>
      <c r="E206" s="11"/>
      <c r="F206" s="11"/>
      <c r="G206" s="11"/>
    </row>
    <row r="207" ht="15.75" hidden="1" customHeight="1">
      <c r="A207" s="11"/>
      <c r="B207" s="11"/>
      <c r="C207" s="11"/>
      <c r="D207" s="11"/>
      <c r="E207" s="11"/>
      <c r="F207" s="11"/>
      <c r="G207" s="11"/>
      <c r="H207" s="8"/>
    </row>
    <row r="208" ht="15.75" hidden="1" customHeight="1">
      <c r="A208" s="11"/>
      <c r="B208" s="11"/>
      <c r="C208" s="11"/>
      <c r="D208" s="11"/>
      <c r="E208" s="11"/>
      <c r="F208" s="11"/>
      <c r="G208" s="11"/>
      <c r="H208" s="7"/>
    </row>
    <row r="209" ht="15.75" customHeight="1">
      <c r="A209" s="5" t="str">
        <f>IFERROR(__xludf.DUMMYFUNCTION("REGEXEXTRACT(H209, ""\d+\.\s*(.*?)\s*а\)"")"),"В каком обновлении были добавлены лисы? ")</f>
        <v>В каком обновлении были добавлены лисы? </v>
      </c>
      <c r="B209" s="5">
        <v>1.0</v>
      </c>
      <c r="C209" s="11"/>
      <c r="D209" s="5" t="str">
        <f>IFERROR(__xludf.DUMMYFUNCTION("REGEXREPLACE(REGEXEXTRACT(H209, ""а\)\s*(.*?)\s*б\)""), ""^\s*"", """")"),"1.14 ")</f>
        <v>1.14 </v>
      </c>
      <c r="E209" s="5" t="str">
        <f>IFERROR(__xludf.DUMMYFUNCTION("REGEXREPLACE(REGEXEXTRACT(H209, ""б\)\s*(.*?)\s*в\)""), ""^\s*"", """")"),"1.16")</f>
        <v>1.16</v>
      </c>
      <c r="F209" s="5" t="str">
        <f>IFERROR(__xludf.DUMMYFUNCTION("REGEXREPLACE(REGEXEXTRACT(H209, ""в\)\s*(.*?)\s*г\)""), ""^\s*"", """")"),"1.17")</f>
        <v>1.17</v>
      </c>
      <c r="G209" s="5" t="str">
        <f>IFERROR(__xludf.DUMMYFUNCTION("REGEXREPLACE(REGEXEXTRACT(H209, ""г\)\s*(.*)""), ""^\s*"", """")"),"1.18")</f>
        <v>1.18</v>
      </c>
      <c r="H209" s="6" t="s">
        <v>63</v>
      </c>
    </row>
    <row r="210" ht="15.75" hidden="1" customHeight="1">
      <c r="A210" s="11"/>
      <c r="B210" s="11"/>
      <c r="C210" s="11"/>
      <c r="D210" s="11"/>
      <c r="E210" s="11"/>
      <c r="F210" s="11"/>
      <c r="G210" s="11"/>
      <c r="H210" s="7"/>
    </row>
    <row r="211" ht="15.75" customHeight="1">
      <c r="A211" s="5" t="str">
        <f>IFERROR(__xludf.DUMMYFUNCTION("REGEXEXTRACT(H211, ""\d+\.\s*(.*?)\s*а\)"")"),"В каком обновлении были добавлены незеритовые предметы? ")</f>
        <v>В каком обновлении были добавлены незеритовые предметы? </v>
      </c>
      <c r="B211" s="5">
        <v>1.0</v>
      </c>
      <c r="C211" s="11"/>
      <c r="D211" s="5" t="str">
        <f>IFERROR(__xludf.DUMMYFUNCTION("REGEXREPLACE(REGEXEXTRACT(H211, ""а\)\s*(.*?)\s*б\)""), ""^\s*"", """")"),"1.16 ")</f>
        <v>1.16 </v>
      </c>
      <c r="E211" s="5" t="str">
        <f>IFERROR(__xludf.DUMMYFUNCTION("REGEXREPLACE(REGEXEXTRACT(H211, ""б\)\s*(.*?)\s*в\)""), ""^\s*"", """")"),"1.14")</f>
        <v>1.14</v>
      </c>
      <c r="F211" s="5" t="str">
        <f>IFERROR(__xludf.DUMMYFUNCTION("REGEXREPLACE(REGEXEXTRACT(H211, ""в\)\s*(.*?)\s*г\)""), ""^\s*"", """")"),"1.17")</f>
        <v>1.17</v>
      </c>
      <c r="G211" s="5" t="str">
        <f>IFERROR(__xludf.DUMMYFUNCTION("REGEXREPLACE(REGEXEXTRACT(H211, ""г\)\s*(.*)""), ""^\s*"", """")"),"1.18")</f>
        <v>1.18</v>
      </c>
      <c r="H211" s="6" t="s">
        <v>64</v>
      </c>
    </row>
    <row r="212" ht="15.75" hidden="1" customHeight="1">
      <c r="A212" s="11"/>
      <c r="B212" s="11"/>
      <c r="C212" s="11"/>
      <c r="D212" s="11"/>
      <c r="E212" s="11"/>
      <c r="F212" s="11"/>
      <c r="G212" s="11"/>
      <c r="H212" s="7"/>
    </row>
    <row r="213" ht="15.75" customHeight="1">
      <c r="A213" s="5" t="str">
        <f>IFERROR(__xludf.DUMMYFUNCTION("REGEXEXTRACT(H213, ""\d+\.\s*(.*?)\s*а\)"")"),"В каком обновлении был добавлен Варден? ")</f>
        <v>В каком обновлении был добавлен Варден? </v>
      </c>
      <c r="B213" s="5">
        <v>1.0</v>
      </c>
      <c r="C213" s="11"/>
      <c r="D213" s="5" t="str">
        <f>IFERROR(__xludf.DUMMYFUNCTION("REGEXREPLACE(REGEXEXTRACT(H213, ""а\)\s*(.*?)\s*б\)""), ""^\s*"", """")"),"1.19 ")</f>
        <v>1.19 </v>
      </c>
      <c r="E213" s="5" t="str">
        <f>IFERROR(__xludf.DUMMYFUNCTION("REGEXREPLACE(REGEXEXTRACT(H213, ""б\)\s*(.*?)\s*в\)""), ""^\s*"", """")"),"1.17")</f>
        <v>1.17</v>
      </c>
      <c r="F213" s="5" t="str">
        <f>IFERROR(__xludf.DUMMYFUNCTION("REGEXREPLACE(REGEXEXTRACT(H213, ""в\)\s*(.*?)\s*г\)""), ""^\s*"", """")"),"1.16")</f>
        <v>1.16</v>
      </c>
      <c r="G213" s="5" t="str">
        <f>IFERROR(__xludf.DUMMYFUNCTION("REGEXREPLACE(REGEXEXTRACT(H213, ""г\)\s*(.*)""), ""^\s*"", """")"),"1.15")</f>
        <v>1.15</v>
      </c>
      <c r="H213" s="6" t="s">
        <v>65</v>
      </c>
    </row>
    <row r="214" ht="15.75" hidden="1" customHeight="1">
      <c r="A214" s="11"/>
      <c r="B214" s="11"/>
      <c r="C214" s="11"/>
      <c r="D214" s="11"/>
      <c r="E214" s="11"/>
      <c r="F214" s="11"/>
      <c r="G214" s="11"/>
      <c r="H214" s="7"/>
    </row>
    <row r="215" ht="15.75" customHeight="1">
      <c r="A215" s="5" t="str">
        <f>IFERROR(__xludf.DUMMYFUNCTION("REGEXEXTRACT(H215, ""\d+\.\s*(.*?)\s*а\)"")"),"В каком обновлении были добавлены аксолотли? ")</f>
        <v>В каком обновлении были добавлены аксолотли? </v>
      </c>
      <c r="B215" s="5">
        <v>1.0</v>
      </c>
      <c r="C215" s="11"/>
      <c r="D215" s="5" t="str">
        <f>IFERROR(__xludf.DUMMYFUNCTION("REGEXREPLACE(REGEXEXTRACT(H215, ""а\)\s*(.*?)\s*б\)""), ""^\s*"", """")"),"1.17 ")</f>
        <v>1.17 </v>
      </c>
      <c r="E215" s="5" t="str">
        <f>IFERROR(__xludf.DUMMYFUNCTION("REGEXREPLACE(REGEXEXTRACT(H215, ""б\)\s*(.*?)\s*в\)""), ""^\s*"", """")"),"1.19")</f>
        <v>1.19</v>
      </c>
      <c r="F215" s="5" t="str">
        <f>IFERROR(__xludf.DUMMYFUNCTION("REGEXREPLACE(REGEXEXTRACT(H215, ""в\)\s*(.*?)\s*г\)""), ""^\s*"", """")"),"1.16")</f>
        <v>1.16</v>
      </c>
      <c r="G215" s="5" t="str">
        <f>IFERROR(__xludf.DUMMYFUNCTION("REGEXREPLACE(REGEXEXTRACT(H215, ""г\)\s*(.*)""), ""^\s*"", """")"),"1.15")</f>
        <v>1.15</v>
      </c>
      <c r="H215" s="6" t="s">
        <v>66</v>
      </c>
    </row>
    <row r="216" ht="15.75" hidden="1" customHeight="1">
      <c r="A216" s="11"/>
      <c r="B216" s="11"/>
      <c r="C216" s="11"/>
      <c r="D216" s="11"/>
      <c r="E216" s="11"/>
      <c r="F216" s="11"/>
      <c r="G216" s="11"/>
      <c r="H216" s="7"/>
    </row>
    <row r="217" ht="15.75" customHeight="1">
      <c r="A217" s="5" t="str">
        <f>IFERROR(__xludf.DUMMYFUNCTION("REGEXEXTRACT(H217, ""\d+\.\s*(.*?)\s*а\)"")"),"В каком обновлении были добавлены пещеры и скалы? ")</f>
        <v>В каком обновлении были добавлены пещеры и скалы? </v>
      </c>
      <c r="B217" s="5">
        <v>1.0</v>
      </c>
      <c r="C217" s="11"/>
      <c r="D217" s="5" t="str">
        <f>IFERROR(__xludf.DUMMYFUNCTION("REGEXREPLACE(REGEXEXTRACT(H217, ""а\)\s*(.*?)\s*б\)""), ""^\s*"", """")"),"1.18 ")</f>
        <v>1.18 </v>
      </c>
      <c r="E217" s="5" t="str">
        <f>IFERROR(__xludf.DUMMYFUNCTION("REGEXREPLACE(REGEXEXTRACT(H217, ""б\)\s*(.*?)\s*в\)""), ""^\s*"", """")"),"1.17")</f>
        <v>1.17</v>
      </c>
      <c r="F217" s="5" t="str">
        <f>IFERROR(__xludf.DUMMYFUNCTION("REGEXREPLACE(REGEXEXTRACT(H217, ""в\)\s*(.*?)\s*г\)""), ""^\s*"", """")"),"1.19")</f>
        <v>1.19</v>
      </c>
      <c r="G217" s="5" t="str">
        <f>IFERROR(__xludf.DUMMYFUNCTION("REGEXREPLACE(REGEXEXTRACT(H217, ""г\)\s*(.*)""), ""^\s*"", """")"),"1.16")</f>
        <v>1.16</v>
      </c>
      <c r="H217" s="6" t="s">
        <v>67</v>
      </c>
    </row>
    <row r="218" ht="15.75" hidden="1" customHeight="1">
      <c r="A218" s="11"/>
      <c r="B218" s="11"/>
      <c r="C218" s="11"/>
      <c r="D218" s="11"/>
      <c r="E218" s="11"/>
      <c r="F218" s="11"/>
      <c r="G218" s="11"/>
    </row>
    <row r="219" ht="15.75" hidden="1" customHeight="1">
      <c r="A219" s="11"/>
      <c r="B219" s="11"/>
      <c r="C219" s="11"/>
      <c r="D219" s="11"/>
      <c r="E219" s="11"/>
      <c r="F219" s="11"/>
      <c r="G219" s="11"/>
      <c r="H219" s="8"/>
    </row>
    <row r="220" ht="15.75" hidden="1" customHeight="1">
      <c r="A220" s="11"/>
      <c r="B220" s="11"/>
      <c r="C220" s="11"/>
      <c r="D220" s="11"/>
      <c r="E220" s="11"/>
      <c r="F220" s="11"/>
      <c r="G220" s="11"/>
      <c r="H220" s="7"/>
    </row>
    <row r="221" ht="15.75" customHeight="1">
      <c r="A221" s="5" t="str">
        <f>IFERROR(__xludf.DUMMYFUNCTION("REGEXEXTRACT(H221, ""\d+\.\s*(.*?)\s*а\)"")"),"Какая механика используется для создания сложных механизмов? ")</f>
        <v>Какая механика используется для создания сложных механизмов? </v>
      </c>
      <c r="B221" s="5">
        <v>1.0</v>
      </c>
      <c r="C221" s="11"/>
      <c r="D221" s="5" t="str">
        <f>IFERROR(__xludf.DUMMYFUNCTION("REGEXREPLACE(REGEXEXTRACT(H221, ""а\)\s*(.*?)\s*б\)""), ""^\s*"", """")"),"Редстоун ")</f>
        <v>Редстоун </v>
      </c>
      <c r="E221" s="5" t="str">
        <f>IFERROR(__xludf.DUMMYFUNCTION("REGEXREPLACE(REGEXEXTRACT(H221, ""б\)\s*(.*?)\s*в\)""), ""^\s*"", """")"),"Камень")</f>
        <v>Камень</v>
      </c>
      <c r="F221" s="5" t="str">
        <f>IFERROR(__xludf.DUMMYFUNCTION("REGEXREPLACE(REGEXEXTRACT(H221, ""в\)\s*(.*?)\s*г\)""), ""^\s*"", """")"),"Дерево")</f>
        <v>Дерево</v>
      </c>
      <c r="G221" s="5" t="str">
        <f>IFERROR(__xludf.DUMMYFUNCTION("REGEXREPLACE(REGEXEXTRACT(H221, ""г\)\s*(.*)""), ""^\s*"", """")"),"Песок")</f>
        <v>Песок</v>
      </c>
      <c r="H221" s="6" t="s">
        <v>68</v>
      </c>
    </row>
    <row r="222" ht="15.75" hidden="1" customHeight="1">
      <c r="A222" s="11"/>
      <c r="B222" s="11"/>
      <c r="C222" s="11"/>
      <c r="D222" s="11"/>
      <c r="E222" s="11"/>
      <c r="F222" s="11"/>
      <c r="G222" s="11"/>
      <c r="H222" s="7"/>
    </row>
    <row r="223" ht="15.75" customHeight="1">
      <c r="A223" s="5" t="str">
        <f>IFERROR(__xludf.DUMMYFUNCTION("REGEXEXTRACT(H223, ""\d+\.\s*(.*?)\s*а\)"")"),"Как называется эффект от использования тотема бессмертия? ")</f>
        <v>Как называется эффект от использования тотема бессмертия? </v>
      </c>
      <c r="B223" s="5">
        <v>1.0</v>
      </c>
      <c r="C223" s="11"/>
      <c r="D223" s="5" t="str">
        <f>IFERROR(__xludf.DUMMYFUNCTION("REGEXREPLACE(REGEXEXTRACT(H223, ""а\)\s*(.*?)\s*б\)""), ""^\s*"", """")"),"Поглощение урона ")</f>
        <v>Поглощение урона </v>
      </c>
      <c r="E223" s="5" t="str">
        <f>IFERROR(__xludf.DUMMYFUNCTION("REGEXREPLACE(REGEXEXTRACT(H223, ""б\)\s*(.*?)\s*в\)""), ""^\s*"", """")"),"Скорость")</f>
        <v>Скорость</v>
      </c>
      <c r="F223" s="5" t="str">
        <f>IFERROR(__xludf.DUMMYFUNCTION("REGEXREPLACE(REGEXEXTRACT(H223, ""в\)\s*(.*?)\s*г\)""), ""^\s*"", """")"),"Ночное зрение")</f>
        <v>Ночное зрение</v>
      </c>
      <c r="G223" s="5" t="str">
        <f>IFERROR(__xludf.DUMMYFUNCTION("REGEXREPLACE(REGEXEXTRACT(H223, ""г\)\s*(.*)""), ""^\s*"", """")"),"Сила")</f>
        <v>Сила</v>
      </c>
      <c r="H223" s="6" t="s">
        <v>69</v>
      </c>
    </row>
    <row r="224" ht="15.75" hidden="1" customHeight="1">
      <c r="A224" s="11"/>
      <c r="B224" s="11"/>
      <c r="C224" s="11"/>
      <c r="D224" s="11"/>
      <c r="E224" s="11"/>
      <c r="F224" s="11"/>
      <c r="G224" s="11"/>
      <c r="H224" s="7"/>
    </row>
    <row r="225" ht="15.75" customHeight="1">
      <c r="A225" s="5" t="str">
        <f>IFERROR(__xludf.DUMMYFUNCTION("REGEXEXTRACT(H225, ""\d+\.\s*(.*?)\s*а\)"")"),"Как называется еда для приручения лошадей? ")</f>
        <v>Как называется еда для приручения лошадей? </v>
      </c>
      <c r="B225" s="5">
        <v>1.0</v>
      </c>
      <c r="C225" s="11"/>
      <c r="D225" s="5" t="str">
        <f>IFERROR(__xludf.DUMMYFUNCTION("REGEXREPLACE(REGEXEXTRACT(H225, ""а\)\s*(.*?)\s*б\)""), ""^\s*"", """")"),"Золотое яблоко ")</f>
        <v>Золотое яблоко </v>
      </c>
      <c r="E225" s="5" t="str">
        <f>IFERROR(__xludf.DUMMYFUNCTION("REGEXREPLACE(REGEXEXTRACT(H225, ""б\)\s*(.*?)\s*в\)""), ""^\s*"", """")"),"Пшеница")</f>
        <v>Пшеница</v>
      </c>
      <c r="F225" s="5" t="str">
        <f>IFERROR(__xludf.DUMMYFUNCTION("REGEXREPLACE(REGEXEXTRACT(H225, ""в\)\s*(.*?)\s*г\)""), ""^\s*"", """")"),"Морковь")</f>
        <v>Морковь</v>
      </c>
      <c r="G225" s="5" t="str">
        <f>IFERROR(__xludf.DUMMYFUNCTION("REGEXREPLACE(REGEXEXTRACT(H225, ""г\)\s*(.*)""), ""^\s*"", """")"),"Сахар")</f>
        <v>Сахар</v>
      </c>
      <c r="H225" s="6" t="s">
        <v>70</v>
      </c>
    </row>
    <row r="226" ht="15.75" hidden="1" customHeight="1">
      <c r="A226" s="11"/>
      <c r="B226" s="11"/>
      <c r="C226" s="11"/>
      <c r="D226" s="11"/>
      <c r="E226" s="11"/>
      <c r="F226" s="11"/>
      <c r="G226" s="11"/>
      <c r="H226" s="7"/>
    </row>
    <row r="227" ht="15.75" customHeight="1">
      <c r="A227" s="5" t="str">
        <f>IFERROR(__xludf.DUMMYFUNCTION("REGEXEXTRACT(H227, ""\d+\.\s*(.*?)\s*а\)"")"),"Какой инструмент используется для сбора меда? ")</f>
        <v>Какой инструмент используется для сбора меда? </v>
      </c>
      <c r="B227" s="5">
        <v>1.0</v>
      </c>
      <c r="C227" s="11"/>
      <c r="D227" s="5" t="str">
        <f>IFERROR(__xludf.DUMMYFUNCTION("REGEXREPLACE(REGEXEXTRACT(H227, ""а\)\s*(.*?)\s*б\)""), ""^\s*"", """")"),"Стеклянная бутылка ")</f>
        <v>Стеклянная бутылка </v>
      </c>
      <c r="E227" s="5" t="str">
        <f>IFERROR(__xludf.DUMMYFUNCTION("REGEXREPLACE(REGEXEXTRACT(H227, ""б\)\s*(.*?)\s*в\)""), ""^\s*"", """")"),"Топор")</f>
        <v>Топор</v>
      </c>
      <c r="F227" s="5" t="str">
        <f>IFERROR(__xludf.DUMMYFUNCTION("REGEXREPLACE(REGEXEXTRACT(H227, ""в\)\s*(.*?)\s*г\)""), ""^\s*"", """")"),"Кирка")</f>
        <v>Кирка</v>
      </c>
      <c r="G227" s="5" t="str">
        <f>IFERROR(__xludf.DUMMYFUNCTION("REGEXREPLACE(REGEXEXTRACT(H227, ""г\)\s*(.*)""), ""^\s*"", """")"),"Лопата")</f>
        <v>Лопата</v>
      </c>
      <c r="H227" s="6" t="s">
        <v>71</v>
      </c>
    </row>
    <row r="228" ht="15.75" hidden="1" customHeight="1">
      <c r="A228" s="11"/>
      <c r="B228" s="11"/>
      <c r="C228" s="11"/>
      <c r="D228" s="11"/>
      <c r="E228" s="11"/>
      <c r="F228" s="11"/>
      <c r="G228" s="11"/>
      <c r="H228" s="7"/>
    </row>
    <row r="229" ht="15.75" customHeight="1">
      <c r="A229" s="5" t="str">
        <f>IFERROR(__xludf.DUMMYFUNCTION("REGEXEXTRACT(H229, ""\d+\.\s*(.*?)\s*а\)"")"),"Какой блок позволяет игроку спать ночью? ")</f>
        <v>Какой блок позволяет игроку спать ночью? </v>
      </c>
      <c r="B229" s="5">
        <v>1.0</v>
      </c>
      <c r="C229" s="11"/>
      <c r="D229" s="5" t="str">
        <f>IFERROR(__xludf.DUMMYFUNCTION("REGEXREPLACE(REGEXEXTRACT(H229, ""а\)\s*(.*?)\s*б\)""), ""^\s*"", """")"),"Кровать ")</f>
        <v>Кровать </v>
      </c>
      <c r="E229" s="5" t="str">
        <f>IFERROR(__xludf.DUMMYFUNCTION("REGEXREPLACE(REGEXEXTRACT(H229, ""б\)\s*(.*?)\s*в\)""), ""^\s*"", """")"),"Верстак")</f>
        <v>Верстак</v>
      </c>
      <c r="F229" s="5" t="str">
        <f>IFERROR(__xludf.DUMMYFUNCTION("REGEXREPLACE(REGEXEXTRACT(H229, ""в\)\s*(.*?)\s*г\)""), ""^\s*"", """")"),"Сундук")</f>
        <v>Сундук</v>
      </c>
      <c r="G229" s="5" t="str">
        <f>IFERROR(__xludf.DUMMYFUNCTION("REGEXREPLACE(REGEXEXTRACT(H229, ""г\)\s*(.*)""), ""^\s*"", """")"),"Печь")</f>
        <v>Печь</v>
      </c>
      <c r="H229" s="6" t="s">
        <v>72</v>
      </c>
    </row>
    <row r="230" ht="15.75" hidden="1" customHeight="1">
      <c r="A230" s="11"/>
      <c r="B230" s="11"/>
      <c r="C230" s="11"/>
      <c r="D230" s="11"/>
      <c r="E230" s="11"/>
      <c r="F230" s="11"/>
      <c r="G230" s="11"/>
    </row>
    <row r="231" ht="15.75" hidden="1" customHeight="1">
      <c r="A231" s="11"/>
      <c r="B231" s="11"/>
      <c r="C231" s="11"/>
      <c r="D231" s="11"/>
      <c r="E231" s="11"/>
      <c r="F231" s="11"/>
      <c r="G231" s="11"/>
      <c r="H231" s="8"/>
    </row>
    <row r="232" ht="15.75" hidden="1" customHeight="1">
      <c r="A232" s="11"/>
      <c r="B232" s="11"/>
      <c r="C232" s="11"/>
      <c r="D232" s="11"/>
      <c r="E232" s="11"/>
      <c r="F232" s="11"/>
      <c r="G232" s="11"/>
      <c r="H232" s="7"/>
    </row>
    <row r="233" ht="15.75" customHeight="1">
      <c r="A233" s="5" t="str">
        <f>IFERROR(__xludf.DUMMYFUNCTION("REGEXEXTRACT(H233, ""\d+\.\s*(.*?)\s*а\)"")"),"Какой моб в Minecraft не имеет ног? ")</f>
        <v>Какой моб в Minecraft не имеет ног? </v>
      </c>
      <c r="B233" s="5">
        <v>1.0</v>
      </c>
      <c r="C233" s="11"/>
      <c r="D233" s="5" t="str">
        <f>IFERROR(__xludf.DUMMYFUNCTION("REGEXREPLACE(REGEXEXTRACT(H233, ""а\)\s*(.*?)\s*б\)""), ""^\s*"", """")"),"Слизень ")</f>
        <v>Слизень </v>
      </c>
      <c r="E233" s="5" t="str">
        <f>IFERROR(__xludf.DUMMYFUNCTION("REGEXREPLACE(REGEXEXTRACT(H233, ""б\)\s*(.*?)\s*в\)""), ""^\s*"", """")"),"Зомби")</f>
        <v>Зомби</v>
      </c>
      <c r="F233" s="5" t="str">
        <f>IFERROR(__xludf.DUMMYFUNCTION("REGEXREPLACE(REGEXEXTRACT(H233, ""в\)\s*(.*?)\s*г\)""), ""^\s*"", """")"),"Скелет")</f>
        <v>Скелет</v>
      </c>
      <c r="G233" s="5" t="str">
        <f>IFERROR(__xludf.DUMMYFUNCTION("REGEXREPLACE(REGEXEXTRACT(H233, ""г\)\s*(.*)""), ""^\s*"", """")"),"Крипер")</f>
        <v>Крипер</v>
      </c>
      <c r="H233" s="6" t="s">
        <v>73</v>
      </c>
    </row>
    <row r="234" ht="15.75" hidden="1" customHeight="1">
      <c r="A234" s="11"/>
      <c r="B234" s="11"/>
      <c r="C234" s="11"/>
      <c r="D234" s="11"/>
      <c r="E234" s="11"/>
      <c r="F234" s="11"/>
      <c r="G234" s="11"/>
      <c r="H234" s="7"/>
    </row>
    <row r="235" ht="15.75" customHeight="1">
      <c r="A235" s="5" t="str">
        <f>IFERROR(__xludf.DUMMYFUNCTION("REGEXEXTRACT(H235, ""\d+\.\s*(.*?)\s*а\)"")"),"Какой блок используется для создания красителей? ")</f>
        <v>Какой блок используется для создания красителей? </v>
      </c>
      <c r="B235" s="5">
        <v>1.0</v>
      </c>
      <c r="C235" s="11"/>
      <c r="D235" s="5" t="str">
        <f>IFERROR(__xludf.DUMMYFUNCTION("REGEXREPLACE(REGEXEXTRACT(H235, ""а\)\s*(.*?)\s*б\)""), ""^\s*"", """")"),"Цветы ")</f>
        <v>Цветы </v>
      </c>
      <c r="E235" s="5" t="str">
        <f>IFERROR(__xludf.DUMMYFUNCTION("REGEXREPLACE(REGEXEXTRACT(H235, ""б\)\s*(.*?)\s*в\)""), ""^\s*"", """")"),"Камни")</f>
        <v>Камни</v>
      </c>
      <c r="F235" s="5" t="str">
        <f>IFERROR(__xludf.DUMMYFUNCTION("REGEXREPLACE(REGEXEXTRACT(H235, ""в\)\s*(.*?)\s*г\)""), ""^\s*"", """")"),"Дерево")</f>
        <v>Дерево</v>
      </c>
      <c r="G235" s="5" t="str">
        <f>IFERROR(__xludf.DUMMYFUNCTION("REGEXREPLACE(REGEXEXTRACT(H235, ""г\)\s*(.*)""), ""^\s*"", """")"),"Земля")</f>
        <v>Земля</v>
      </c>
      <c r="H235" s="6" t="s">
        <v>74</v>
      </c>
    </row>
    <row r="236" ht="15.75" hidden="1" customHeight="1">
      <c r="A236" s="11"/>
      <c r="B236" s="11"/>
      <c r="C236" s="11"/>
      <c r="D236" s="11"/>
      <c r="E236" s="11"/>
      <c r="F236" s="11"/>
      <c r="G236" s="11"/>
      <c r="H236" s="7"/>
    </row>
    <row r="237" ht="15.75" hidden="1" customHeight="1">
      <c r="A237" s="11"/>
      <c r="B237" s="11"/>
      <c r="C237" s="11"/>
      <c r="D237" s="11"/>
      <c r="E237" s="11"/>
      <c r="F237" s="11"/>
      <c r="G237" s="11"/>
      <c r="H237" s="6"/>
    </row>
    <row r="238" ht="15.75" hidden="1" customHeight="1">
      <c r="A238" s="11"/>
      <c r="B238" s="11"/>
      <c r="C238" s="11"/>
      <c r="D238" s="11"/>
      <c r="E238" s="11"/>
      <c r="F238" s="11"/>
      <c r="G238" s="11"/>
      <c r="H238" s="7"/>
    </row>
    <row r="239" ht="15.75" customHeight="1">
      <c r="A239" s="5" t="str">
        <f>IFERROR(__xludf.DUMMYFUNCTION("REGEXEXTRACT(H239, ""\d+\.\s*(.*?)\s*а\)"")"),"Какой предмет используется для создания фейерверков? ")</f>
        <v>Какой предмет используется для создания фейерверков? </v>
      </c>
      <c r="B239" s="5">
        <v>1.0</v>
      </c>
      <c r="C239" s="11"/>
      <c r="D239" s="5" t="str">
        <f>IFERROR(__xludf.DUMMYFUNCTION("REGEXREPLACE(REGEXEXTRACT(H239, ""а\)\s*(.*?)\s*б\)""), ""^\s*"", """")"),"Порох ")</f>
        <v>Порох </v>
      </c>
      <c r="E239" s="5" t="str">
        <f>IFERROR(__xludf.DUMMYFUNCTION("REGEXREPLACE(REGEXEXTRACT(H239, ""б\)\s*(.*?)\s*в\)""), ""^\s*"", """")"),"Алмазы")</f>
        <v>Алмазы</v>
      </c>
      <c r="F239" s="5" t="str">
        <f>IFERROR(__xludf.DUMMYFUNCTION("REGEXREPLACE(REGEXEXTRACT(H239, ""в\)\s*(.*?)\s*г\)""), ""^\s*"", """")"),"Железо")</f>
        <v>Железо</v>
      </c>
      <c r="G239" s="5" t="str">
        <f>IFERROR(__xludf.DUMMYFUNCTION("REGEXREPLACE(REGEXEXTRACT(H239, ""г\)\s*(.*)""), ""^\s*"", """")"),"Золото")</f>
        <v>Золото</v>
      </c>
      <c r="H239" s="6" t="s">
        <v>75</v>
      </c>
    </row>
    <row r="240" ht="15.75" hidden="1" customHeight="1">
      <c r="A240" s="11"/>
      <c r="B240" s="11"/>
      <c r="C240" s="11"/>
      <c r="D240" s="11"/>
      <c r="E240" s="11"/>
      <c r="F240" s="11"/>
      <c r="G240" s="11"/>
      <c r="H240" s="7"/>
    </row>
    <row r="241" ht="15.75" customHeight="1">
      <c r="A241" s="5" t="str">
        <f>IFERROR(__xludf.DUMMYFUNCTION("REGEXEXTRACT(H241, ""\d+\.\s*(.*?)\s*а\)"")"),"Как называется предмет, позволяющий убирать зачарования с предметов? ")</f>
        <v>Как называется предмет, позволяющий убирать зачарования с предметов? </v>
      </c>
      <c r="B241" s="5">
        <v>1.0</v>
      </c>
      <c r="C241" s="11"/>
      <c r="D241" s="5" t="str">
        <f>IFERROR(__xludf.DUMMYFUNCTION("REGEXREPLACE(REGEXEXTRACT(H241, ""а\)\s*(.*?)\s*б\)""), ""^\s*"", """")"),"Жернов ")</f>
        <v>Жернов </v>
      </c>
      <c r="E241" s="5" t="str">
        <f>IFERROR(__xludf.DUMMYFUNCTION("REGEXREPLACE(REGEXEXTRACT(H241, ""б\)\s*(.*?)\s*в\)""), ""^\s*"", """")"),"Верстак")</f>
        <v>Верстак</v>
      </c>
      <c r="F241" s="5" t="str">
        <f>IFERROR(__xludf.DUMMYFUNCTION("REGEXREPLACE(REGEXEXTRACT(H241, ""в\)\s*(.*?)\s*г\)""), ""^\s*"", """")"),"Печь")</f>
        <v>Печь</v>
      </c>
      <c r="G241" s="5" t="str">
        <f>IFERROR(__xludf.DUMMYFUNCTION("REGEXREPLACE(REGEXEXTRACT(H241, ""г\)\s*(.*)""), ""^\s*"", """")"),"Сундук")</f>
        <v>Сундук</v>
      </c>
      <c r="H241" s="6" t="s">
        <v>76</v>
      </c>
    </row>
    <row r="242" ht="15.75" hidden="1" customHeight="1"/>
    <row r="243" ht="15.75" customHeight="1">
      <c r="A243" s="5" t="str">
        <f>IFERROR(__xludf.DUMMYFUNCTION("REGEXEXTRACT(H243, ""s*(.*?)\s*а\)"")"),"Какой моб является символом Minecraft?")</f>
        <v>Какой моб является символом Minecraft?</v>
      </c>
      <c r="B243" s="5">
        <v>1.0</v>
      </c>
      <c r="D243" s="5" t="str">
        <f>IFERROR(__xludf.DUMMYFUNCTION("REGEXREPLACE(REGEXEXTRACT(H243, ""а\)\s*(.*?)\s*б\)""), ""^\s*"", """")"),"Крипер")</f>
        <v>Крипер</v>
      </c>
      <c r="E243" s="5" t="str">
        <f>IFERROR(__xludf.DUMMYFUNCTION("REGEXREPLACE(REGEXEXTRACT(H243, ""б\)\s*(.*?)\s*в\)""), ""^\s*"", """")"),"Скелет")</f>
        <v>Скелет</v>
      </c>
      <c r="F243" s="5" t="str">
        <f>IFERROR(__xludf.DUMMYFUNCTION("REGEXREPLACE(REGEXEXTRACT(H243, ""в\)\s*(.*?)\s*г\)""), ""^\s*"", """")"),"Зомби")</f>
        <v>Зомби</v>
      </c>
      <c r="G243" s="5" t="str">
        <f>IFERROR(__xludf.DUMMYFUNCTION("REGEXREPLACE(REGEXEXTRACT(H243, ""г\)\s*(.*)""), ""^\s*"", """")"),"Эндермен")</f>
        <v>Эндермен</v>
      </c>
      <c r="H243" s="12" t="s">
        <v>77</v>
      </c>
    </row>
    <row r="244" ht="15.75" hidden="1" customHeight="1">
      <c r="A244" s="5" t="str">
        <f>IFERROR(__xludf.DUMMYFUNCTION("REGEXEXTRACT(H244, ""s*(.*?)\s*а\)"")"),"#N/A")</f>
        <v>#N/A</v>
      </c>
      <c r="H244" s="13"/>
    </row>
    <row r="245" ht="15.75" hidden="1" customHeight="1">
      <c r="A245" s="5" t="str">
        <f>IFERROR(__xludf.DUMMYFUNCTION("REGEXEXTRACT(H245, ""s*(.*?)\s*а\)"")"),"#N/A")</f>
        <v>#N/A</v>
      </c>
      <c r="B245" s="5">
        <v>1.0</v>
      </c>
      <c r="D245" s="5" t="str">
        <f>IFERROR(__xludf.DUMMYFUNCTION("REGEXREPLACE(REGEXEXTRACT(H245, ""а\)\s*(.*?)\s*б\)""), ""^\s*"", """")"),"#N/A")</f>
        <v>#N/A</v>
      </c>
      <c r="E245" s="5" t="str">
        <f>IFERROR(__xludf.DUMMYFUNCTION("REGEXREPLACE(REGEXEXTRACT(H245, ""б\)\s*(.*?)\s*в\)""), ""^\s*"", """")"),"#N/A")</f>
        <v>#N/A</v>
      </c>
      <c r="F245" s="5" t="str">
        <f>IFERROR(__xludf.DUMMYFUNCTION("REGEXREPLACE(REGEXEXTRACT(H245, ""в\)\s*(.*?)\s*г\)""), ""^\s*"", """")"),"#N/A")</f>
        <v>#N/A</v>
      </c>
      <c r="G245" s="5" t="str">
        <f>IFERROR(__xludf.DUMMYFUNCTION("REGEXREPLACE(REGEXEXTRACT(H245, ""г\)\s*(.*)""), ""^\s*"", """")"),"#N/A")</f>
        <v>#N/A</v>
      </c>
      <c r="H245" s="12"/>
    </row>
    <row r="246" ht="15.75" hidden="1" customHeight="1">
      <c r="A246" s="5"/>
      <c r="H246" s="13"/>
    </row>
    <row r="247" ht="15.75" customHeight="1">
      <c r="A247" s="5" t="str">
        <f>IFERROR(__xludf.DUMMYFUNCTION("REGEXEXTRACT(H247, ""s*(.*?)\s*а\)"")"),"Что необходимо для создания портала в Нижний мир?")</f>
        <v>Что необходимо для создания портала в Нижний мир?</v>
      </c>
      <c r="B247" s="5">
        <v>1.0</v>
      </c>
      <c r="D247" s="5" t="str">
        <f>IFERROR(__xludf.DUMMYFUNCTION("REGEXREPLACE(REGEXEXTRACT(H247, ""а\)\s*(.*?)\s*б\)""), ""^\s*"", """")"),"Обсидиан")</f>
        <v>Обсидиан</v>
      </c>
      <c r="E247" s="5" t="str">
        <f>IFERROR(__xludf.DUMMYFUNCTION("REGEXREPLACE(REGEXEXTRACT(H247, ""б\)\s*(.*?)\s*в\)""), ""^\s*"", """")"),"Лава")</f>
        <v>Лава</v>
      </c>
      <c r="F247" s="5" t="str">
        <f>IFERROR(__xludf.DUMMYFUNCTION("REGEXREPLACE(REGEXEXTRACT(H247, ""в\)\s*(.*?)\s*г\)""), ""^\s*"", """")"),"Вода")</f>
        <v>Вода</v>
      </c>
      <c r="G247" s="5" t="str">
        <f>IFERROR(__xludf.DUMMYFUNCTION("REGEXREPLACE(REGEXEXTRACT(H247, ""г\)\s*(.*)""), ""^\s*"", """")"),"Алмазы")</f>
        <v>Алмазы</v>
      </c>
      <c r="H247" s="12" t="s">
        <v>78</v>
      </c>
    </row>
    <row r="248" ht="15.75" hidden="1" customHeight="1">
      <c r="A248" s="5"/>
      <c r="H248" s="13"/>
    </row>
    <row r="249" ht="15.75" customHeight="1">
      <c r="A249" s="5" t="str">
        <f>IFERROR(__xludf.DUMMYFUNCTION("REGEXEXTRACT(H249, ""s*(.*?)\s*а\)"")"),"Какой ресурс позволяет создавать прочнейшую броню?")</f>
        <v>Какой ресурс позволяет создавать прочнейшую броню?</v>
      </c>
      <c r="B249" s="5">
        <v>1.0</v>
      </c>
      <c r="D249" s="5" t="str">
        <f>IFERROR(__xludf.DUMMYFUNCTION("REGEXREPLACE(REGEXEXTRACT(H249, ""а\)\s*(.*?)\s*б\)""), ""^\s*"", """")"),"Незерит")</f>
        <v>Незерит</v>
      </c>
      <c r="E249" s="5" t="str">
        <f>IFERROR(__xludf.DUMMYFUNCTION("REGEXREPLACE(REGEXEXTRACT(H249, ""б\)\s*(.*?)\s*в\)""), ""^\s*"", """")"),"Алмаз")</f>
        <v>Алмаз</v>
      </c>
      <c r="F249" s="5" t="str">
        <f>IFERROR(__xludf.DUMMYFUNCTION("REGEXREPLACE(REGEXEXTRACT(H249, ""в\)\s*(.*?)\s*г\)""), ""^\s*"", """")"),"Железо")</f>
        <v>Железо</v>
      </c>
      <c r="G249" s="5" t="str">
        <f>IFERROR(__xludf.DUMMYFUNCTION("REGEXREPLACE(REGEXEXTRACT(H249, ""г\)\s*(.*)""), ""^\s*"", """")"),"Золото")</f>
        <v>Золото</v>
      </c>
      <c r="H249" s="12" t="s">
        <v>79</v>
      </c>
    </row>
    <row r="250" ht="15.75" hidden="1" customHeight="1">
      <c r="A250" s="5"/>
      <c r="H250" s="13"/>
    </row>
    <row r="251" ht="15.75" customHeight="1">
      <c r="A251" s="5" t="str">
        <f>IFERROR(__xludf.DUMMYFUNCTION("REGEXEXTRACT(H251, ""s*(.*?)\s*а\)"")"),"Какой моб является боссом в измерении “Край”?")</f>
        <v>Какой моб является боссом в измерении “Край”?</v>
      </c>
      <c r="B251" s="5">
        <v>1.0</v>
      </c>
      <c r="D251" s="5" t="str">
        <f>IFERROR(__xludf.DUMMYFUNCTION("REGEXREPLACE(REGEXEXTRACT(H251, ""а\)\s*(.*?)\s*б\)""), ""^\s*"", """")"),"Эндер-дракон")</f>
        <v>Эндер-дракон</v>
      </c>
      <c r="E251" s="5" t="str">
        <f>IFERROR(__xludf.DUMMYFUNCTION("REGEXREPLACE(REGEXEXTRACT(H251, ""б\)\s*(.*?)\s*в\)""), ""^\s*"", """")"),"Иссушитель")</f>
        <v>Иссушитель</v>
      </c>
      <c r="F251" s="5" t="str">
        <f>IFERROR(__xludf.DUMMYFUNCTION("REGEXREPLACE(REGEXEXTRACT(H251, ""в\)\s*(.*?)\s*г\)""), ""^\s*"", """")"),"Страж")</f>
        <v>Страж</v>
      </c>
      <c r="G251" s="5" t="str">
        <f>IFERROR(__xludf.DUMMYFUNCTION("REGEXREPLACE(REGEXEXTRACT(H251, ""г\)\s*(.*)""), ""^\s*"", """")"),"Гаст")</f>
        <v>Гаст</v>
      </c>
      <c r="H251" s="12" t="s">
        <v>80</v>
      </c>
    </row>
    <row r="252" ht="15.75" hidden="1" customHeight="1">
      <c r="A252" s="5"/>
      <c r="H252" s="13"/>
    </row>
    <row r="253" ht="15.75" customHeight="1">
      <c r="A253" s="5" t="str">
        <f>IFERROR(__xludf.DUMMYFUNCTION("REGEXEXTRACT(H253, ""s*(.*?)\s*а\)"")"),"Какой эффект даёт золотое яблоко?")</f>
        <v>Какой эффект даёт золотое яблоко?</v>
      </c>
      <c r="B253" s="5">
        <v>1.0</v>
      </c>
      <c r="D253" s="5" t="str">
        <f>IFERROR(__xludf.DUMMYFUNCTION("REGEXREPLACE(REGEXEXTRACT(H253, ""а\)\s*(.*?)\s*б\)""), ""^\s*"", """")"),"Регенерация")</f>
        <v>Регенерация</v>
      </c>
      <c r="E253" s="5" t="str">
        <f>IFERROR(__xludf.DUMMYFUNCTION("REGEXREPLACE(REGEXEXTRACT(H253, ""б\)\s*(.*?)\s*в\)""), ""^\s*"", """")"),"Скорость")</f>
        <v>Скорость</v>
      </c>
      <c r="F253" s="5" t="str">
        <f>IFERROR(__xludf.DUMMYFUNCTION("REGEXREPLACE(REGEXEXTRACT(H253, ""в\)\s*(.*?)\s*г\)""), ""^\s*"", """")"),"Сила")</f>
        <v>Сила</v>
      </c>
      <c r="G253" s="5" t="str">
        <f>IFERROR(__xludf.DUMMYFUNCTION("REGEXREPLACE(REGEXEXTRACT(H253, ""г\)\s*(.*)""), ""^\s*"", """")"),"Невидимость")</f>
        <v>Невидимость</v>
      </c>
      <c r="H253" s="12" t="s">
        <v>81</v>
      </c>
    </row>
    <row r="254" ht="15.75" hidden="1" customHeight="1">
      <c r="A254" s="5"/>
      <c r="H254" s="13"/>
    </row>
    <row r="255" ht="15.75" hidden="1" customHeight="1">
      <c r="A255" s="5" t="str">
        <f>IFERROR(__xludf.DUMMYFUNCTION("REGEXEXTRACT(H255, ""s*(.*?)\s*а\)"")"),"#N/A")</f>
        <v>#N/A</v>
      </c>
      <c r="B255" s="5">
        <v>1.0</v>
      </c>
      <c r="D255" s="5" t="str">
        <f>IFERROR(__xludf.DUMMYFUNCTION("REGEXREPLACE(REGEXEXTRACT(H255, ""а\)\s*(.*?)\s*б\)""), ""^\s*"", """")"),"#N/A")</f>
        <v>#N/A</v>
      </c>
      <c r="E255" s="5" t="str">
        <f>IFERROR(__xludf.DUMMYFUNCTION("REGEXREPLACE(REGEXEXTRACT(H255, ""б\)\s*(.*?)\s*в\)""), ""^\s*"", """")"),"#N/A")</f>
        <v>#N/A</v>
      </c>
      <c r="F255" s="5" t="str">
        <f>IFERROR(__xludf.DUMMYFUNCTION("REGEXREPLACE(REGEXEXTRACT(H255, ""в\)\s*(.*?)\s*г\)""), ""^\s*"", """")"),"#N/A")</f>
        <v>#N/A</v>
      </c>
      <c r="G255" s="5" t="str">
        <f>IFERROR(__xludf.DUMMYFUNCTION("REGEXREPLACE(REGEXEXTRACT(H255, ""г\)\s*(.*)""), ""^\s*"", """")"),"#N/A")</f>
        <v>#N/A</v>
      </c>
      <c r="H255" s="12"/>
    </row>
    <row r="256" ht="15.75" hidden="1" customHeight="1">
      <c r="A256" s="5"/>
      <c r="H256" s="13"/>
    </row>
    <row r="257" ht="15.75" hidden="1" customHeight="1">
      <c r="A257" s="5" t="str">
        <f>IFERROR(__xludf.DUMMYFUNCTION("REGEXEXTRACT(H257, ""s*(.*?)\s*а\)"")"),"#N/A")</f>
        <v>#N/A</v>
      </c>
      <c r="B257" s="5">
        <v>1.0</v>
      </c>
      <c r="D257" s="5" t="str">
        <f>IFERROR(__xludf.DUMMYFUNCTION("REGEXREPLACE(REGEXEXTRACT(H257, ""а\)\s*(.*?)\s*б\)""), ""^\s*"", """")"),"#N/A")</f>
        <v>#N/A</v>
      </c>
      <c r="E257" s="5" t="str">
        <f>IFERROR(__xludf.DUMMYFUNCTION("REGEXREPLACE(REGEXEXTRACT(H257, ""б\)\s*(.*?)\s*в\)""), ""^\s*"", """")"),"#N/A")</f>
        <v>#N/A</v>
      </c>
      <c r="F257" s="5" t="str">
        <f>IFERROR(__xludf.DUMMYFUNCTION("REGEXREPLACE(REGEXEXTRACT(H257, ""в\)\s*(.*?)\s*г\)""), ""^\s*"", """")"),"#N/A")</f>
        <v>#N/A</v>
      </c>
      <c r="G257" s="5" t="str">
        <f>IFERROR(__xludf.DUMMYFUNCTION("REGEXREPLACE(REGEXEXTRACT(H257, ""г\)\s*(.*)""), ""^\s*"", """")"),"#N/A")</f>
        <v>#N/A</v>
      </c>
      <c r="H257" s="12"/>
    </row>
    <row r="258" ht="15.75" hidden="1" customHeight="1">
      <c r="A258" s="5"/>
      <c r="H258" s="13"/>
    </row>
    <row r="259" ht="15.75" customHeight="1">
      <c r="A259" s="5" t="str">
        <f>IFERROR(__xludf.DUMMYFUNCTION("REGEXEXTRACT(H259, ""s*(.*?)\s*а\)"")"),"Какой блок используется для приготовления зелий?")</f>
        <v>Какой блок используется для приготовления зелий?</v>
      </c>
      <c r="B259" s="5">
        <v>1.0</v>
      </c>
      <c r="D259" s="5" t="str">
        <f>IFERROR(__xludf.DUMMYFUNCTION("REGEXREPLACE(REGEXEXTRACT(H259, ""а\)\s*(.*?)\s*б\)""), ""^\s*"", """")"),"Варочная стойка")</f>
        <v>Варочная стойка</v>
      </c>
      <c r="E259" s="5" t="str">
        <f>IFERROR(__xludf.DUMMYFUNCTION("REGEXREPLACE(REGEXEXTRACT(H259, ""б\)\s*(.*?)\s*в\)""), ""^\s*"", """")"),"Печь")</f>
        <v>Печь</v>
      </c>
      <c r="F259" s="5" t="str">
        <f>IFERROR(__xludf.DUMMYFUNCTION("REGEXREPLACE(REGEXEXTRACT(H259, ""в\)\s*(.*?)\s*г\)""), ""^\s*"", """")"),"Верстак")</f>
        <v>Верстак</v>
      </c>
      <c r="G259" s="5" t="str">
        <f>IFERROR(__xludf.DUMMYFUNCTION("REGEXREPLACE(REGEXEXTRACT(H259, ""г\)\s*(.*)""), ""^\s*"", """")"),"Компостер")</f>
        <v>Компостер</v>
      </c>
      <c r="H259" s="12" t="s">
        <v>82</v>
      </c>
    </row>
    <row r="260" ht="15.75" hidden="1" customHeight="1">
      <c r="A260" s="5"/>
      <c r="H260" s="13"/>
    </row>
    <row r="261" ht="15.75" customHeight="1">
      <c r="A261" s="5" t="str">
        <f>IFERROR(__xludf.DUMMYFUNCTION("REGEXEXTRACT(H261, ""s*(.*?)\s*а\)"")"),"Какой моб спаунится только в темноте?")</f>
        <v>Какой моб спаунится только в темноте?</v>
      </c>
      <c r="B261" s="5">
        <v>1.0</v>
      </c>
      <c r="D261" s="5" t="str">
        <f>IFERROR(__xludf.DUMMYFUNCTION("REGEXREPLACE(REGEXEXTRACT(H261, ""а\)\s*(.*?)\s*б\)""), ""^\s*"", """")"),"Зомби")</f>
        <v>Зомби</v>
      </c>
      <c r="E261" s="5" t="str">
        <f>IFERROR(__xludf.DUMMYFUNCTION("REGEXREPLACE(REGEXEXTRACT(H261, ""б\)\s*(.*?)\s*в\)""), ""^\s*"", """")"),"Овца")</f>
        <v>Овца</v>
      </c>
      <c r="F261" s="5" t="str">
        <f>IFERROR(__xludf.DUMMYFUNCTION("REGEXREPLACE(REGEXEXTRACT(H261, ""в\)\s*(.*?)\s*г\)""), ""^\s*"", """")"),"Курица")</f>
        <v>Курица</v>
      </c>
      <c r="G261" s="5" t="str">
        <f>IFERROR(__xludf.DUMMYFUNCTION("REGEXREPLACE(REGEXEXTRACT(H261, ""г\)\s*(.*)""), ""^\s*"", """")"),"Свинья")</f>
        <v>Свинья</v>
      </c>
      <c r="H261" s="12" t="s">
        <v>83</v>
      </c>
    </row>
    <row r="262" ht="15.75" hidden="1" customHeight="1">
      <c r="A262" s="5"/>
      <c r="H262" s="13"/>
    </row>
    <row r="263" ht="15.75" customHeight="1">
      <c r="A263" s="5" t="str">
        <f>IFERROR(__xludf.DUMMYFUNCTION("REGEXEXTRACT(H263, ""s*(.*?)\s*а\)"")"),"Какой биом состоит в основном из песка?")</f>
        <v>Какой биом состоит в основном из песка?</v>
      </c>
      <c r="B263" s="5">
        <v>1.0</v>
      </c>
      <c r="D263" s="5" t="str">
        <f>IFERROR(__xludf.DUMMYFUNCTION("REGEXREPLACE(REGEXEXTRACT(H263, ""а\)\s*(.*?)\s*б\)""), ""^\s*"", """")"),"Пустыня")</f>
        <v>Пустыня</v>
      </c>
      <c r="E263" s="5" t="str">
        <f>IFERROR(__xludf.DUMMYFUNCTION("REGEXREPLACE(REGEXEXTRACT(H263, ""б\)\s*(.*?)\s*в\)""), ""^\s*"", """")"),"Саванна")</f>
        <v>Саванна</v>
      </c>
      <c r="F263" s="5" t="str">
        <f>IFERROR(__xludf.DUMMYFUNCTION("REGEXREPLACE(REGEXEXTRACT(H263, ""в\)\s*(.*?)\s*г\)""), ""^\s*"", """")"),"Тайга")</f>
        <v>Тайга</v>
      </c>
      <c r="G263" s="5" t="str">
        <f>IFERROR(__xludf.DUMMYFUNCTION("REGEXREPLACE(REGEXEXTRACT(H263, ""г\)\s*(.*)""), ""^\s*"", """")"),"Джунгли")</f>
        <v>Джунгли</v>
      </c>
      <c r="H263" s="12" t="s">
        <v>84</v>
      </c>
    </row>
    <row r="264" ht="15.75" hidden="1" customHeight="1">
      <c r="A264" s="5"/>
      <c r="H264" s="13"/>
    </row>
    <row r="265" ht="15.75" customHeight="1">
      <c r="A265" s="5" t="str">
        <f>IFERROR(__xludf.DUMMYFUNCTION("REGEXEXTRACT(H265, ""s*(.*?)\s*а\)"")"),"Что необходимо для создания хлеба?")</f>
        <v>Что необходимо для создания хлеба?</v>
      </c>
      <c r="B265" s="5">
        <v>1.0</v>
      </c>
      <c r="D265" s="5" t="str">
        <f>IFERROR(__xludf.DUMMYFUNCTION("REGEXREPLACE(REGEXEXTRACT(H265, ""а\)\s*(.*?)\s*б\)""), ""^\s*"", """")"),"Пшеница")</f>
        <v>Пшеница</v>
      </c>
      <c r="E265" s="5" t="str">
        <f>IFERROR(__xludf.DUMMYFUNCTION("REGEXREPLACE(REGEXEXTRACT(H265, ""б\)\s*(.*?)\s*в\)""), ""^\s*"", """")"),"Яблоки")</f>
        <v>Яблоки</v>
      </c>
      <c r="F265" s="5" t="str">
        <f>IFERROR(__xludf.DUMMYFUNCTION("REGEXREPLACE(REGEXEXTRACT(H265, ""в\)\s*(.*?)\s*г\)""), ""^\s*"", """")"),"Морковь")</f>
        <v>Морковь</v>
      </c>
      <c r="G265" s="5" t="str">
        <f>IFERROR(__xludf.DUMMYFUNCTION("REGEXREPLACE(REGEXEXTRACT(H265, ""г\)\s*(.*)""), ""^\s*"", """")"),"Картофель")</f>
        <v>Картофель</v>
      </c>
      <c r="H265" s="12" t="s">
        <v>85</v>
      </c>
    </row>
    <row r="266" ht="15.75" hidden="1" customHeight="1">
      <c r="A266" s="5"/>
      <c r="H266" s="13"/>
    </row>
    <row r="267" ht="15.75" customHeight="1">
      <c r="A267" s="5" t="str">
        <f>IFERROR(__xludf.DUMMYFUNCTION("REGEXEXTRACT(H267, ""s*(.*?)\s*а\)"")"),"Какой моб дает молоко?")</f>
        <v>Какой моб дает молоко?</v>
      </c>
      <c r="B267" s="5">
        <v>1.0</v>
      </c>
      <c r="D267" s="5" t="str">
        <f>IFERROR(__xludf.DUMMYFUNCTION("REGEXREPLACE(REGEXEXTRACT(H267, ""а\)\s*(.*?)\s*б\)""), ""^\s*"", """")"),"Корова")</f>
        <v>Корова</v>
      </c>
      <c r="E267" s="5" t="str">
        <f>IFERROR(__xludf.DUMMYFUNCTION("REGEXREPLACE(REGEXEXTRACT(H267, ""б\)\s*(.*?)\s*в\)""), ""^\s*"", """")"),"Свинья")</f>
        <v>Свинья</v>
      </c>
      <c r="F267" s="5" t="str">
        <f>IFERROR(__xludf.DUMMYFUNCTION("REGEXREPLACE(REGEXEXTRACT(H267, ""в\)\s*(.*?)\s*г\)""), ""^\s*"", """")"),"Овца")</f>
        <v>Овца</v>
      </c>
      <c r="G267" s="5" t="str">
        <f>IFERROR(__xludf.DUMMYFUNCTION("REGEXREPLACE(REGEXEXTRACT(H267, ""г\)\s*(.*)""), ""^\s*"", """")"),"Курица")</f>
        <v>Курица</v>
      </c>
      <c r="H267" s="12" t="s">
        <v>86</v>
      </c>
    </row>
    <row r="268" ht="15.75" hidden="1" customHeight="1">
      <c r="A268" s="5"/>
      <c r="H268" s="13"/>
    </row>
    <row r="269" ht="15.75" customHeight="1">
      <c r="A269" s="5" t="str">
        <f>IFERROR(__xludf.DUMMYFUNCTION("REGEXEXTRACT(H269, ""s*(.*?)\s*а\)"")"),"С помощью чего можно приручить лошадь?")</f>
        <v>С помощью чего можно приручить лошадь?</v>
      </c>
      <c r="B269" s="5">
        <v>1.0</v>
      </c>
      <c r="D269" s="5" t="str">
        <f>IFERROR(__xludf.DUMMYFUNCTION("REGEXREPLACE(REGEXEXTRACT(H269, ""а\)\s*(.*?)\s*б\)""), ""^\s*"", """")"),"Яблоко")</f>
        <v>Яблоко</v>
      </c>
      <c r="E269" s="5" t="str">
        <f>IFERROR(__xludf.DUMMYFUNCTION("REGEXREPLACE(REGEXEXTRACT(H269, ""б\)\s*(.*?)\s*в\)""), ""^\s*"", """")"),"Семена")</f>
        <v>Семена</v>
      </c>
      <c r="F269" s="5" t="str">
        <f>IFERROR(__xludf.DUMMYFUNCTION("REGEXREPLACE(REGEXEXTRACT(H269, ""в\)\s*(.*?)\s*г\)""), ""^\s*"", """")"),"Кость")</f>
        <v>Кость</v>
      </c>
      <c r="G269" s="5" t="str">
        <f>IFERROR(__xludf.DUMMYFUNCTION("REGEXREPLACE(REGEXEXTRACT(H269, ""г\)\s*(.*)""), ""^\s*"", """")"),"Рыба")</f>
        <v>Рыба</v>
      </c>
      <c r="H269" s="12" t="s">
        <v>87</v>
      </c>
    </row>
    <row r="270" ht="15.75" hidden="1" customHeight="1">
      <c r="A270" s="5"/>
      <c r="H270" s="13"/>
    </row>
    <row r="271" ht="15.75" customHeight="1">
      <c r="A271" s="5" t="str">
        <f>IFERROR(__xludf.DUMMYFUNCTION("REGEXEXTRACT(H271, ""s*(.*?)\s*а\)"")"),"Какой блок является источником света, который можно разместить на стене?")</f>
        <v>Какой блок является источником света, который можно разместить на стене?</v>
      </c>
      <c r="B271" s="5">
        <v>1.0</v>
      </c>
      <c r="D271" s="5" t="str">
        <f>IFERROR(__xludf.DUMMYFUNCTION("REGEXREPLACE(REGEXEXTRACT(H271, ""а\)\s*(.*?)\s*б\)""), ""^\s*"", """")"),"Факел")</f>
        <v>Факел</v>
      </c>
      <c r="E271" s="5" t="str">
        <f>IFERROR(__xludf.DUMMYFUNCTION("REGEXREPLACE(REGEXEXTRACT(H271, ""б\)\s*(.*?)\s*в\)""), ""^\s*"", """")"),"Лампа")</f>
        <v>Лампа</v>
      </c>
      <c r="F271" s="5" t="str">
        <f>IFERROR(__xludf.DUMMYFUNCTION("REGEXREPLACE(REGEXEXTRACT(H271, ""в\)\s*(.*?)\s*г\)""), ""^\s*"", """")"),"Фонарь")</f>
        <v>Фонарь</v>
      </c>
      <c r="G271" s="5" t="str">
        <f>IFERROR(__xludf.DUMMYFUNCTION("REGEXREPLACE(REGEXEXTRACT(H271, ""г\)\s*(.*)""), ""^\s*"", """")"),"Светокамень")</f>
        <v>Светокамень</v>
      </c>
      <c r="H271" s="12" t="s">
        <v>88</v>
      </c>
    </row>
    <row r="272" ht="15.75" hidden="1" customHeight="1">
      <c r="A272" s="5"/>
      <c r="H272" s="13"/>
    </row>
    <row r="273" ht="15.75" customHeight="1">
      <c r="A273" s="5" t="str">
        <f>IFERROR(__xludf.DUMMYFUNCTION("REGEXEXTRACT(H273, ""s*(.*?)\s*а\)"")"),"Какой предмет позволяет быстро передвигаться под водой?")</f>
        <v>Какой предмет позволяет быстро передвигаться под водой?</v>
      </c>
      <c r="B273" s="5">
        <v>1.0</v>
      </c>
      <c r="D273" s="5" t="str">
        <f>IFERROR(__xludf.DUMMYFUNCTION("REGEXREPLACE(REGEXEXTRACT(H273, ""а\)\s*(.*?)\s*б\)""), ""^\s*"", """")"),"Трезубец")</f>
        <v>Трезубец</v>
      </c>
      <c r="E273" s="5" t="str">
        <f>IFERROR(__xludf.DUMMYFUNCTION("REGEXREPLACE(REGEXEXTRACT(H273, ""б\)\s*(.*?)\s*в\)""), ""^\s*"", """")"),"Лодка")</f>
        <v>Лодка</v>
      </c>
      <c r="F273" s="5" t="str">
        <f>IFERROR(__xludf.DUMMYFUNCTION("REGEXREPLACE(REGEXEXTRACT(H273, ""в\)\s*(.*?)\s*г\)""), ""^\s*"", """")"),"Ведро")</f>
        <v>Ведро</v>
      </c>
      <c r="G273" s="5" t="str">
        <f>IFERROR(__xludf.DUMMYFUNCTION("REGEXREPLACE(REGEXEXTRACT(H273, ""г\)\s*(.*)""), ""^\s*"", """")"),"Удочка")</f>
        <v>Удочка</v>
      </c>
      <c r="H273" s="12" t="s">
        <v>89</v>
      </c>
    </row>
    <row r="274" ht="15.75" hidden="1" customHeight="1">
      <c r="A274" s="5"/>
      <c r="H274" s="13"/>
    </row>
    <row r="275" ht="15.75" hidden="1" customHeight="1">
      <c r="A275" s="5" t="str">
        <f>IFERROR(__xludf.DUMMYFUNCTION("REGEXEXTRACT(H275, ""s*(.*?)\s*а\)"")"),"#N/A")</f>
        <v>#N/A</v>
      </c>
      <c r="B275" s="5">
        <v>1.0</v>
      </c>
      <c r="D275" s="5" t="str">
        <f>IFERROR(__xludf.DUMMYFUNCTION("REGEXREPLACE(REGEXEXTRACT(H275, ""а\)\s*(.*?)\s*б\)""), ""^\s*"", """")"),"#N/A")</f>
        <v>#N/A</v>
      </c>
      <c r="E275" s="5" t="str">
        <f>IFERROR(__xludf.DUMMYFUNCTION("REGEXREPLACE(REGEXEXTRACT(H275, ""б\)\s*(.*?)\s*в\)""), ""^\s*"", """")"),"#N/A")</f>
        <v>#N/A</v>
      </c>
      <c r="F275" s="5" t="str">
        <f>IFERROR(__xludf.DUMMYFUNCTION("REGEXREPLACE(REGEXEXTRACT(H275, ""в\)\s*(.*?)\s*г\)""), ""^\s*"", """")"),"#N/A")</f>
        <v>#N/A</v>
      </c>
      <c r="G275" s="5" t="str">
        <f>IFERROR(__xludf.DUMMYFUNCTION("REGEXREPLACE(REGEXEXTRACT(H275, ""г\)\s*(.*)""), ""^\s*"", """")"),"#N/A")</f>
        <v>#N/A</v>
      </c>
      <c r="H275" s="12"/>
    </row>
    <row r="276" ht="15.75" hidden="1" customHeight="1">
      <c r="A276" s="5"/>
      <c r="H276" s="13"/>
    </row>
    <row r="277" ht="15.75" customHeight="1">
      <c r="A277" s="5" t="str">
        <f>IFERROR(__xludf.DUMMYFUNCTION("REGEXEXTRACT(H277, ""s*(.*?)\s*а\)"")"),"Какой моб появляется из яйца, брошенного игроком?")</f>
        <v>Какой моб появляется из яйца, брошенного игроком?</v>
      </c>
      <c r="B277" s="5">
        <v>1.0</v>
      </c>
      <c r="D277" s="5" t="str">
        <f>IFERROR(__xludf.DUMMYFUNCTION("REGEXREPLACE(REGEXEXTRACT(H277, ""а\)\s*(.*?)\s*б\)""), ""^\s*"", """")"),"Курица")</f>
        <v>Курица</v>
      </c>
      <c r="E277" s="5" t="str">
        <f>IFERROR(__xludf.DUMMYFUNCTION("REGEXREPLACE(REGEXEXTRACT(H277, ""б\)\s*(.*?)\s*в\)""), ""^\s*"", """")"),"Свинья")</f>
        <v>Свинья</v>
      </c>
      <c r="F277" s="5" t="str">
        <f>IFERROR(__xludf.DUMMYFUNCTION("REGEXREPLACE(REGEXEXTRACT(H277, ""в\)\s*(.*?)\s*г\)""), ""^\s*"", """")"),"Овца")</f>
        <v>Овца</v>
      </c>
      <c r="G277" s="5" t="str">
        <f>IFERROR(__xludf.DUMMYFUNCTION("REGEXREPLACE(REGEXEXTRACT(H277, ""г\)\s*(.*)""), ""^\s*"", """")"),"Корова")</f>
        <v>Корова</v>
      </c>
      <c r="H277" s="12" t="s">
        <v>90</v>
      </c>
    </row>
    <row r="278" ht="15.75" hidden="1" customHeight="1">
      <c r="A278" s="5"/>
      <c r="H278" s="13"/>
    </row>
    <row r="279" ht="15.75" customHeight="1">
      <c r="A279" s="5" t="str">
        <f>IFERROR(__xludf.DUMMYFUNCTION("REGEXEXTRACT(H279, ""s*(.*?)\s*а\)"")"),"Что позволяет быстро добывать листву?")</f>
        <v>Что позволяет быстро добывать листву?</v>
      </c>
      <c r="B279" s="5">
        <v>1.0</v>
      </c>
      <c r="D279" s="5" t="str">
        <f>IFERROR(__xludf.DUMMYFUNCTION("REGEXREPLACE(REGEXEXTRACT(H279, ""а\)\s*(.*?)\s*б\)""), ""^\s*"", """")"),"Ножницы")</f>
        <v>Ножницы</v>
      </c>
      <c r="E279" s="5" t="str">
        <f>IFERROR(__xludf.DUMMYFUNCTION("REGEXREPLACE(REGEXEXTRACT(H279, ""б\)\s*(.*?)\s*в\)""), ""^\s*"", """")"),"Топор")</f>
        <v>Топор</v>
      </c>
      <c r="F279" s="5" t="str">
        <f>IFERROR(__xludf.DUMMYFUNCTION("REGEXREPLACE(REGEXEXTRACT(H279, ""в\)\s*(.*?)\s*г\)""), ""^\s*"", """")"),"Кирка")</f>
        <v>Кирка</v>
      </c>
      <c r="G279" s="5" t="str">
        <f>IFERROR(__xludf.DUMMYFUNCTION("REGEXREPLACE(REGEXEXTRACT(H279, ""г\)\s*(.*)""), ""^\s*"", """")"),"Лопата")</f>
        <v>Лопата</v>
      </c>
      <c r="H279" s="12" t="s">
        <v>91</v>
      </c>
    </row>
    <row r="280" ht="15.75" hidden="1" customHeight="1">
      <c r="A280" s="5"/>
      <c r="H280" s="13"/>
    </row>
    <row r="281" ht="15.75" hidden="1" customHeight="1">
      <c r="A281" s="5" t="str">
        <f>IFERROR(__xludf.DUMMYFUNCTION("REGEXEXTRACT(H281, ""s*(.*?)\s*а\)"")"),"#N/A")</f>
        <v>#N/A</v>
      </c>
      <c r="B281" s="5">
        <v>1.0</v>
      </c>
      <c r="D281" s="5" t="str">
        <f>IFERROR(__xludf.DUMMYFUNCTION("REGEXREPLACE(REGEXEXTRACT(H281, ""а\)\s*(.*?)\s*б\)""), ""^\s*"", """")"),"#N/A")</f>
        <v>#N/A</v>
      </c>
      <c r="E281" s="5" t="str">
        <f>IFERROR(__xludf.DUMMYFUNCTION("REGEXREPLACE(REGEXEXTRACT(H281, ""б\)\s*(.*?)\s*в\)""), ""^\s*"", """")"),"#N/A")</f>
        <v>#N/A</v>
      </c>
      <c r="F281" s="5" t="str">
        <f>IFERROR(__xludf.DUMMYFUNCTION("REGEXREPLACE(REGEXEXTRACT(H281, ""в\)\s*(.*?)\s*г\)""), ""^\s*"", """")"),"#N/A")</f>
        <v>#N/A</v>
      </c>
      <c r="G281" s="5" t="str">
        <f>IFERROR(__xludf.DUMMYFUNCTION("REGEXREPLACE(REGEXEXTRACT(H281, ""г\)\s*(.*)""), ""^\s*"", """")"),"#N/A")</f>
        <v>#N/A</v>
      </c>
      <c r="H281" s="12"/>
    </row>
    <row r="282" ht="15.75" hidden="1" customHeight="1">
      <c r="A282" s="5"/>
      <c r="H282" s="13"/>
    </row>
    <row r="283" ht="15.75" customHeight="1">
      <c r="A283" s="5" t="str">
        <f>IFERROR(__xludf.DUMMYFUNCTION("REGEXEXTRACT(H283, ""s*(.*?)\s*а\)"")"),"С помощью чего можно приручить волка?")</f>
        <v>С помощью чего можно приручить волка?</v>
      </c>
      <c r="B283" s="5">
        <v>1.0</v>
      </c>
      <c r="D283" s="5" t="str">
        <f>IFERROR(__xludf.DUMMYFUNCTION("REGEXREPLACE(REGEXEXTRACT(H283, ""а\)\s*(.*?)\s*б\)""), ""^\s*"", """")"),"Кость")</f>
        <v>Кость</v>
      </c>
      <c r="E283" s="5" t="str">
        <f>IFERROR(__xludf.DUMMYFUNCTION("REGEXREPLACE(REGEXEXTRACT(H283, ""б\)\s*(.*?)\s*в\)""), ""^\s*"", """")"),"Мясо")</f>
        <v>Мясо</v>
      </c>
      <c r="F283" s="5" t="str">
        <f>IFERROR(__xludf.DUMMYFUNCTION("REGEXREPLACE(REGEXEXTRACT(H283, ""в\)\s*(.*?)\s*г\)""), ""^\s*"", """")"),"Рыба")</f>
        <v>Рыба</v>
      </c>
      <c r="G283" s="5" t="str">
        <f>IFERROR(__xludf.DUMMYFUNCTION("REGEXREPLACE(REGEXEXTRACT(H283, ""г\)\s*(.*)""), ""^\s*"", """")"),"Семена")</f>
        <v>Семена</v>
      </c>
      <c r="H283" s="12" t="s">
        <v>92</v>
      </c>
    </row>
    <row r="284" ht="15.75" hidden="1" customHeight="1">
      <c r="A284" s="5"/>
      <c r="H284" s="13"/>
    </row>
    <row r="285" ht="15.75" hidden="1" customHeight="1">
      <c r="A285" s="5" t="str">
        <f>IFERROR(__xludf.DUMMYFUNCTION("REGEXEXTRACT(H285, ""s*(.*?)\s*а\)"")"),"#N/A")</f>
        <v>#N/A</v>
      </c>
      <c r="B285" s="5">
        <v>1.0</v>
      </c>
      <c r="D285" s="5" t="str">
        <f>IFERROR(__xludf.DUMMYFUNCTION("REGEXREPLACE(REGEXEXTRACT(H285, ""а\)\s*(.*?)\s*б\)""), ""^\s*"", """")"),"#N/A")</f>
        <v>#N/A</v>
      </c>
      <c r="E285" s="5" t="str">
        <f>IFERROR(__xludf.DUMMYFUNCTION("REGEXREPLACE(REGEXEXTRACT(H285, ""б\)\s*(.*?)\s*в\)""), ""^\s*"", """")"),"#N/A")</f>
        <v>#N/A</v>
      </c>
      <c r="F285" s="5" t="str">
        <f>IFERROR(__xludf.DUMMYFUNCTION("REGEXREPLACE(REGEXEXTRACT(H285, ""в\)\s*(.*?)\s*г\)""), ""^\s*"", """")"),"#N/A")</f>
        <v>#N/A</v>
      </c>
      <c r="G285" s="5" t="str">
        <f>IFERROR(__xludf.DUMMYFUNCTION("REGEXREPLACE(REGEXEXTRACT(H285, ""г\)\s*(.*)""), ""^\s*"", """")"),"#N/A")</f>
        <v>#N/A</v>
      </c>
      <c r="H285" s="12"/>
    </row>
    <row r="286" ht="15.75" hidden="1" customHeight="1">
      <c r="A286" s="5"/>
      <c r="H286" s="13"/>
    </row>
    <row r="287" ht="15.75" hidden="1" customHeight="1">
      <c r="A287" s="5" t="str">
        <f>IFERROR(__xludf.DUMMYFUNCTION("REGEXEXTRACT(H287, ""s*(.*?)\s*а\)"")"),"#N/A")</f>
        <v>#N/A</v>
      </c>
      <c r="B287" s="5">
        <v>1.0</v>
      </c>
      <c r="D287" s="5" t="str">
        <f>IFERROR(__xludf.DUMMYFUNCTION("REGEXREPLACE(REGEXEXTRACT(H287, ""а\)\s*(.*?)\s*б\)""), ""^\s*"", """")"),"#N/A")</f>
        <v>#N/A</v>
      </c>
      <c r="E287" s="5" t="str">
        <f>IFERROR(__xludf.DUMMYFUNCTION("REGEXREPLACE(REGEXEXTRACT(H287, ""б\)\s*(.*?)\s*в\)""), ""^\s*"", """")"),"#N/A")</f>
        <v>#N/A</v>
      </c>
      <c r="F287" s="5" t="str">
        <f>IFERROR(__xludf.DUMMYFUNCTION("REGEXREPLACE(REGEXEXTRACT(H287, ""в\)\s*(.*?)\s*г\)""), ""^\s*"", """")"),"#N/A")</f>
        <v>#N/A</v>
      </c>
      <c r="G287" s="5" t="str">
        <f>IFERROR(__xludf.DUMMYFUNCTION("REGEXREPLACE(REGEXEXTRACT(H287, ""г\)\s*(.*)""), ""^\s*"", """")"),"#N/A")</f>
        <v>#N/A</v>
      </c>
      <c r="H287" s="12"/>
    </row>
    <row r="288" ht="15.75" hidden="1" customHeight="1">
      <c r="A288" s="5"/>
      <c r="H288" s="13"/>
    </row>
    <row r="289" ht="15.75" customHeight="1">
      <c r="A289" s="5" t="str">
        <f>IFERROR(__xludf.DUMMYFUNCTION("REGEXEXTRACT(H289, ""s*(.*?)\s*а\)"")"),"Какой блок используется для передачи сигнала редстоуна на расстояние?")</f>
        <v>Какой блок используется для передачи сигнала редстоуна на расстояние?</v>
      </c>
      <c r="B289" s="5">
        <v>1.0</v>
      </c>
      <c r="D289" s="5" t="str">
        <f>IFERROR(__xludf.DUMMYFUNCTION("REGEXREPLACE(REGEXEXTRACT(H289, ""а\)\s*(.*?)\s*б\)""), ""^\s*"", """")"),"Повторитель")</f>
        <v>Повторитель</v>
      </c>
      <c r="E289" s="5" t="str">
        <f>IFERROR(__xludf.DUMMYFUNCTION("REGEXREPLACE(REGEXEXTRACT(H289, ""б\)\s*(.*?)\s*в\)""), ""^\s*"", """")"),"Компаратор")</f>
        <v>Компаратор</v>
      </c>
      <c r="F289" s="5" t="str">
        <f>IFERROR(__xludf.DUMMYFUNCTION("REGEXREPLACE(REGEXEXTRACT(H289, ""в\)\s*(.*?)\s*г\)""), ""^\s*"", """")"),"Поршень")</f>
        <v>Поршень</v>
      </c>
      <c r="G289" s="5" t="str">
        <f>IFERROR(__xludf.DUMMYFUNCTION("REGEXREPLACE(REGEXEXTRACT(H289, ""г\)\s*(.*)""), ""^\s*"", """")"),"Наблюдатель")</f>
        <v>Наблюдатель</v>
      </c>
      <c r="H289" s="12" t="s">
        <v>93</v>
      </c>
    </row>
    <row r="290" ht="15.75" hidden="1" customHeight="1">
      <c r="A290" s="5"/>
      <c r="H290" s="13"/>
    </row>
    <row r="291" ht="15.75" hidden="1" customHeight="1">
      <c r="A291" s="5" t="str">
        <f>IFERROR(__xludf.DUMMYFUNCTION("REGEXEXTRACT(H291, ""s*(.*?)\s*а\)"")"),"#N/A")</f>
        <v>#N/A</v>
      </c>
      <c r="B291" s="5">
        <v>1.0</v>
      </c>
      <c r="D291" s="5" t="str">
        <f>IFERROR(__xludf.DUMMYFUNCTION("REGEXREPLACE(REGEXEXTRACT(H291, ""а\)\s*(.*?)\s*б\)""), ""^\s*"", """")"),"#N/A")</f>
        <v>#N/A</v>
      </c>
      <c r="E291" s="5" t="str">
        <f>IFERROR(__xludf.DUMMYFUNCTION("REGEXREPLACE(REGEXEXTRACT(H291, ""б\)\s*(.*?)\s*в\)""), ""^\s*"", """")"),"#N/A")</f>
        <v>#N/A</v>
      </c>
      <c r="F291" s="5" t="str">
        <f>IFERROR(__xludf.DUMMYFUNCTION("REGEXREPLACE(REGEXEXTRACT(H291, ""в\)\s*(.*?)\s*г\)""), ""^\s*"", """")"),"#N/A")</f>
        <v>#N/A</v>
      </c>
      <c r="G291" s="5" t="str">
        <f>IFERROR(__xludf.DUMMYFUNCTION("REGEXREPLACE(REGEXEXTRACT(H291, ""г\)\s*(.*)""), ""^\s*"", """")"),"#N/A")</f>
        <v>#N/A</v>
      </c>
      <c r="H291" s="12"/>
    </row>
    <row r="292" ht="15.75" hidden="1" customHeight="1">
      <c r="A292" s="5"/>
      <c r="H292" s="13"/>
    </row>
    <row r="293" ht="15.75" hidden="1" customHeight="1">
      <c r="A293" s="5" t="str">
        <f>IFERROR(__xludf.DUMMYFUNCTION("REGEXEXTRACT(H293, ""s*(.*?)\s*а\)"")"),"#N/A")</f>
        <v>#N/A</v>
      </c>
      <c r="B293" s="5">
        <v>1.0</v>
      </c>
      <c r="D293" s="5" t="str">
        <f>IFERROR(__xludf.DUMMYFUNCTION("REGEXREPLACE(REGEXEXTRACT(H293, ""а\)\s*(.*?)\s*б\)""), ""^\s*"", """")"),"#N/A")</f>
        <v>#N/A</v>
      </c>
      <c r="E293" s="5" t="str">
        <f>IFERROR(__xludf.DUMMYFUNCTION("REGEXREPLACE(REGEXEXTRACT(H293, ""б\)\s*(.*?)\s*в\)""), ""^\s*"", """")"),"#N/A")</f>
        <v>#N/A</v>
      </c>
      <c r="F293" s="5" t="str">
        <f>IFERROR(__xludf.DUMMYFUNCTION("REGEXREPLACE(REGEXEXTRACT(H293, ""в\)\s*(.*?)\s*г\)""), ""^\s*"", """")"),"#N/A")</f>
        <v>#N/A</v>
      </c>
      <c r="G293" s="5" t="str">
        <f>IFERROR(__xludf.DUMMYFUNCTION("REGEXREPLACE(REGEXEXTRACT(H293, ""г\)\s*(.*)""), ""^\s*"", """")"),"#N/A")</f>
        <v>#N/A</v>
      </c>
      <c r="H293" s="12"/>
    </row>
    <row r="294" ht="15.75" hidden="1" customHeight="1">
      <c r="A294" s="5"/>
      <c r="H294" s="13"/>
    </row>
    <row r="295" ht="15.75" customHeight="1">
      <c r="A295" s="5" t="str">
        <f>IFERROR(__xludf.DUMMYFUNCTION("REGEXEXTRACT(H295, ""s*(.*?)\s*а\)"")"),"Какой моб обладает способностью взбираться по стенам?")</f>
        <v>Какой моб обладает способностью взбираться по стенам?</v>
      </c>
      <c r="B295" s="5">
        <v>1.0</v>
      </c>
      <c r="D295" s="5" t="str">
        <f>IFERROR(__xludf.DUMMYFUNCTION("REGEXREPLACE(REGEXEXTRACT(H295, ""а\)\s*(.*?)\s*б\)""), ""^\s*"", """")"),"Паук")</f>
        <v>Паук</v>
      </c>
      <c r="E295" s="5" t="str">
        <f>IFERROR(__xludf.DUMMYFUNCTION("REGEXREPLACE(REGEXEXTRACT(H295, ""б\)\s*(.*?)\s*в\)""), ""^\s*"", """")"),"Зомби")</f>
        <v>Зомби</v>
      </c>
      <c r="F295" s="5" t="str">
        <f>IFERROR(__xludf.DUMMYFUNCTION("REGEXREPLACE(REGEXEXTRACT(H295, ""в\)\s*(.*?)\s*г\)""), ""^\s*"", """")"),"Скелет")</f>
        <v>Скелет</v>
      </c>
      <c r="G295" s="5" t="str">
        <f>IFERROR(__xludf.DUMMYFUNCTION("REGEXREPLACE(REGEXEXTRACT(H295, ""г\)\s*(.*)""), ""^\s*"", """")"),"Крипер")</f>
        <v>Крипер</v>
      </c>
      <c r="H295" s="12" t="s">
        <v>94</v>
      </c>
    </row>
    <row r="296" ht="15.75" hidden="1" customHeight="1">
      <c r="A296" s="5"/>
      <c r="H296" s="13"/>
    </row>
    <row r="297" ht="15.75" hidden="1" customHeight="1">
      <c r="A297" s="5" t="str">
        <f>IFERROR(__xludf.DUMMYFUNCTION("REGEXEXTRACT(H297, ""s*(.*?)\s*а\)"")"),"#N/A")</f>
        <v>#N/A</v>
      </c>
      <c r="B297" s="5">
        <v>1.0</v>
      </c>
      <c r="D297" s="5" t="str">
        <f>IFERROR(__xludf.DUMMYFUNCTION("REGEXREPLACE(REGEXEXTRACT(H297, ""а\)\s*(.*?)\s*б\)""), ""^\s*"", """")"),"#N/A")</f>
        <v>#N/A</v>
      </c>
      <c r="E297" s="5" t="str">
        <f>IFERROR(__xludf.DUMMYFUNCTION("REGEXREPLACE(REGEXEXTRACT(H297, ""б\)\s*(.*?)\s*в\)""), ""^\s*"", """")"),"#N/A")</f>
        <v>#N/A</v>
      </c>
      <c r="F297" s="5" t="str">
        <f>IFERROR(__xludf.DUMMYFUNCTION("REGEXREPLACE(REGEXEXTRACT(H297, ""в\)\s*(.*?)\s*г\)""), ""^\s*"", """")"),"#N/A")</f>
        <v>#N/A</v>
      </c>
      <c r="G297" s="5" t="str">
        <f>IFERROR(__xludf.DUMMYFUNCTION("REGEXREPLACE(REGEXEXTRACT(H297, ""г\)\s*(.*)""), ""^\s*"", """")"),"#N/A")</f>
        <v>#N/A</v>
      </c>
      <c r="H297" s="12"/>
    </row>
    <row r="298" ht="15.75" hidden="1" customHeight="1">
      <c r="A298" s="5"/>
      <c r="H298" s="13"/>
    </row>
    <row r="299" ht="15.75" hidden="1" customHeight="1">
      <c r="A299" s="5" t="str">
        <f>IFERROR(__xludf.DUMMYFUNCTION("REGEXEXTRACT(H299, ""s*(.*?)\s*а\)"")"),"#N/A")</f>
        <v>#N/A</v>
      </c>
      <c r="B299" s="5">
        <v>1.0</v>
      </c>
      <c r="D299" s="5" t="str">
        <f>IFERROR(__xludf.DUMMYFUNCTION("REGEXREPLACE(REGEXEXTRACT(H299, ""а\)\s*(.*?)\s*б\)""), ""^\s*"", """")"),"#N/A")</f>
        <v>#N/A</v>
      </c>
      <c r="E299" s="5" t="str">
        <f>IFERROR(__xludf.DUMMYFUNCTION("REGEXREPLACE(REGEXEXTRACT(H299, ""б\)\s*(.*?)\s*в\)""), ""^\s*"", """")"),"#N/A")</f>
        <v>#N/A</v>
      </c>
      <c r="F299" s="5" t="str">
        <f>IFERROR(__xludf.DUMMYFUNCTION("REGEXREPLACE(REGEXEXTRACT(H299, ""в\)\s*(.*?)\s*г\)""), ""^\s*"", """")"),"#N/A")</f>
        <v>#N/A</v>
      </c>
      <c r="G299" s="5" t="str">
        <f>IFERROR(__xludf.DUMMYFUNCTION("REGEXREPLACE(REGEXEXTRACT(H299, ""г\)\s*(.*)""), ""^\s*"", """")"),"#N/A")</f>
        <v>#N/A</v>
      </c>
      <c r="H299" s="12"/>
    </row>
    <row r="300" ht="15.75" hidden="1" customHeight="1">
      <c r="A300" s="5"/>
      <c r="H300" s="13"/>
    </row>
    <row r="301" ht="15.75" customHeight="1">
      <c r="A301" s="5" t="str">
        <f>IFERROR(__xludf.DUMMYFUNCTION("REGEXEXTRACT(H301, ""s*(.*?)\s*а\)"")"),"Какой моб появляется в аду и стреляет огненными шарами?")</f>
        <v>Какой моб появляется в аду и стреляет огненными шарами?</v>
      </c>
      <c r="B301" s="5">
        <v>1.0</v>
      </c>
      <c r="D301" s="5" t="str">
        <f>IFERROR(__xludf.DUMMYFUNCTION("REGEXREPLACE(REGEXEXTRACT(H301, ""а\)\s*(.*?)\s*б\)""), ""^\s*"", """")"),"Гаст")</f>
        <v>Гаст</v>
      </c>
      <c r="E301" s="5" t="str">
        <f>IFERROR(__xludf.DUMMYFUNCTION("REGEXREPLACE(REGEXEXTRACT(H301, ""б\)\s*(.*?)\s*в\)""), ""^\s*"", """")"),"Зомби-свиночеловек")</f>
        <v>Зомби-свиночеловек</v>
      </c>
      <c r="F301" s="5" t="str">
        <f>IFERROR(__xludf.DUMMYFUNCTION("REGEXREPLACE(REGEXEXTRACT(H301, ""в\)\s*(.*?)\s*г\)""), ""^\s*"", """")"),"Скелет")</f>
        <v>Скелет</v>
      </c>
      <c r="G301" s="5" t="str">
        <f>IFERROR(__xludf.DUMMYFUNCTION("REGEXREPLACE(REGEXEXTRACT(H301, ""г\)\s*(.*)""), ""^\s*"", """")"),"Лавовый куб")</f>
        <v>Лавовый куб</v>
      </c>
      <c r="H301" s="12" t="s">
        <v>95</v>
      </c>
    </row>
    <row r="302" ht="15.75" hidden="1" customHeight="1">
      <c r="A302" s="5"/>
      <c r="H302" s="13"/>
    </row>
    <row r="303" ht="15.75" hidden="1" customHeight="1">
      <c r="A303" s="5" t="str">
        <f>IFERROR(__xludf.DUMMYFUNCTION("REGEXEXTRACT(H303, ""s*(.*?)\s*а\)"")"),"#N/A")</f>
        <v>#N/A</v>
      </c>
      <c r="B303" s="5">
        <v>1.0</v>
      </c>
      <c r="D303" s="5" t="str">
        <f>IFERROR(__xludf.DUMMYFUNCTION("REGEXREPLACE(REGEXEXTRACT(H303, ""а\)\s*(.*?)\s*б\)""), ""^\s*"", """")"),"#N/A")</f>
        <v>#N/A</v>
      </c>
      <c r="E303" s="5" t="str">
        <f>IFERROR(__xludf.DUMMYFUNCTION("REGEXREPLACE(REGEXEXTRACT(H303, ""б\)\s*(.*?)\s*в\)""), ""^\s*"", """")"),"#N/A")</f>
        <v>#N/A</v>
      </c>
      <c r="F303" s="5" t="str">
        <f>IFERROR(__xludf.DUMMYFUNCTION("REGEXREPLACE(REGEXEXTRACT(H303, ""в\)\s*(.*?)\s*г\)""), ""^\s*"", """")"),"#N/A")</f>
        <v>#N/A</v>
      </c>
      <c r="G303" s="5" t="str">
        <f>IFERROR(__xludf.DUMMYFUNCTION("REGEXREPLACE(REGEXEXTRACT(H303, ""г\)\s*(.*)""), ""^\s*"", """")"),"#N/A")</f>
        <v>#N/A</v>
      </c>
      <c r="H303" s="12"/>
    </row>
    <row r="304" ht="15.75" hidden="1" customHeight="1">
      <c r="A304" s="5"/>
      <c r="H304" s="13"/>
    </row>
    <row r="305" ht="15.75" hidden="1" customHeight="1">
      <c r="A305" s="5" t="str">
        <f>IFERROR(__xludf.DUMMYFUNCTION("REGEXEXTRACT(H305, ""s*(.*?)\s*а\)"")"),"#N/A")</f>
        <v>#N/A</v>
      </c>
      <c r="B305" s="5">
        <v>1.0</v>
      </c>
      <c r="D305" s="5" t="str">
        <f>IFERROR(__xludf.DUMMYFUNCTION("REGEXREPLACE(REGEXEXTRACT(H305, ""а\)\s*(.*?)\s*б\)""), ""^\s*"", """")"),"#N/A")</f>
        <v>#N/A</v>
      </c>
      <c r="E305" s="5" t="str">
        <f>IFERROR(__xludf.DUMMYFUNCTION("REGEXREPLACE(REGEXEXTRACT(H305, ""б\)\s*(.*?)\s*в\)""), ""^\s*"", """")"),"#N/A")</f>
        <v>#N/A</v>
      </c>
      <c r="F305" s="5" t="str">
        <f>IFERROR(__xludf.DUMMYFUNCTION("REGEXREPLACE(REGEXEXTRACT(H305, ""в\)\s*(.*?)\s*г\)""), ""^\s*"", """")"),"#N/A")</f>
        <v>#N/A</v>
      </c>
      <c r="G305" s="5" t="str">
        <f>IFERROR(__xludf.DUMMYFUNCTION("REGEXREPLACE(REGEXEXTRACT(H305, ""г\)\s*(.*)""), ""^\s*"", """")"),"#N/A")</f>
        <v>#N/A</v>
      </c>
      <c r="H305" s="12"/>
    </row>
    <row r="306" ht="15.75" hidden="1" customHeight="1">
      <c r="A306" s="5"/>
      <c r="H306" s="13"/>
    </row>
    <row r="307" ht="15.75" hidden="1" customHeight="1">
      <c r="A307" s="5" t="str">
        <f>IFERROR(__xludf.DUMMYFUNCTION("REGEXEXTRACT(H307, ""s*(.*?)\s*а\)"")"),"#N/A")</f>
        <v>#N/A</v>
      </c>
      <c r="B307" s="5">
        <v>1.0</v>
      </c>
      <c r="D307" s="5" t="str">
        <f>IFERROR(__xludf.DUMMYFUNCTION("REGEXREPLACE(REGEXEXTRACT(H307, ""а\)\s*(.*?)\s*б\)""), ""^\s*"", """")"),"#N/A")</f>
        <v>#N/A</v>
      </c>
      <c r="E307" s="5" t="str">
        <f>IFERROR(__xludf.DUMMYFUNCTION("REGEXREPLACE(REGEXEXTRACT(H307, ""б\)\s*(.*?)\s*в\)""), ""^\s*"", """")"),"#N/A")</f>
        <v>#N/A</v>
      </c>
      <c r="F307" s="5" t="str">
        <f>IFERROR(__xludf.DUMMYFUNCTION("REGEXREPLACE(REGEXEXTRACT(H307, ""в\)\s*(.*?)\s*г\)""), ""^\s*"", """")"),"#N/A")</f>
        <v>#N/A</v>
      </c>
      <c r="G307" s="5" t="str">
        <f>IFERROR(__xludf.DUMMYFUNCTION("REGEXREPLACE(REGEXEXTRACT(H307, ""г\)\s*(.*)""), ""^\s*"", """")"),"#N/A")</f>
        <v>#N/A</v>
      </c>
      <c r="H307" s="12"/>
    </row>
    <row r="308" ht="15.75" hidden="1" customHeight="1">
      <c r="A308" s="5"/>
      <c r="H308" s="13"/>
    </row>
    <row r="309" ht="15.75" customHeight="1">
      <c r="A309" s="5" t="str">
        <f>IFERROR(__xludf.DUMMYFUNCTION("REGEXEXTRACT(H309, ""s*(.*?)\s*а\)"")"),"Что является основным ресурсом для создания строительных лесов?")</f>
        <v>Что является основным ресурсом для создания строительных лесов?</v>
      </c>
      <c r="B309" s="5">
        <v>1.0</v>
      </c>
      <c r="D309" s="5" t="str">
        <f>IFERROR(__xludf.DUMMYFUNCTION("REGEXREPLACE(REGEXEXTRACT(H309, ""а\)\s*(.*?)\s*б\)""), ""^\s*"", """")"),"Бамбук")</f>
        <v>Бамбук</v>
      </c>
      <c r="E309" s="5" t="str">
        <f>IFERROR(__xludf.DUMMYFUNCTION("REGEXREPLACE(REGEXEXTRACT(H309, ""б\)\s*(.*?)\s*в\)""), ""^\s*"", """")"),"Дерево")</f>
        <v>Дерево</v>
      </c>
      <c r="F309" s="5" t="str">
        <f>IFERROR(__xludf.DUMMYFUNCTION("REGEXREPLACE(REGEXEXTRACT(H309, ""в\)\s*(.*?)\s*г\)""), ""^\s*"", """")"),"Камень")</f>
        <v>Камень</v>
      </c>
      <c r="G309" s="5" t="str">
        <f>IFERROR(__xludf.DUMMYFUNCTION("REGEXREPLACE(REGEXEXTRACT(H309, ""г\)\s*(.*)""), ""^\s*"", """")"),"Железо")</f>
        <v>Железо</v>
      </c>
      <c r="H309" s="12" t="s">
        <v>96</v>
      </c>
    </row>
    <row r="310" ht="15.75" hidden="1" customHeight="1">
      <c r="A310" s="5"/>
      <c r="H310" s="13"/>
    </row>
    <row r="311" ht="15.75" customHeight="1">
      <c r="A311" s="5" t="str">
        <f>IFERROR(__xludf.DUMMYFUNCTION("REGEXEXTRACT(H311, ""s*(.*?)\s*а\)"")"),"С помощью чего можно быстро вспахивать землю?")</f>
        <v>С помощью чего можно быстро вспахивать землю?</v>
      </c>
      <c r="B311" s="5">
        <v>1.0</v>
      </c>
      <c r="D311" s="5" t="str">
        <f>IFERROR(__xludf.DUMMYFUNCTION("REGEXREPLACE(REGEXEXTRACT(H311, ""а\)\s*(.*?)\s*б\)""), ""^\s*"", """")"),"Мотыга")</f>
        <v>Мотыга</v>
      </c>
      <c r="E311" s="5" t="str">
        <f>IFERROR(__xludf.DUMMYFUNCTION("REGEXREPLACE(REGEXEXTRACT(H311, ""б\)\s*(.*?)\s*в\)""), ""^\s*"", """")"),"Лопата")</f>
        <v>Лопата</v>
      </c>
      <c r="F311" s="5" t="str">
        <f>IFERROR(__xludf.DUMMYFUNCTION("REGEXREPLACE(REGEXEXTRACT(H311, ""в\)\s*(.*?)\s*г\)""), ""^\s*"", """")"),"Кирка")</f>
        <v>Кирка</v>
      </c>
      <c r="G311" s="5" t="str">
        <f>IFERROR(__xludf.DUMMYFUNCTION("REGEXREPLACE(REGEXEXTRACT(H311, ""г\)\s*(.*)""), ""^\s*"", """")"),"Топор")</f>
        <v>Топор</v>
      </c>
      <c r="H311" s="12" t="s">
        <v>97</v>
      </c>
    </row>
    <row r="312" ht="15.75" hidden="1" customHeight="1">
      <c r="A312" s="5"/>
      <c r="H312" s="13"/>
    </row>
    <row r="313" ht="15.75" customHeight="1">
      <c r="A313" s="5" t="str">
        <f>IFERROR(__xludf.DUMMYFUNCTION("REGEXEXTRACT(H313, ""s*(.*?)\s*а\)"")"),"Какой моб нападает на жителей деревень?")</f>
        <v>Какой моб нападает на жителей деревень?</v>
      </c>
      <c r="B313" s="5">
        <v>1.0</v>
      </c>
      <c r="D313" s="5" t="str">
        <f>IFERROR(__xludf.DUMMYFUNCTION("REGEXREPLACE(REGEXEXTRACT(H313, ""а\)\s*(.*?)\s*б\)""), ""^\s*"", """")"),"Зомби")</f>
        <v>Зомби</v>
      </c>
      <c r="E313" s="5" t="str">
        <f>IFERROR(__xludf.DUMMYFUNCTION("REGEXREPLACE(REGEXEXTRACT(H313, ""б\)\s*(.*?)\s*в\)""), ""^\s*"", """")"),"Скелет")</f>
        <v>Скелет</v>
      </c>
      <c r="F313" s="5" t="str">
        <f>IFERROR(__xludf.DUMMYFUNCTION("REGEXREPLACE(REGEXEXTRACT(H313, ""в\)\s*(.*?)\s*г\)""), ""^\s*"", """")"),"Крипер")</f>
        <v>Крипер</v>
      </c>
      <c r="G313" s="5" t="str">
        <f>IFERROR(__xludf.DUMMYFUNCTION("REGEXREPLACE(REGEXEXTRACT(H313, ""г\)\s*(.*)""), ""^\s*"", """")"),"Паук")</f>
        <v>Паук</v>
      </c>
      <c r="H313" s="12" t="s">
        <v>98</v>
      </c>
    </row>
    <row r="314" ht="15.75" hidden="1" customHeight="1">
      <c r="A314" s="5"/>
      <c r="H314" s="13"/>
    </row>
    <row r="315" ht="15.75" hidden="1" customHeight="1">
      <c r="A315" s="5" t="str">
        <f>IFERROR(__xludf.DUMMYFUNCTION("REGEXEXTRACT(H315, ""s*(.*?)\s*а\)"")"),"#N/A")</f>
        <v>#N/A</v>
      </c>
      <c r="B315" s="5">
        <v>1.0</v>
      </c>
      <c r="D315" s="5" t="str">
        <f>IFERROR(__xludf.DUMMYFUNCTION("REGEXREPLACE(REGEXEXTRACT(H315, ""а\)\s*(.*?)\s*б\)""), ""^\s*"", """")"),"#N/A")</f>
        <v>#N/A</v>
      </c>
      <c r="E315" s="5" t="str">
        <f>IFERROR(__xludf.DUMMYFUNCTION("REGEXREPLACE(REGEXEXTRACT(H315, ""б\)\s*(.*?)\s*в\)""), ""^\s*"", """")"),"#N/A")</f>
        <v>#N/A</v>
      </c>
      <c r="F315" s="5" t="str">
        <f>IFERROR(__xludf.DUMMYFUNCTION("REGEXREPLACE(REGEXEXTRACT(H315, ""в\)\s*(.*?)\s*г\)""), ""^\s*"", """")"),"#N/A")</f>
        <v>#N/A</v>
      </c>
      <c r="G315" s="5" t="str">
        <f>IFERROR(__xludf.DUMMYFUNCTION("REGEXREPLACE(REGEXEXTRACT(H315, ""г\)\s*(.*)""), ""^\s*"", """")"),"#N/A")</f>
        <v>#N/A</v>
      </c>
      <c r="H315" s="12"/>
    </row>
    <row r="316" ht="15.75" hidden="1" customHeight="1">
      <c r="A316" s="5"/>
      <c r="H316" s="13"/>
    </row>
    <row r="317" ht="15.75" customHeight="1">
      <c r="A317" s="5" t="str">
        <f>IFERROR(__xludf.DUMMYFUNCTION("REGEXEXTRACT(H317, ""s*(.*?)\s*а\)"")"),"С помощью чего можно собирать мед из улья?")</f>
        <v>С помощью чего можно собирать мед из улья?</v>
      </c>
      <c r="B317" s="5">
        <v>1.0</v>
      </c>
      <c r="D317" s="5" t="str">
        <f>IFERROR(__xludf.DUMMYFUNCTION("REGEXREPLACE(REGEXEXTRACT(H317, ""а\)\s*(.*?)\s*б\)""), ""^\s*"", """")"),"Стеклянная бутылка")</f>
        <v>Стеклянная бутылка</v>
      </c>
      <c r="E317" s="5" t="str">
        <f>IFERROR(__xludf.DUMMYFUNCTION("REGEXREPLACE(REGEXEXTRACT(H317, ""б\)\s*(.*?)\s*в\)""), ""^\s*"", """")"),"Ведро")</f>
        <v>Ведро</v>
      </c>
      <c r="F317" s="5" t="str">
        <f>IFERROR(__xludf.DUMMYFUNCTION("REGEXREPLACE(REGEXEXTRACT(H317, ""в\)\s*(.*?)\s*г\)""), ""^\s*"", """")"),"Лопата")</f>
        <v>Лопата</v>
      </c>
      <c r="G317" s="5" t="str">
        <f>IFERROR(__xludf.DUMMYFUNCTION("REGEXREPLACE(REGEXEXTRACT(H317, ""г\)\s*(.*)""), ""^\s*"", """")"),"Топор")</f>
        <v>Топор</v>
      </c>
      <c r="H317" s="12" t="s">
        <v>99</v>
      </c>
    </row>
    <row r="318" ht="15.75" hidden="1" customHeight="1">
      <c r="A318" s="5"/>
      <c r="H318" s="13"/>
    </row>
    <row r="319" ht="15.75" customHeight="1">
      <c r="A319" s="5" t="str">
        <f>IFERROR(__xludf.DUMMYFUNCTION("REGEXEXTRACT(H319, ""s*(.*?)\s*а\)"")"),"Какой предмет необходим для создания зелья невидимости?")</f>
        <v>Какой предмет необходим для создания зелья невидимости?</v>
      </c>
      <c r="B319" s="5">
        <v>1.0</v>
      </c>
      <c r="D319" s="5" t="str">
        <f>IFERROR(__xludf.DUMMYFUNCTION("REGEXREPLACE(REGEXEXTRACT(H319, ""а\)\s*(.*?)\s*б\)""), ""^\s*"", """")"),"Золотая морковь")</f>
        <v>Золотая морковь</v>
      </c>
      <c r="E319" s="5" t="str">
        <f>IFERROR(__xludf.DUMMYFUNCTION("REGEXREPLACE(REGEXEXTRACT(H319, ""б\)\s*(.*?)\s*в\)""), ""^\s*"", """")"),"Слеза гаста")</f>
        <v>Слеза гаста</v>
      </c>
      <c r="F319" s="5" t="str">
        <f>IFERROR(__xludf.DUMMYFUNCTION("REGEXREPLACE(REGEXEXTRACT(H319, ""в\)\s*(.*?)\s*г\)""), ""^\s*"", """")"),"Алмаз")</f>
        <v>Алмаз</v>
      </c>
      <c r="G319" s="5" t="str">
        <f>IFERROR(__xludf.DUMMYFUNCTION("REGEXREPLACE(REGEXEXTRACT(H319, ""г\)\s*(.*)""), ""^\s*"", """")"),"Лава")</f>
        <v>Лава</v>
      </c>
      <c r="H319" s="12" t="s">
        <v>100</v>
      </c>
    </row>
    <row r="320" ht="15.75" hidden="1" customHeight="1">
      <c r="A320" s="5"/>
      <c r="H320" s="13"/>
    </row>
    <row r="321" ht="15.75" customHeight="1">
      <c r="A321" s="5" t="str">
        <f>IFERROR(__xludf.DUMMYFUNCTION("REGEXEXTRACT(H321, ""s*(.*?)\s*а\)"")"),"Что используется для создания музыкальных блоков?")</f>
        <v>Что используется для создания музыкальных блоков?</v>
      </c>
      <c r="B321" s="5">
        <v>1.0</v>
      </c>
      <c r="D321" s="5" t="str">
        <f>IFERROR(__xludf.DUMMYFUNCTION("REGEXREPLACE(REGEXEXTRACT(H321, ""а\)\s*(.*?)\s*б\)""), ""^\s*"", """")"),"Дерево")</f>
        <v>Дерево</v>
      </c>
      <c r="E321" s="5" t="str">
        <f>IFERROR(__xludf.DUMMYFUNCTION("REGEXREPLACE(REGEXEXTRACT(H321, ""б\)\s*(.*?)\s*в\)""), ""^\s*"", """")"),"Камень")</f>
        <v>Камень</v>
      </c>
      <c r="F321" s="5" t="str">
        <f>IFERROR(__xludf.DUMMYFUNCTION("REGEXREPLACE(REGEXEXTRACT(H321, ""в\)\s*(.*?)\s*г\)""), ""^\s*"", """")"),"Железо")</f>
        <v>Железо</v>
      </c>
      <c r="G321" s="5" t="str">
        <f>IFERROR(__xludf.DUMMYFUNCTION("REGEXREPLACE(REGEXEXTRACT(H321, ""г\)\s*(.*)""), ""^\s*"", """")"),"Алмаз")</f>
        <v>Алмаз</v>
      </c>
      <c r="H321" s="12" t="s">
        <v>101</v>
      </c>
    </row>
    <row r="322" ht="15.75" hidden="1" customHeight="1">
      <c r="A322" s="5"/>
      <c r="H322" s="13"/>
    </row>
    <row r="323" ht="15.75" customHeight="1">
      <c r="A323" s="5" t="str">
        <f>IFERROR(__xludf.DUMMYFUNCTION("REGEXEXTRACT(H323, ""s*(.*?)\s*а\)"")"),"Какой моб плавает в воде и может атаковать игрока?")</f>
        <v>Какой моб плавает в воде и может атаковать игрока?</v>
      </c>
      <c r="B323" s="5">
        <v>1.0</v>
      </c>
      <c r="D323" s="5" t="str">
        <f>IFERROR(__xludf.DUMMYFUNCTION("REGEXREPLACE(REGEXEXTRACT(H323, ""а\)\s*(.*?)\s*б\)""), ""^\s*"", """")"),"Утопленник")</f>
        <v>Утопленник</v>
      </c>
      <c r="E323" s="5" t="str">
        <f>IFERROR(__xludf.DUMMYFUNCTION("REGEXREPLACE(REGEXEXTRACT(H323, ""б\)\s*(.*?)\s*в\)""), ""^\s*"", """")"),"Скелет")</f>
        <v>Скелет</v>
      </c>
      <c r="F323" s="5" t="str">
        <f>IFERROR(__xludf.DUMMYFUNCTION("REGEXREPLACE(REGEXEXTRACT(H323, ""в\)\s*(.*?)\s*г\)""), ""^\s*"", """")"),"Зомби")</f>
        <v>Зомби</v>
      </c>
      <c r="G323" s="5" t="str">
        <f>IFERROR(__xludf.DUMMYFUNCTION("REGEXREPLACE(REGEXEXTRACT(H323, ""г\)\s*(.*)""), ""^\s*"", """")"),"Крипер")</f>
        <v>Крипер</v>
      </c>
      <c r="H323" s="12" t="s">
        <v>102</v>
      </c>
    </row>
    <row r="324" ht="15.75" hidden="1" customHeight="1">
      <c r="A324" s="5"/>
      <c r="H324" s="13"/>
    </row>
    <row r="325" ht="15.75" hidden="1" customHeight="1">
      <c r="A325" s="5" t="str">
        <f>IFERROR(__xludf.DUMMYFUNCTION("REGEXEXTRACT(H325, ""s*(.*?)\s*а\)"")"),"#N/A")</f>
        <v>#N/A</v>
      </c>
      <c r="B325" s="5">
        <v>1.0</v>
      </c>
      <c r="D325" s="5" t="str">
        <f>IFERROR(__xludf.DUMMYFUNCTION("REGEXREPLACE(REGEXEXTRACT(H325, ""а\)\s*(.*?)\s*б\)""), ""^\s*"", """")"),"#N/A")</f>
        <v>#N/A</v>
      </c>
      <c r="E325" s="5" t="str">
        <f>IFERROR(__xludf.DUMMYFUNCTION("REGEXREPLACE(REGEXEXTRACT(H325, ""б\)\s*(.*?)\s*в\)""), ""^\s*"", """")"),"#N/A")</f>
        <v>#N/A</v>
      </c>
      <c r="F325" s="5" t="str">
        <f>IFERROR(__xludf.DUMMYFUNCTION("REGEXREPLACE(REGEXEXTRACT(H325, ""в\)\s*(.*?)\s*г\)""), ""^\s*"", """")"),"#N/A")</f>
        <v>#N/A</v>
      </c>
      <c r="G325" s="5" t="str">
        <f>IFERROR(__xludf.DUMMYFUNCTION("REGEXREPLACE(REGEXEXTRACT(H325, ""г\)\s*(.*)""), ""^\s*"", """")"),"#N/A")</f>
        <v>#N/A</v>
      </c>
      <c r="H325" s="12"/>
    </row>
    <row r="326" ht="15.75" hidden="1" customHeight="1">
      <c r="A326" s="5"/>
      <c r="H326" s="13"/>
    </row>
    <row r="327" ht="15.75" hidden="1" customHeight="1">
      <c r="A327" s="5" t="str">
        <f>IFERROR(__xludf.DUMMYFUNCTION("REGEXEXTRACT(H327, ""s*(.*?)\s*а\)"")"),"#N/A")</f>
        <v>#N/A</v>
      </c>
      <c r="B327" s="5">
        <v>1.0</v>
      </c>
      <c r="D327" s="5" t="str">
        <f>IFERROR(__xludf.DUMMYFUNCTION("REGEXREPLACE(REGEXEXTRACT(H327, ""а\)\s*(.*?)\s*б\)""), ""^\s*"", """")"),"#N/A")</f>
        <v>#N/A</v>
      </c>
      <c r="E327" s="5" t="str">
        <f>IFERROR(__xludf.DUMMYFUNCTION("REGEXREPLACE(REGEXEXTRACT(H327, ""б\)\s*(.*?)\s*в\)""), ""^\s*"", """")"),"#N/A")</f>
        <v>#N/A</v>
      </c>
      <c r="F327" s="5" t="str">
        <f>IFERROR(__xludf.DUMMYFUNCTION("REGEXREPLACE(REGEXEXTRACT(H327, ""в\)\s*(.*?)\s*г\)""), ""^\s*"", """")"),"#N/A")</f>
        <v>#N/A</v>
      </c>
      <c r="G327" s="5" t="str">
        <f>IFERROR(__xludf.DUMMYFUNCTION("REGEXREPLACE(REGEXEXTRACT(H327, ""г\)\s*(.*)""), ""^\s*"", """")"),"#N/A")</f>
        <v>#N/A</v>
      </c>
      <c r="H327" s="12"/>
    </row>
    <row r="328" ht="15.75" hidden="1" customHeight="1">
      <c r="A328" s="5"/>
      <c r="H328" s="13"/>
    </row>
    <row r="329" ht="15.75" customHeight="1">
      <c r="A329" s="5" t="str">
        <f>IFERROR(__xludf.DUMMYFUNCTION("REGEXEXTRACT(H329, ""s*(.*?)\s*а\)"")"),"Для чего нужно кострище?")</f>
        <v>Для чего нужно кострище?</v>
      </c>
      <c r="B329" s="5">
        <v>1.0</v>
      </c>
      <c r="D329" s="5" t="str">
        <f>IFERROR(__xludf.DUMMYFUNCTION("REGEXREPLACE(REGEXEXTRACT(H329, ""а\)\s*(.*?)\s*б\)""), ""^\s*"", """")"),"Для приготовления пищи")</f>
        <v>Для приготовления пищи</v>
      </c>
      <c r="E329" s="5" t="str">
        <f>IFERROR(__xludf.DUMMYFUNCTION("REGEXREPLACE(REGEXEXTRACT(H329, ""б\)\s*(.*?)\s*в\)""), ""^\s*"", """")"),"Для украшения")</f>
        <v>Для украшения</v>
      </c>
      <c r="F329" s="5" t="str">
        <f>IFERROR(__xludf.DUMMYFUNCTION("REGEXREPLACE(REGEXEXTRACT(H329, ""в\)\s*(.*?)\s*г\)""), ""^\s*"", """")"),"Для отпугивания мобов")</f>
        <v>Для отпугивания мобов</v>
      </c>
      <c r="G329" s="5" t="str">
        <f>IFERROR(__xludf.DUMMYFUNCTION("REGEXREPLACE(REGEXEXTRACT(H329, ""г\)\s*(.*)""), ""^\s*"", """")"),"Для освещения территории")</f>
        <v>Для освещения территории</v>
      </c>
      <c r="H329" s="12" t="s">
        <v>103</v>
      </c>
    </row>
    <row r="330" ht="15.75" hidden="1" customHeight="1">
      <c r="A330" s="5"/>
      <c r="H330" s="13"/>
    </row>
    <row r="331" ht="15.75" customHeight="1">
      <c r="A331" s="5" t="str">
        <f>IFERROR(__xludf.DUMMYFUNCTION("REGEXEXTRACT(H331, ""s*(.*?)\s*а\)"")"),"С помощью чего можно быстро срубить огромное дерево?")</f>
        <v>С помощью чего можно быстро срубить огромное дерево?</v>
      </c>
      <c r="B331" s="5">
        <v>1.0</v>
      </c>
      <c r="D331" s="5" t="str">
        <f>IFERROR(__xludf.DUMMYFUNCTION("REGEXREPLACE(REGEXEXTRACT(H331, ""а\)\s*(.*?)\s*б\)""), ""^\s*"", """")"),"Топор")</f>
        <v>Топор</v>
      </c>
      <c r="E331" s="5" t="str">
        <f>IFERROR(__xludf.DUMMYFUNCTION("REGEXREPLACE(REGEXEXTRACT(H331, ""б\)\s*(.*?)\s*в\)""), ""^\s*"", """")"),"Кирка")</f>
        <v>Кирка</v>
      </c>
      <c r="F331" s="5" t="str">
        <f>IFERROR(__xludf.DUMMYFUNCTION("REGEXREPLACE(REGEXEXTRACT(H331, ""в\)\s*(.*?)\s*г\)""), ""^\s*"", """")"),"Мотыга")</f>
        <v>Мотыга</v>
      </c>
      <c r="G331" s="5" t="str">
        <f>IFERROR(__xludf.DUMMYFUNCTION("REGEXREPLACE(REGEXEXTRACT(H331, ""г\)\s*(.*)""), ""^\s*"", """")"),"Лопата")</f>
        <v>Лопата</v>
      </c>
      <c r="H331" s="12" t="s">
        <v>104</v>
      </c>
    </row>
    <row r="332" ht="15.75" hidden="1" customHeight="1">
      <c r="A332" s="5"/>
      <c r="H332" s="13"/>
    </row>
    <row r="333" ht="15.75" hidden="1" customHeight="1">
      <c r="A333" s="5" t="str">
        <f>IFERROR(__xludf.DUMMYFUNCTION("REGEXEXTRACT(H333, ""s*(.*?)\s*а\)"")"),"#N/A")</f>
        <v>#N/A</v>
      </c>
      <c r="B333" s="5">
        <v>1.0</v>
      </c>
      <c r="D333" s="5" t="str">
        <f>IFERROR(__xludf.DUMMYFUNCTION("REGEXREPLACE(REGEXEXTRACT(H333, ""а\)\s*(.*?)\s*б\)""), ""^\s*"", """")"),"#N/A")</f>
        <v>#N/A</v>
      </c>
      <c r="E333" s="5" t="str">
        <f>IFERROR(__xludf.DUMMYFUNCTION("REGEXREPLACE(REGEXEXTRACT(H333, ""б\)\s*(.*?)\s*в\)""), ""^\s*"", """")"),"#N/A")</f>
        <v>#N/A</v>
      </c>
      <c r="F333" s="5" t="str">
        <f>IFERROR(__xludf.DUMMYFUNCTION("REGEXREPLACE(REGEXEXTRACT(H333, ""в\)\s*(.*?)\s*г\)""), ""^\s*"", """")"),"#N/A")</f>
        <v>#N/A</v>
      </c>
      <c r="G333" s="5" t="str">
        <f>IFERROR(__xludf.DUMMYFUNCTION("REGEXREPLACE(REGEXEXTRACT(H333, ""г\)\s*(.*)""), ""^\s*"", """")"),"#N/A")</f>
        <v>#N/A</v>
      </c>
      <c r="H333" s="12"/>
    </row>
    <row r="334" ht="15.75" hidden="1" customHeight="1">
      <c r="A334" s="5"/>
      <c r="H334" s="13"/>
    </row>
    <row r="335" ht="15.75" customHeight="1">
      <c r="A335" s="5" t="str">
        <f>IFERROR(__xludf.DUMMYFUNCTION("REGEXEXTRACT(H335, ""s*(.*?)\s*а\)"")"),"Что нужно для создания стола картографа?")</f>
        <v>Что нужно для создания стола картографа?</v>
      </c>
      <c r="B335" s="5">
        <v>1.0</v>
      </c>
      <c r="D335" s="5" t="str">
        <f>IFERROR(__xludf.DUMMYFUNCTION("REGEXREPLACE(REGEXEXTRACT(H335, ""а\)\s*(.*?)\s*б\)""), ""^\s*"", """")"),"Бумага")</f>
        <v>Бумага</v>
      </c>
      <c r="E335" s="5" t="str">
        <f>IFERROR(__xludf.DUMMYFUNCTION("REGEXREPLACE(REGEXEXTRACT(H335, ""б\)\s*(.*?)\s*в\)""), ""^\s*"", """")"),"Камень")</f>
        <v>Камень</v>
      </c>
      <c r="F335" s="5" t="str">
        <f>IFERROR(__xludf.DUMMYFUNCTION("REGEXREPLACE(REGEXEXTRACT(H335, ""в\)\s*(.*?)\s*г\)""), ""^\s*"", """")"),"Листья")</f>
        <v>Листья</v>
      </c>
      <c r="G335" s="5" t="str">
        <f>IFERROR(__xludf.DUMMYFUNCTION("REGEXREPLACE(REGEXEXTRACT(H335, ""г\)\s*(.*)""), ""^\s*"", """")"),"Редстоун")</f>
        <v>Редстоун</v>
      </c>
      <c r="H335" s="12" t="s">
        <v>105</v>
      </c>
    </row>
    <row r="336" ht="15.75" hidden="1" customHeight="1">
      <c r="A336" s="5"/>
      <c r="H336" s="13"/>
    </row>
    <row r="337" ht="15.75" customHeight="1">
      <c r="A337" s="5" t="str">
        <f>IFERROR(__xludf.DUMMYFUNCTION("REGEXEXTRACT(H337, ""s*(.*?)\s*а\)"")"),"Для чего нужен компас?")</f>
        <v>Для чего нужен компас?</v>
      </c>
      <c r="B337" s="5">
        <v>1.0</v>
      </c>
      <c r="D337" s="5" t="str">
        <f>IFERROR(__xludf.DUMMYFUNCTION("REGEXREPLACE(REGEXEXTRACT(H337, ""а\)\s*(.*?)\s*б\)""), ""^\s*"", """")"),"Что бы не заблудиться")</f>
        <v>Что бы не заблудиться</v>
      </c>
      <c r="E337" s="5" t="str">
        <f>IFERROR(__xludf.DUMMYFUNCTION("REGEXREPLACE(REGEXEXTRACT(H337, ""б\)\s*(.*?)\s*в\)""), ""^\s*"", """")"),"Для ориентирования во времени")</f>
        <v>Для ориентирования во времени</v>
      </c>
      <c r="F337" s="5" t="str">
        <f>IFERROR(__xludf.DUMMYFUNCTION("REGEXREPLACE(REGEXEXTRACT(H337, ""в\)\s*(.*?)\s*г\)""), ""^\s*"", """")"),"Для поиска сокровищ")</f>
        <v>Для поиска сокровищ</v>
      </c>
      <c r="G337" s="5" t="str">
        <f>IFERROR(__xludf.DUMMYFUNCTION("REGEXREPLACE(REGEXEXTRACT(H337, ""г\)\s*(.*)""), ""^\s*"", """")"),"Для полёта")</f>
        <v>Для полёта</v>
      </c>
      <c r="H337" s="12" t="s">
        <v>106</v>
      </c>
    </row>
    <row r="338" ht="15.75" hidden="1" customHeight="1">
      <c r="A338" s="5"/>
      <c r="H338" s="13"/>
    </row>
    <row r="339" ht="15.75" hidden="1" customHeight="1">
      <c r="A339" s="5" t="str">
        <f>IFERROR(__xludf.DUMMYFUNCTION("REGEXEXTRACT(H339, ""s*(.*?)\s*а\)"")"),"#N/A")</f>
        <v>#N/A</v>
      </c>
      <c r="B339" s="5">
        <v>1.0</v>
      </c>
      <c r="D339" s="5" t="str">
        <f>IFERROR(__xludf.DUMMYFUNCTION("REGEXREPLACE(REGEXEXTRACT(H339, ""а\)\s*(.*?)\s*б\)""), ""^\s*"", """")"),"#N/A")</f>
        <v>#N/A</v>
      </c>
      <c r="E339" s="5" t="str">
        <f>IFERROR(__xludf.DUMMYFUNCTION("REGEXREPLACE(REGEXEXTRACT(H339, ""б\)\s*(.*?)\s*в\)""), ""^\s*"", """")"),"#N/A")</f>
        <v>#N/A</v>
      </c>
      <c r="F339" s="5" t="str">
        <f>IFERROR(__xludf.DUMMYFUNCTION("REGEXREPLACE(REGEXEXTRACT(H339, ""в\)\s*(.*?)\s*г\)""), ""^\s*"", """")"),"#N/A")</f>
        <v>#N/A</v>
      </c>
      <c r="G339" s="5" t="str">
        <f>IFERROR(__xludf.DUMMYFUNCTION("REGEXREPLACE(REGEXEXTRACT(H339, ""г\)\s*(.*)""), ""^\s*"", """")"),"#N/A")</f>
        <v>#N/A</v>
      </c>
      <c r="H339" s="12"/>
    </row>
    <row r="340" ht="15.75" hidden="1" customHeight="1">
      <c r="A340" s="5"/>
      <c r="H340" s="13"/>
    </row>
    <row r="341" ht="15.75" customHeight="1">
      <c r="A341" s="5" t="str">
        <f>IFERROR(__xludf.DUMMYFUNCTION("REGEXEXTRACT(H341, ""s*(.*?)\s*а\)"")"),"Что нужно для создания динамита?")</f>
        <v>Что нужно для создания динамита?</v>
      </c>
      <c r="B341" s="5">
        <v>1.0</v>
      </c>
      <c r="D341" s="5" t="str">
        <f>IFERROR(__xludf.DUMMYFUNCTION("REGEXREPLACE(REGEXEXTRACT(H341, ""а\)\s*(.*?)\s*б\)""), ""^\s*"", """")"),"Порох")</f>
        <v>Порох</v>
      </c>
      <c r="E341" s="5" t="str">
        <f>IFERROR(__xludf.DUMMYFUNCTION("REGEXREPLACE(REGEXEXTRACT(H341, ""б\)\s*(.*?)\s*в\)""), ""^\s*"", """")"),"Уголь")</f>
        <v>Уголь</v>
      </c>
      <c r="F341" s="5" t="str">
        <f>IFERROR(__xludf.DUMMYFUNCTION("REGEXREPLACE(REGEXEXTRACT(H341, ""в\)\s*(.*?)\s*г\)""), ""^\s*"", """")"),"Редстоун")</f>
        <v>Редстоун</v>
      </c>
      <c r="G341" s="5" t="str">
        <f>IFERROR(__xludf.DUMMYFUNCTION("REGEXREPLACE(REGEXEXTRACT(H341, ""г\)\s*(.*)""), ""^\s*"", """")"),"Железо")</f>
        <v>Железо</v>
      </c>
      <c r="H341" s="12" t="s">
        <v>107</v>
      </c>
    </row>
    <row r="342" ht="15.75" hidden="1" customHeight="1">
      <c r="A342" s="5"/>
      <c r="H342" s="13"/>
    </row>
    <row r="343" ht="15.75" hidden="1" customHeight="1">
      <c r="A343" s="5" t="str">
        <f>IFERROR(__xludf.DUMMYFUNCTION("REGEXEXTRACT(H343, ""s*(.*?)\s*а\)"")"),"#N/A")</f>
        <v>#N/A</v>
      </c>
      <c r="B343" s="5">
        <v>1.0</v>
      </c>
      <c r="D343" s="5" t="str">
        <f>IFERROR(__xludf.DUMMYFUNCTION("REGEXREPLACE(REGEXEXTRACT(H343, ""а\)\s*(.*?)\s*б\)""), ""^\s*"", """")"),"#N/A")</f>
        <v>#N/A</v>
      </c>
      <c r="E343" s="5" t="str">
        <f>IFERROR(__xludf.DUMMYFUNCTION("REGEXREPLACE(REGEXEXTRACT(H343, ""б\)\s*(.*?)\s*в\)""), ""^\s*"", """")"),"#N/A")</f>
        <v>#N/A</v>
      </c>
      <c r="F343" s="5" t="str">
        <f>IFERROR(__xludf.DUMMYFUNCTION("REGEXREPLACE(REGEXEXTRACT(H343, ""в\)\s*(.*?)\s*г\)""), ""^\s*"", """")"),"#N/A")</f>
        <v>#N/A</v>
      </c>
      <c r="G343" s="5" t="str">
        <f>IFERROR(__xludf.DUMMYFUNCTION("REGEXREPLACE(REGEXEXTRACT(H343, ""г\)\s*(.*)""), ""^\s*"", """")"),"#N/A")</f>
        <v>#N/A</v>
      </c>
      <c r="H343" s="12"/>
    </row>
    <row r="344" ht="15.75" hidden="1" customHeight="1">
      <c r="A344" s="5"/>
      <c r="H344" s="13"/>
    </row>
    <row r="345" ht="15.75" customHeight="1">
      <c r="A345" s="5" t="str">
        <f>IFERROR(__xludf.DUMMYFUNCTION("REGEXEXTRACT(H345, ""s*(.*?)\s*а\)"")"),"Какой предмет можно использовать для телепортации?")</f>
        <v>Какой предмет можно использовать для телепортации?</v>
      </c>
      <c r="B345" s="5">
        <v>1.0</v>
      </c>
      <c r="D345" s="5" t="str">
        <f>IFERROR(__xludf.DUMMYFUNCTION("REGEXREPLACE(REGEXEXTRACT(H345, ""а\)\s*(.*?)\s*б\)""), ""^\s*"", """")"),"Жемчуг Края")</f>
        <v>Жемчуг Края</v>
      </c>
      <c r="E345" s="5" t="str">
        <f>IFERROR(__xludf.DUMMYFUNCTION("REGEXREPLACE(REGEXEXTRACT(H345, ""б\)\s*(.*?)\s*в\)""), ""^\s*"", """")"),"Камень Края")</f>
        <v>Камень Края</v>
      </c>
      <c r="F345" s="5" t="str">
        <f>IFERROR(__xludf.DUMMYFUNCTION("REGEXREPLACE(REGEXEXTRACT(H345, ""в\)\s*(.*?)\s*г\)""), ""^\s*"", """")"),"Обсидиан")</f>
        <v>Обсидиан</v>
      </c>
      <c r="G345" s="5" t="str">
        <f>IFERROR(__xludf.DUMMYFUNCTION("REGEXREPLACE(REGEXEXTRACT(H345, ""г\)\s*(.*)""), ""^\s*"", """")"),"Камень")</f>
        <v>Камень</v>
      </c>
      <c r="H345" s="12" t="s">
        <v>108</v>
      </c>
    </row>
    <row r="346" ht="15.75" hidden="1" customHeight="1">
      <c r="A346" s="5"/>
      <c r="H346" s="13"/>
    </row>
    <row r="347" ht="15.75" hidden="1" customHeight="1">
      <c r="A347" s="5" t="str">
        <f>IFERROR(__xludf.DUMMYFUNCTION("REGEXEXTRACT(H347, ""s*(.*?)\s*а\)"")"),"#N/A")</f>
        <v>#N/A</v>
      </c>
      <c r="B347" s="5">
        <v>1.0</v>
      </c>
      <c r="D347" s="5" t="str">
        <f>IFERROR(__xludf.DUMMYFUNCTION("REGEXREPLACE(REGEXEXTRACT(H347, ""а\)\s*(.*?)\s*б\)""), ""^\s*"", """")"),"#N/A")</f>
        <v>#N/A</v>
      </c>
      <c r="E347" s="5" t="str">
        <f>IFERROR(__xludf.DUMMYFUNCTION("REGEXREPLACE(REGEXEXTRACT(H347, ""б\)\s*(.*?)\s*в\)""), ""^\s*"", """")"),"#N/A")</f>
        <v>#N/A</v>
      </c>
      <c r="F347" s="5" t="str">
        <f>IFERROR(__xludf.DUMMYFUNCTION("REGEXREPLACE(REGEXEXTRACT(H347, ""в\)\s*(.*?)\s*г\)""), ""^\s*"", """")"),"#N/A")</f>
        <v>#N/A</v>
      </c>
      <c r="G347" s="5" t="str">
        <f>IFERROR(__xludf.DUMMYFUNCTION("REGEXREPLACE(REGEXEXTRACT(H347, ""г\)\s*(.*)""), ""^\s*"", """")"),"#N/A")</f>
        <v>#N/A</v>
      </c>
      <c r="H347" s="12"/>
    </row>
    <row r="348" ht="15.75" hidden="1" customHeight="1">
      <c r="A348" s="5"/>
      <c r="H348" s="13"/>
    </row>
    <row r="349" ht="15.75" hidden="1" customHeight="1">
      <c r="A349" s="5" t="str">
        <f>IFERROR(__xludf.DUMMYFUNCTION("REGEXEXTRACT(H349, ""s*(.*?)\s*а\)"")"),"#N/A")</f>
        <v>#N/A</v>
      </c>
      <c r="B349" s="5">
        <v>1.0</v>
      </c>
      <c r="D349" s="5" t="str">
        <f>IFERROR(__xludf.DUMMYFUNCTION("REGEXREPLACE(REGEXEXTRACT(H349, ""а\)\s*(.*?)\s*б\)""), ""^\s*"", """")"),"#N/A")</f>
        <v>#N/A</v>
      </c>
      <c r="E349" s="5" t="str">
        <f>IFERROR(__xludf.DUMMYFUNCTION("REGEXREPLACE(REGEXEXTRACT(H349, ""б\)\s*(.*?)\s*в\)""), ""^\s*"", """")"),"#N/A")</f>
        <v>#N/A</v>
      </c>
      <c r="F349" s="5" t="str">
        <f>IFERROR(__xludf.DUMMYFUNCTION("REGEXREPLACE(REGEXEXTRACT(H349, ""в\)\s*(.*?)\s*г\)""), ""^\s*"", """")"),"#N/A")</f>
        <v>#N/A</v>
      </c>
      <c r="G349" s="5" t="str">
        <f>IFERROR(__xludf.DUMMYFUNCTION("REGEXREPLACE(REGEXEXTRACT(H349, ""г\)\s*(.*)""), ""^\s*"", """")"),"#N/A")</f>
        <v>#N/A</v>
      </c>
      <c r="H349" s="12"/>
    </row>
    <row r="350" ht="15.75" hidden="1" customHeight="1">
      <c r="A350" s="5"/>
      <c r="H350" s="13"/>
    </row>
    <row r="351" ht="15.75" customHeight="1">
      <c r="A351" s="5" t="str">
        <f>IFERROR(__xludf.DUMMYFUNCTION("REGEXEXTRACT(H351, ""s*(.*?)\s*а\)"")"),"Как называется блок, который может липнуть к другим блокам?")</f>
        <v>Как называется блок, который может липнуть к другим блокам?</v>
      </c>
      <c r="B351" s="5">
        <v>1.0</v>
      </c>
      <c r="D351" s="5" t="str">
        <f>IFERROR(__xludf.DUMMYFUNCTION("REGEXREPLACE(REGEXEXTRACT(H351, ""а\)\s*(.*?)\s*б\)""), ""^\s*"", """")"),"Липкий поршень")</f>
        <v>Липкий поршень</v>
      </c>
      <c r="E351" s="5" t="str">
        <f>IFERROR(__xludf.DUMMYFUNCTION("REGEXREPLACE(REGEXEXTRACT(H351, ""б\)\s*(.*?)\s*в\)""), ""^\s*"", """")"),"Обычный поршень")</f>
        <v>Обычный поршень</v>
      </c>
      <c r="F351" s="5" t="str">
        <f>IFERROR(__xludf.DUMMYFUNCTION("REGEXREPLACE(REGEXEXTRACT(H351, ""в\)\s*(.*?)\s*г\)""), ""^\s*"", """")"),"Слизь")</f>
        <v>Слизь</v>
      </c>
      <c r="G351" s="5" t="str">
        <f>IFERROR(__xludf.DUMMYFUNCTION("REGEXREPLACE(REGEXEXTRACT(H351, ""г\)\s*(.*)""), ""^\s*"", """")"),"Мед")</f>
        <v>Мед</v>
      </c>
      <c r="H351" s="12" t="s">
        <v>109</v>
      </c>
    </row>
    <row r="352" ht="15.75" hidden="1" customHeight="1">
      <c r="A352" s="5"/>
      <c r="H352" s="13"/>
    </row>
    <row r="353" ht="15.75" customHeight="1">
      <c r="A353" s="5" t="str">
        <f>IFERROR(__xludf.DUMMYFUNCTION("REGEXEXTRACT(H353, ""s*(.*?)\s*а\)"")"),"Какую еду любят панды?")</f>
        <v>Какую еду любят панды?</v>
      </c>
      <c r="B353" s="5">
        <v>1.0</v>
      </c>
      <c r="D353" s="5" t="str">
        <f>IFERROR(__xludf.DUMMYFUNCTION("REGEXREPLACE(REGEXEXTRACT(H353, ""а\)\s*(.*?)\s*б\)""), ""^\s*"", """")"),"Бамбук")</f>
        <v>Бамбук</v>
      </c>
      <c r="E353" s="5" t="str">
        <f>IFERROR(__xludf.DUMMYFUNCTION("REGEXREPLACE(REGEXEXTRACT(H353, ""б\)\s*(.*?)\s*в\)""), ""^\s*"", """")"),"Яблоки")</f>
        <v>Яблоки</v>
      </c>
      <c r="F353" s="5" t="str">
        <f>IFERROR(__xludf.DUMMYFUNCTION("REGEXREPLACE(REGEXEXTRACT(H353, ""в\)\s*(.*?)\s*г\)""), ""^\s*"", """")"),"Торт")</f>
        <v>Торт</v>
      </c>
      <c r="G353" s="5" t="str">
        <f>IFERROR(__xludf.DUMMYFUNCTION("REGEXREPLACE(REGEXEXTRACT(H353, ""г\)\s*(.*)""), ""^\s*"", """")"),"Семена")</f>
        <v>Семена</v>
      </c>
      <c r="H353" s="12" t="s">
        <v>110</v>
      </c>
    </row>
    <row r="354" ht="15.75" hidden="1" customHeight="1">
      <c r="A354" s="5"/>
      <c r="H354" s="13"/>
    </row>
    <row r="355" ht="15.75" customHeight="1">
      <c r="A355" s="5" t="str">
        <f>IFERROR(__xludf.DUMMYFUNCTION("REGEXEXTRACT(H355, ""s*(.*?)\s*а\)"")"),"Какой инструмент позволяет быстро копать песок и гравий?")</f>
        <v>Какой инструмент позволяет быстро копать песок и гравий?</v>
      </c>
      <c r="B355" s="5">
        <v>1.0</v>
      </c>
      <c r="D355" s="5" t="str">
        <f>IFERROR(__xludf.DUMMYFUNCTION("REGEXREPLACE(REGEXEXTRACT(H355, ""а\)\s*(.*?)\s*б\)""), ""^\s*"", """")"),"Лопата")</f>
        <v>Лопата</v>
      </c>
      <c r="E355" s="5" t="str">
        <f>IFERROR(__xludf.DUMMYFUNCTION("REGEXREPLACE(REGEXEXTRACT(H355, ""б\)\s*(.*?)\s*в\)""), ""^\s*"", """")"),"Кирка")</f>
        <v>Кирка</v>
      </c>
      <c r="F355" s="5" t="str">
        <f>IFERROR(__xludf.DUMMYFUNCTION("REGEXREPLACE(REGEXEXTRACT(H355, ""в\)\s*(.*?)\s*г\)""), ""^\s*"", """")"),"Топор")</f>
        <v>Топор</v>
      </c>
      <c r="G355" s="5" t="str">
        <f>IFERROR(__xludf.DUMMYFUNCTION("REGEXREPLACE(REGEXEXTRACT(H355, ""г\)\s*(.*)""), ""^\s*"", """")"),"Мотыга")</f>
        <v>Мотыга</v>
      </c>
      <c r="H355" s="12" t="s">
        <v>111</v>
      </c>
    </row>
    <row r="356" ht="15.75" hidden="1" customHeight="1">
      <c r="A356" s="5"/>
      <c r="H356" s="13"/>
    </row>
    <row r="357" ht="15.75" hidden="1" customHeight="1">
      <c r="A357" s="5" t="str">
        <f>IFERROR(__xludf.DUMMYFUNCTION("REGEXEXTRACT(H357, ""s*(.*?)\s*а\)"")"),"#N/A")</f>
        <v>#N/A</v>
      </c>
      <c r="B357" s="5">
        <v>1.0</v>
      </c>
      <c r="D357" s="5" t="str">
        <f>IFERROR(__xludf.DUMMYFUNCTION("REGEXREPLACE(REGEXEXTRACT(H357, ""а\)\s*(.*?)\s*б\)""), ""^\s*"", """")"),"#N/A")</f>
        <v>#N/A</v>
      </c>
      <c r="E357" s="5" t="str">
        <f>IFERROR(__xludf.DUMMYFUNCTION("REGEXREPLACE(REGEXEXTRACT(H357, ""б\)\s*(.*?)\s*в\)""), ""^\s*"", """")"),"#N/A")</f>
        <v>#N/A</v>
      </c>
      <c r="F357" s="5" t="str">
        <f>IFERROR(__xludf.DUMMYFUNCTION("REGEXREPLACE(REGEXEXTRACT(H357, ""в\)\s*(.*?)\s*г\)""), ""^\s*"", """")"),"#N/A")</f>
        <v>#N/A</v>
      </c>
      <c r="G357" s="5" t="str">
        <f>IFERROR(__xludf.DUMMYFUNCTION("REGEXREPLACE(REGEXEXTRACT(H357, ""г\)\s*(.*)""), ""^\s*"", """")"),"#N/A")</f>
        <v>#N/A</v>
      </c>
      <c r="H357" s="12"/>
    </row>
    <row r="358" ht="15.75" hidden="1" customHeight="1">
      <c r="A358" s="5"/>
      <c r="H358" s="13"/>
    </row>
    <row r="359" ht="15.75" hidden="1" customHeight="1">
      <c r="A359" s="5" t="str">
        <f>IFERROR(__xludf.DUMMYFUNCTION("REGEXEXTRACT(H359, ""s*(.*?)\s*а\)"")"),"#N/A")</f>
        <v>#N/A</v>
      </c>
      <c r="B359" s="5">
        <v>1.0</v>
      </c>
      <c r="D359" s="5" t="str">
        <f>IFERROR(__xludf.DUMMYFUNCTION("REGEXREPLACE(REGEXEXTRACT(H359, ""а\)\s*(.*?)\s*б\)""), ""^\s*"", """")"),"#N/A")</f>
        <v>#N/A</v>
      </c>
      <c r="E359" s="5" t="str">
        <f>IFERROR(__xludf.DUMMYFUNCTION("REGEXREPLACE(REGEXEXTRACT(H359, ""б\)\s*(.*?)\s*в\)""), ""^\s*"", """")"),"#N/A")</f>
        <v>#N/A</v>
      </c>
      <c r="F359" s="5" t="str">
        <f>IFERROR(__xludf.DUMMYFUNCTION("REGEXREPLACE(REGEXEXTRACT(H359, ""в\)\s*(.*?)\s*г\)""), ""^\s*"", """")"),"#N/A")</f>
        <v>#N/A</v>
      </c>
      <c r="G359" s="5" t="str">
        <f>IFERROR(__xludf.DUMMYFUNCTION("REGEXREPLACE(REGEXEXTRACT(H359, ""г\)\s*(.*)""), ""^\s*"", """")"),"#N/A")</f>
        <v>#N/A</v>
      </c>
      <c r="H359" s="12"/>
    </row>
    <row r="360" ht="15.75" hidden="1" customHeight="1">
      <c r="A360" s="5"/>
      <c r="H360" s="13"/>
    </row>
    <row r="361" ht="15.75" hidden="1" customHeight="1">
      <c r="A361" s="5" t="str">
        <f>IFERROR(__xludf.DUMMYFUNCTION("REGEXEXTRACT(H361, ""s*(.*?)\s*а\)"")"),"#N/A")</f>
        <v>#N/A</v>
      </c>
      <c r="B361" s="5">
        <v>1.0</v>
      </c>
      <c r="D361" s="5" t="str">
        <f>IFERROR(__xludf.DUMMYFUNCTION("REGEXREPLACE(REGEXEXTRACT(H361, ""а\)\s*(.*?)\s*б\)""), ""^\s*"", """")"),"#N/A")</f>
        <v>#N/A</v>
      </c>
      <c r="E361" s="5" t="str">
        <f>IFERROR(__xludf.DUMMYFUNCTION("REGEXREPLACE(REGEXEXTRACT(H361, ""б\)\s*(.*?)\s*в\)""), ""^\s*"", """")"),"#N/A")</f>
        <v>#N/A</v>
      </c>
      <c r="F361" s="5" t="str">
        <f>IFERROR(__xludf.DUMMYFUNCTION("REGEXREPLACE(REGEXEXTRACT(H361, ""в\)\s*(.*?)\s*г\)""), ""^\s*"", """")"),"#N/A")</f>
        <v>#N/A</v>
      </c>
      <c r="G361" s="5" t="str">
        <f>IFERROR(__xludf.DUMMYFUNCTION("REGEXREPLACE(REGEXEXTRACT(H361, ""г\)\s*(.*)""), ""^\s*"", """")"),"#N/A")</f>
        <v>#N/A</v>
      </c>
      <c r="H361" s="12"/>
    </row>
    <row r="362" ht="15.75" hidden="1" customHeight="1">
      <c r="A362" s="5"/>
      <c r="H362" s="13"/>
    </row>
    <row r="363" ht="15.75" hidden="1" customHeight="1">
      <c r="A363" s="5" t="str">
        <f>IFERROR(__xludf.DUMMYFUNCTION("REGEXEXTRACT(H363, ""s*(.*?)\s*а\)"")"),"#N/A")</f>
        <v>#N/A</v>
      </c>
      <c r="B363" s="5">
        <v>1.0</v>
      </c>
      <c r="D363" s="5" t="str">
        <f>IFERROR(__xludf.DUMMYFUNCTION("REGEXREPLACE(REGEXEXTRACT(H363, ""а\)\s*(.*?)\s*б\)""), ""^\s*"", """")"),"#N/A")</f>
        <v>#N/A</v>
      </c>
      <c r="E363" s="5" t="str">
        <f>IFERROR(__xludf.DUMMYFUNCTION("REGEXREPLACE(REGEXEXTRACT(H363, ""б\)\s*(.*?)\s*в\)""), ""^\s*"", """")"),"#N/A")</f>
        <v>#N/A</v>
      </c>
      <c r="F363" s="5" t="str">
        <f>IFERROR(__xludf.DUMMYFUNCTION("REGEXREPLACE(REGEXEXTRACT(H363, ""в\)\s*(.*?)\s*г\)""), ""^\s*"", """")"),"#N/A")</f>
        <v>#N/A</v>
      </c>
      <c r="G363" s="5" t="str">
        <f>IFERROR(__xludf.DUMMYFUNCTION("REGEXREPLACE(REGEXEXTRACT(H363, ""г\)\s*(.*)""), ""^\s*"", """")"),"#N/A")</f>
        <v>#N/A</v>
      </c>
      <c r="H363" s="12"/>
    </row>
    <row r="364" ht="15.75" hidden="1" customHeight="1">
      <c r="A364" s="5"/>
      <c r="H364" s="13"/>
    </row>
    <row r="365" ht="15.75" customHeight="1">
      <c r="A365" s="5" t="str">
        <f>IFERROR(__xludf.DUMMYFUNCTION("REGEXEXTRACT(H365, ""s*(.*?)\s*а\)"")"),"Какой моб превращается в ведьму от удара молнии?")</f>
        <v>Какой моб превращается в ведьму от удара молнии?</v>
      </c>
      <c r="B365" s="5">
        <v>1.0</v>
      </c>
      <c r="D365" s="5" t="str">
        <f>IFERROR(__xludf.DUMMYFUNCTION("REGEXREPLACE(REGEXEXTRACT(H365, ""а\)\s*(.*?)\s*б\)""), ""^\s*"", """")"),"Житель")</f>
        <v>Житель</v>
      </c>
      <c r="E365" s="5" t="str">
        <f>IFERROR(__xludf.DUMMYFUNCTION("REGEXREPLACE(REGEXEXTRACT(H365, ""б\)\s*(.*?)\s*в\)""), ""^\s*"", """")"),"Зомби")</f>
        <v>Зомби</v>
      </c>
      <c r="F365" s="5" t="str">
        <f>IFERROR(__xludf.DUMMYFUNCTION("REGEXREPLACE(REGEXEXTRACT(H365, ""в\)\s*(.*?)\s*г\)""), ""^\s*"", """")"),"Скелет")</f>
        <v>Скелет</v>
      </c>
      <c r="G365" s="5" t="str">
        <f>IFERROR(__xludf.DUMMYFUNCTION("REGEXREPLACE(REGEXEXTRACT(H365, ""г\)\s*(.*)""), ""^\s*"", """")"),"Крипер")</f>
        <v>Крипер</v>
      </c>
      <c r="H365" s="12" t="s">
        <v>112</v>
      </c>
    </row>
    <row r="366" ht="15.75" hidden="1" customHeight="1">
      <c r="A366" s="5"/>
      <c r="H366" s="13"/>
    </row>
    <row r="367" ht="15.75" customHeight="1">
      <c r="A367" s="5" t="str">
        <f>IFERROR(__xludf.DUMMYFUNCTION("REGEXEXTRACT(H367, ""s*(.*?)\s*а\)"")"),"Какой ресурс используется для создания стекла?")</f>
        <v>Какой ресурс используется для создания стекла?</v>
      </c>
      <c r="B367" s="5">
        <v>1.0</v>
      </c>
      <c r="D367" s="5" t="str">
        <f>IFERROR(__xludf.DUMMYFUNCTION("REGEXREPLACE(REGEXEXTRACT(H367, ""а\)\s*(.*?)\s*б\)""), ""^\s*"", """")"),"Песок")</f>
        <v>Песок</v>
      </c>
      <c r="E367" s="5" t="str">
        <f>IFERROR(__xludf.DUMMYFUNCTION("REGEXREPLACE(REGEXEXTRACT(H367, ""б\)\s*(.*?)\s*в\)""), ""^\s*"", """")"),"Камень")</f>
        <v>Камень</v>
      </c>
      <c r="F367" s="5" t="str">
        <f>IFERROR(__xludf.DUMMYFUNCTION("REGEXREPLACE(REGEXEXTRACT(H367, ""в\)\s*(.*?)\s*г\)""), ""^\s*"", """")"),"Земля")</f>
        <v>Земля</v>
      </c>
      <c r="G367" s="5" t="str">
        <f>IFERROR(__xludf.DUMMYFUNCTION("REGEXREPLACE(REGEXEXTRACT(H367, ""г\)\s*(.*)""), ""^\s*"", """")"),"Гравий")</f>
        <v>Гравий</v>
      </c>
      <c r="H367" s="12" t="s">
        <v>113</v>
      </c>
    </row>
    <row r="368" ht="15.75" hidden="1" customHeight="1">
      <c r="A368" s="5"/>
      <c r="H368" s="13"/>
    </row>
    <row r="369" ht="15.75" hidden="1" customHeight="1">
      <c r="A369" s="5" t="str">
        <f>IFERROR(__xludf.DUMMYFUNCTION("REGEXEXTRACT(H369, ""s*(.*?)\s*а\)"")"),"#N/A")</f>
        <v>#N/A</v>
      </c>
      <c r="B369" s="5">
        <v>1.0</v>
      </c>
      <c r="D369" s="5" t="str">
        <f>IFERROR(__xludf.DUMMYFUNCTION("REGEXREPLACE(REGEXEXTRACT(H369, ""а\)\s*(.*?)\s*б\)""), ""^\s*"", """")"),"#N/A")</f>
        <v>#N/A</v>
      </c>
      <c r="E369" s="5" t="str">
        <f>IFERROR(__xludf.DUMMYFUNCTION("REGEXREPLACE(REGEXEXTRACT(H369, ""б\)\s*(.*?)\s*в\)""), ""^\s*"", """")"),"#N/A")</f>
        <v>#N/A</v>
      </c>
      <c r="F369" s="5" t="str">
        <f>IFERROR(__xludf.DUMMYFUNCTION("REGEXREPLACE(REGEXEXTRACT(H369, ""в\)\s*(.*?)\s*г\)""), ""^\s*"", """")"),"#N/A")</f>
        <v>#N/A</v>
      </c>
      <c r="G369" s="5" t="str">
        <f>IFERROR(__xludf.DUMMYFUNCTION("REGEXREPLACE(REGEXEXTRACT(H369, ""г\)\s*(.*)""), ""^\s*"", """")"),"#N/A")</f>
        <v>#N/A</v>
      </c>
      <c r="H369" s="12"/>
    </row>
    <row r="370" ht="15.75" hidden="1" customHeight="1">
      <c r="A370" s="5"/>
      <c r="H370" s="13"/>
    </row>
    <row r="371" ht="15.75" customHeight="1">
      <c r="A371" s="5" t="str">
        <f>IFERROR(__xludf.DUMMYFUNCTION("REGEXEXTRACT(H371, ""s*(.*?)\s*а\)"")"),"Какой блок используется для создания костра?")</f>
        <v>Какой блок используется для создания костра?</v>
      </c>
      <c r="B371" s="5">
        <v>1.0</v>
      </c>
      <c r="D371" s="5" t="str">
        <f>IFERROR(__xludf.DUMMYFUNCTION("REGEXREPLACE(REGEXEXTRACT(H371, ""а\)\s*(.*?)\s*б\)""), ""^\s*"", """")"),"Уголь")</f>
        <v>Уголь</v>
      </c>
      <c r="E371" s="5" t="str">
        <f>IFERROR(__xludf.DUMMYFUNCTION("REGEXREPLACE(REGEXEXTRACT(H371, ""б\)\s*(.*?)\s*в\)""), ""^\s*"", """")"),"Железо")</f>
        <v>Железо</v>
      </c>
      <c r="F371" s="5" t="str">
        <f>IFERROR(__xludf.DUMMYFUNCTION("REGEXREPLACE(REGEXEXTRACT(H371, ""в\)\s*(.*?)\s*г\)""), ""^\s*"", """")"),"Золото")</f>
        <v>Золото</v>
      </c>
      <c r="G371" s="5" t="str">
        <f>IFERROR(__xludf.DUMMYFUNCTION("REGEXREPLACE(REGEXEXTRACT(H371, ""г\)\s*(.*)""), ""^\s*"", """")"),"Алмазы")</f>
        <v>Алмазы</v>
      </c>
      <c r="H371" s="12" t="s">
        <v>114</v>
      </c>
    </row>
    <row r="372" ht="15.75" hidden="1" customHeight="1">
      <c r="A372" s="5"/>
      <c r="H372" s="13"/>
    </row>
    <row r="373" ht="15.75" customHeight="1">
      <c r="A373" s="5" t="str">
        <f>IFERROR(__xludf.DUMMYFUNCTION("REGEXEXTRACT(H373, ""s*(.*?)\s*а\)"")"),"Где можно найти элитры?")</f>
        <v>Где можно найти элитры?</v>
      </c>
      <c r="B373" s="5">
        <v>1.0</v>
      </c>
      <c r="D373" s="5" t="str">
        <f>IFERROR(__xludf.DUMMYFUNCTION("REGEXREPLACE(REGEXEXTRACT(H373, ""а\)\s*(.*?)\s*б\)""), ""^\s*"", """")"),"В корабле Края")</f>
        <v>В корабле Края</v>
      </c>
      <c r="E373" s="5" t="str">
        <f>IFERROR(__xludf.DUMMYFUNCTION("REGEXREPLACE(REGEXEXTRACT(H373, ""б\)\s*(.*?)\s*в\)""), ""^\s*"", """")"),"В сокровищнице")</f>
        <v>В сокровищнице</v>
      </c>
      <c r="F373" s="5" t="str">
        <f>IFERROR(__xludf.DUMMYFUNCTION("REGEXREPLACE(REGEXEXTRACT(H373, ""в\)\s*(.*?)\s*г\)""), ""^\s*"", """")"),"В шахте")</f>
        <v>В шахте</v>
      </c>
      <c r="G373" s="5" t="str">
        <f>IFERROR(__xludf.DUMMYFUNCTION("REGEXREPLACE(REGEXEXTRACT(H373, ""г\)\s*(.*)""), ""^\s*"", """")"),"В пещере")</f>
        <v>В пещере</v>
      </c>
      <c r="H373" s="12" t="s">
        <v>115</v>
      </c>
    </row>
    <row r="374" ht="15.75" hidden="1" customHeight="1">
      <c r="A374" s="5"/>
      <c r="H374" s="13"/>
    </row>
    <row r="375" ht="15.75" customHeight="1">
      <c r="A375" s="5" t="str">
        <f>IFERROR(__xludf.DUMMYFUNCTION("REGEXEXTRACT(H375, ""s*(.*?)\s*а\)"")"),"Что используется для создания динамита?")</f>
        <v>Что используется для создания динамита?</v>
      </c>
      <c r="B375" s="5">
        <v>1.0</v>
      </c>
      <c r="D375" s="5" t="str">
        <f>IFERROR(__xludf.DUMMYFUNCTION("REGEXREPLACE(REGEXEXTRACT(H375, ""а\)\s*(.*?)\s*б\)""), ""^\s*"", """")"),"Порох")</f>
        <v>Порох</v>
      </c>
      <c r="E375" s="5" t="str">
        <f>IFERROR(__xludf.DUMMYFUNCTION("REGEXREPLACE(REGEXEXTRACT(H375, ""б\)\s*(.*?)\s*в\)""), ""^\s*"", """")"),"Уголь")</f>
        <v>Уголь</v>
      </c>
      <c r="F375" s="5" t="str">
        <f>IFERROR(__xludf.DUMMYFUNCTION("REGEXREPLACE(REGEXEXTRACT(H375, ""в\)\s*(.*?)\s*г\)""), ""^\s*"", """")"),"Редстоун")</f>
        <v>Редстоун</v>
      </c>
      <c r="G375" s="5" t="str">
        <f>IFERROR(__xludf.DUMMYFUNCTION("REGEXREPLACE(REGEXEXTRACT(H375, ""г\)\s*(.*)""), ""^\s*"", """")"),"Железо")</f>
        <v>Железо</v>
      </c>
      <c r="H375" s="12" t="s">
        <v>116</v>
      </c>
    </row>
    <row r="376" ht="15.75" hidden="1" customHeight="1">
      <c r="A376" s="5"/>
      <c r="H376" s="13"/>
    </row>
    <row r="377" ht="15.75" hidden="1" customHeight="1">
      <c r="A377" s="5" t="str">
        <f>IFERROR(__xludf.DUMMYFUNCTION("REGEXEXTRACT(H377, ""s*(.*?)\s*а\)"")"),"#N/A")</f>
        <v>#N/A</v>
      </c>
      <c r="B377" s="5">
        <v>1.0</v>
      </c>
      <c r="D377" s="5" t="str">
        <f>IFERROR(__xludf.DUMMYFUNCTION("REGEXREPLACE(REGEXEXTRACT(H377, ""а\)\s*(.*?)\s*б\)""), ""^\s*"", """")"),"#N/A")</f>
        <v>#N/A</v>
      </c>
      <c r="E377" s="5" t="str">
        <f>IFERROR(__xludf.DUMMYFUNCTION("REGEXREPLACE(REGEXEXTRACT(H377, ""б\)\s*(.*?)\s*в\)""), ""^\s*"", """")"),"#N/A")</f>
        <v>#N/A</v>
      </c>
      <c r="F377" s="5" t="str">
        <f>IFERROR(__xludf.DUMMYFUNCTION("REGEXREPLACE(REGEXEXTRACT(H377, ""в\)\s*(.*?)\s*г\)""), ""^\s*"", """")"),"#N/A")</f>
        <v>#N/A</v>
      </c>
      <c r="G377" s="5" t="str">
        <f>IFERROR(__xludf.DUMMYFUNCTION("REGEXREPLACE(REGEXEXTRACT(H377, ""г\)\s*(.*)""), ""^\s*"", """")"),"#N/A")</f>
        <v>#N/A</v>
      </c>
      <c r="H377" s="12"/>
    </row>
    <row r="378" ht="15.75" hidden="1" customHeight="1">
      <c r="A378" s="5"/>
      <c r="H378" s="13"/>
    </row>
    <row r="379" ht="15.75" customHeight="1">
      <c r="A379" s="5" t="str">
        <f>IFERROR(__xludf.DUMMYFUNCTION("REGEXEXTRACT(H379, ""s*(.*?)\s*а\)"")"),"Какой ресурс используется для создания фейерверков?")</f>
        <v>Какой ресурс используется для создания фейерверков?</v>
      </c>
      <c r="B379" s="5">
        <v>1.0</v>
      </c>
      <c r="D379" s="5" t="str">
        <f>IFERROR(__xludf.DUMMYFUNCTION("REGEXREPLACE(REGEXEXTRACT(H379, ""а\)\s*(.*?)\s*б\)""), ""^\s*"", """")"),"Порох")</f>
        <v>Порох</v>
      </c>
      <c r="E379" s="5" t="str">
        <f>IFERROR(__xludf.DUMMYFUNCTION("REGEXREPLACE(REGEXEXTRACT(H379, ""б\)\s*(.*?)\s*в\)""), ""^\s*"", """")"),"Уголь")</f>
        <v>Уголь</v>
      </c>
      <c r="F379" s="5" t="str">
        <f>IFERROR(__xludf.DUMMYFUNCTION("REGEXREPLACE(REGEXEXTRACT(H379, ""в\)\s*(.*?)\s*г\)""), ""^\s*"", """")"),"Редстоун")</f>
        <v>Редстоун</v>
      </c>
      <c r="G379" s="5" t="str">
        <f>IFERROR(__xludf.DUMMYFUNCTION("REGEXREPLACE(REGEXEXTRACT(H379, ""г\)\s*(.*)""), ""^\s*"", """")"),"Железо")</f>
        <v>Железо</v>
      </c>
      <c r="H379" s="12" t="s">
        <v>117</v>
      </c>
    </row>
    <row r="380" ht="15.75" hidden="1" customHeight="1">
      <c r="A380" s="5"/>
      <c r="H380" s="13"/>
    </row>
    <row r="381" ht="15.75" customHeight="1">
      <c r="A381" s="5" t="str">
        <f>IFERROR(__xludf.DUMMYFUNCTION("REGEXEXTRACT(H381, ""s*(.*?)\s*а\)"")"),"Какое животное можно найти в снежном биоме?")</f>
        <v>Какое животное можно найти в снежном биоме?</v>
      </c>
      <c r="B381" s="5">
        <v>1.0</v>
      </c>
      <c r="D381" s="5" t="str">
        <f>IFERROR(__xludf.DUMMYFUNCTION("REGEXREPLACE(REGEXEXTRACT(H381, ""а\)\s*(.*?)\s*б\)""), ""^\s*"", """")"),"Белый медведь")</f>
        <v>Белый медведь</v>
      </c>
      <c r="E381" s="5" t="str">
        <f>IFERROR(__xludf.DUMMYFUNCTION("REGEXREPLACE(REGEXEXTRACT(H381, ""б\)\s*(.*?)\s*в\)""), ""^\s*"", """")"),"Корова")</f>
        <v>Корова</v>
      </c>
      <c r="F381" s="5" t="str">
        <f>IFERROR(__xludf.DUMMYFUNCTION("REGEXREPLACE(REGEXEXTRACT(H381, ""в\)\s*(.*?)\s*г\)""), ""^\s*"", """")"),"Овца")</f>
        <v>Овца</v>
      </c>
      <c r="G381" s="5" t="str">
        <f>IFERROR(__xludf.DUMMYFUNCTION("REGEXREPLACE(REGEXEXTRACT(H381, ""г\)\s*(.*)""), ""^\s*"", """")"),"Свинья")</f>
        <v>Свинья</v>
      </c>
      <c r="H381" s="12" t="s">
        <v>118</v>
      </c>
    </row>
    <row r="382" ht="15.75" hidden="1" customHeight="1">
      <c r="A382" s="5"/>
      <c r="H382" s="13"/>
    </row>
    <row r="383" ht="15.75" hidden="1" customHeight="1">
      <c r="A383" s="5" t="str">
        <f>IFERROR(__xludf.DUMMYFUNCTION("REGEXEXTRACT(H383, ""s*(.*?)\s*а\)"")"),"#N/A")</f>
        <v>#N/A</v>
      </c>
      <c r="B383" s="5">
        <v>1.0</v>
      </c>
      <c r="D383" s="5" t="str">
        <f>IFERROR(__xludf.DUMMYFUNCTION("REGEXREPLACE(REGEXEXTRACT(H383, ""а\)\s*(.*?)\s*б\)""), ""^\s*"", """")"),"#N/A")</f>
        <v>#N/A</v>
      </c>
      <c r="E383" s="5" t="str">
        <f>IFERROR(__xludf.DUMMYFUNCTION("REGEXREPLACE(REGEXEXTRACT(H383, ""б\)\s*(.*?)\s*в\)""), ""^\s*"", """")"),"#N/A")</f>
        <v>#N/A</v>
      </c>
      <c r="F383" s="5" t="str">
        <f>IFERROR(__xludf.DUMMYFUNCTION("REGEXREPLACE(REGEXEXTRACT(H383, ""в\)\s*(.*?)\s*г\)""), ""^\s*"", """")"),"#N/A")</f>
        <v>#N/A</v>
      </c>
      <c r="G383" s="5" t="str">
        <f>IFERROR(__xludf.DUMMYFUNCTION("REGEXREPLACE(REGEXEXTRACT(H383, ""г\)\s*(.*)""), ""^\s*"", """")"),"#N/A")</f>
        <v>#N/A</v>
      </c>
      <c r="H383" s="12"/>
    </row>
    <row r="384" ht="15.75" hidden="1" customHeight="1">
      <c r="A384" s="5"/>
      <c r="H384" s="13"/>
    </row>
    <row r="385" ht="15.75" customHeight="1">
      <c r="A385" s="5" t="str">
        <f>IFERROR(__xludf.DUMMYFUNCTION("REGEXEXTRACT(H385, ""s*(.*?)\s*а\)"")"),"Какой инструмент используется для создания карты?")</f>
        <v>Какой инструмент используется для создания карты?</v>
      </c>
      <c r="B385" s="5">
        <v>1.0</v>
      </c>
      <c r="D385" s="5" t="str">
        <f>IFERROR(__xludf.DUMMYFUNCTION("REGEXREPLACE(REGEXEXTRACT(H385, ""а\)\s*(.*?)\s*б\)""), ""^\s*"", """")"),"Компас")</f>
        <v>Компас</v>
      </c>
      <c r="E385" s="5" t="str">
        <f>IFERROR(__xludf.DUMMYFUNCTION("REGEXREPLACE(REGEXEXTRACT(H385, ""б\)\s*(.*?)\s*в\)""), ""^\s*"", """")"),"Кирка")</f>
        <v>Кирка</v>
      </c>
      <c r="F385" s="5" t="str">
        <f>IFERROR(__xludf.DUMMYFUNCTION("REGEXREPLACE(REGEXEXTRACT(H385, ""в\)\s*(.*?)\s*г\)""), ""^\s*"", """")"),"Топор")</f>
        <v>Топор</v>
      </c>
      <c r="G385" s="5" t="str">
        <f>IFERROR(__xludf.DUMMYFUNCTION("REGEXREPLACE(REGEXEXTRACT(H385, ""г\)\s*(.*)""), ""^\s*"", """")"),"Лопата")</f>
        <v>Лопата</v>
      </c>
      <c r="H385" s="12" t="s">
        <v>119</v>
      </c>
    </row>
    <row r="386" ht="15.75" hidden="1" customHeight="1">
      <c r="A386" s="5"/>
      <c r="H386" s="13"/>
    </row>
    <row r="387" ht="15.75" hidden="1" customHeight="1">
      <c r="A387" s="5" t="str">
        <f>IFERROR(__xludf.DUMMYFUNCTION("REGEXEXTRACT(H387, ""s*(.*?)\s*а\)"")"),"#N/A")</f>
        <v>#N/A</v>
      </c>
      <c r="B387" s="5">
        <v>1.0</v>
      </c>
      <c r="D387" s="5" t="str">
        <f>IFERROR(__xludf.DUMMYFUNCTION("REGEXREPLACE(REGEXEXTRACT(H387, ""а\)\s*(.*?)\s*б\)""), ""^\s*"", """")"),"#N/A")</f>
        <v>#N/A</v>
      </c>
      <c r="E387" s="5" t="str">
        <f>IFERROR(__xludf.DUMMYFUNCTION("REGEXREPLACE(REGEXEXTRACT(H387, ""б\)\s*(.*?)\s*в\)""), ""^\s*"", """")"),"#N/A")</f>
        <v>#N/A</v>
      </c>
      <c r="F387" s="5" t="str">
        <f>IFERROR(__xludf.DUMMYFUNCTION("REGEXREPLACE(REGEXEXTRACT(H387, ""в\)\s*(.*?)\s*г\)""), ""^\s*"", """")"),"#N/A")</f>
        <v>#N/A</v>
      </c>
      <c r="G387" s="5" t="str">
        <f>IFERROR(__xludf.DUMMYFUNCTION("REGEXREPLACE(REGEXEXTRACT(H387, ""г\)\s*(.*)""), ""^\s*"", """")"),"#N/A")</f>
        <v>#N/A</v>
      </c>
      <c r="H387" s="12"/>
    </row>
    <row r="388" ht="15.75" hidden="1" customHeight="1">
      <c r="A388" s="5"/>
      <c r="H388" s="13"/>
    </row>
    <row r="389" ht="15.75" hidden="1" customHeight="1">
      <c r="A389" s="5" t="str">
        <f>IFERROR(__xludf.DUMMYFUNCTION("REGEXEXTRACT(H389, ""s*(.*?)\s*а\)"")"),"#N/A")</f>
        <v>#N/A</v>
      </c>
      <c r="B389" s="5">
        <v>1.0</v>
      </c>
      <c r="D389" s="5" t="str">
        <f>IFERROR(__xludf.DUMMYFUNCTION("REGEXREPLACE(REGEXEXTRACT(H389, ""а\)\s*(.*?)\s*б\)""), ""^\s*"", """")"),"#N/A")</f>
        <v>#N/A</v>
      </c>
      <c r="E389" s="5" t="str">
        <f>IFERROR(__xludf.DUMMYFUNCTION("REGEXREPLACE(REGEXEXTRACT(H389, ""б\)\s*(.*?)\s*в\)""), ""^\s*"", """")"),"#N/A")</f>
        <v>#N/A</v>
      </c>
      <c r="F389" s="5" t="str">
        <f>IFERROR(__xludf.DUMMYFUNCTION("REGEXREPLACE(REGEXEXTRACT(H389, ""в\)\s*(.*?)\s*г\)""), ""^\s*"", """")"),"#N/A")</f>
        <v>#N/A</v>
      </c>
      <c r="G389" s="5" t="str">
        <f>IFERROR(__xludf.DUMMYFUNCTION("REGEXREPLACE(REGEXEXTRACT(H389, ""г\)\s*(.*)""), ""^\s*"", """")"),"#N/A")</f>
        <v>#N/A</v>
      </c>
      <c r="H389" s="12"/>
    </row>
    <row r="390" ht="15.75" hidden="1" customHeight="1">
      <c r="A390" s="5"/>
      <c r="H390" s="13"/>
    </row>
    <row r="391" ht="15.75" customHeight="1">
      <c r="A391" s="5" t="str">
        <f>IFERROR(__xludf.DUMMYFUNCTION("REGEXEXTRACT(H391, ""s*(.*?)\s*а\)"")"),"Какой блок позволяет получить случайный предмет?")</f>
        <v>Какой блок позволяет получить случайный предмет?</v>
      </c>
      <c r="B391" s="5">
        <v>1.0</v>
      </c>
      <c r="D391" s="5" t="str">
        <f>IFERROR(__xludf.DUMMYFUNCTION("REGEXREPLACE(REGEXEXTRACT(H391, ""а\)\s*(.*?)\s*б\)""), ""^\s*"", """")"),"Раздатчик")</f>
        <v>Раздатчик</v>
      </c>
      <c r="E391" s="5" t="str">
        <f>IFERROR(__xludf.DUMMYFUNCTION("REGEXREPLACE(REGEXEXTRACT(H391, ""б\)\s*(.*?)\s*в\)""), ""^\s*"", """")"),"Сундук")</f>
        <v>Сундук</v>
      </c>
      <c r="F391" s="5" t="str">
        <f>IFERROR(__xludf.DUMMYFUNCTION("REGEXREPLACE(REGEXEXTRACT(H391, ""в\)\s*(.*?)\s*г\)""), ""^\s*"", """")"),"Верстак")</f>
        <v>Верстак</v>
      </c>
      <c r="G391" s="5" t="str">
        <f>IFERROR(__xludf.DUMMYFUNCTION("REGEXREPLACE(REGEXEXTRACT(H391, ""г\)\s*(.*)""), ""^\s*"", """")"),"Печь")</f>
        <v>Печь</v>
      </c>
      <c r="H391" s="12" t="s">
        <v>120</v>
      </c>
    </row>
    <row r="392" ht="15.75" hidden="1" customHeight="1">
      <c r="A392" s="5"/>
      <c r="H392" s="13"/>
    </row>
    <row r="393" ht="15.75" hidden="1" customHeight="1">
      <c r="A393" s="5" t="str">
        <f>IFERROR(__xludf.DUMMYFUNCTION("REGEXEXTRACT(H393, ""s*(.*?)\s*а\)"")"),"#N/A")</f>
        <v>#N/A</v>
      </c>
      <c r="B393" s="5">
        <v>1.0</v>
      </c>
      <c r="D393" s="5" t="str">
        <f>IFERROR(__xludf.DUMMYFUNCTION("REGEXREPLACE(REGEXEXTRACT(H393, ""а\)\s*(.*?)\s*б\)""), ""^\s*"", """")"),"#N/A")</f>
        <v>#N/A</v>
      </c>
      <c r="E393" s="5" t="str">
        <f>IFERROR(__xludf.DUMMYFUNCTION("REGEXREPLACE(REGEXEXTRACT(H393, ""б\)\s*(.*?)\s*в\)""), ""^\s*"", """")"),"#N/A")</f>
        <v>#N/A</v>
      </c>
      <c r="F393" s="5" t="str">
        <f>IFERROR(__xludf.DUMMYFUNCTION("REGEXREPLACE(REGEXEXTRACT(H393, ""в\)\s*(.*?)\s*г\)""), ""^\s*"", """")"),"#N/A")</f>
        <v>#N/A</v>
      </c>
      <c r="G393" s="5" t="str">
        <f>IFERROR(__xludf.DUMMYFUNCTION("REGEXREPLACE(REGEXEXTRACT(H393, ""г\)\s*(.*)""), ""^\s*"", """")"),"#N/A")</f>
        <v>#N/A</v>
      </c>
      <c r="H393" s="12"/>
    </row>
    <row r="394" ht="15.75" hidden="1" customHeight="1">
      <c r="A394" s="5"/>
      <c r="H394" s="13"/>
    </row>
    <row r="395" ht="15.75" hidden="1" customHeight="1">
      <c r="A395" s="5" t="str">
        <f>IFERROR(__xludf.DUMMYFUNCTION("REGEXEXTRACT(H395, ""s*(.*?)\s*а\)"")"),"#N/A")</f>
        <v>#N/A</v>
      </c>
      <c r="B395" s="5">
        <v>1.0</v>
      </c>
      <c r="D395" s="5" t="str">
        <f>IFERROR(__xludf.DUMMYFUNCTION("REGEXREPLACE(REGEXEXTRACT(H395, ""а\)\s*(.*?)\s*б\)""), ""^\s*"", """")"),"#N/A")</f>
        <v>#N/A</v>
      </c>
      <c r="E395" s="5" t="str">
        <f>IFERROR(__xludf.DUMMYFUNCTION("REGEXREPLACE(REGEXEXTRACT(H395, ""б\)\s*(.*?)\s*в\)""), ""^\s*"", """")"),"#N/A")</f>
        <v>#N/A</v>
      </c>
      <c r="F395" s="5" t="str">
        <f>IFERROR(__xludf.DUMMYFUNCTION("REGEXREPLACE(REGEXEXTRACT(H395, ""в\)\s*(.*?)\s*г\)""), ""^\s*"", """")"),"#N/A")</f>
        <v>#N/A</v>
      </c>
      <c r="G395" s="5" t="str">
        <f>IFERROR(__xludf.DUMMYFUNCTION("REGEXREPLACE(REGEXEXTRACT(H395, ""г\)\s*(.*)""), ""^\s*"", """")"),"#N/A")</f>
        <v>#N/A</v>
      </c>
      <c r="H395" s="12"/>
    </row>
    <row r="396" ht="15.75" hidden="1" customHeight="1">
      <c r="A396" s="5"/>
      <c r="H396" s="13"/>
    </row>
    <row r="397" ht="15.75" customHeight="1">
      <c r="A397" s="5" t="str">
        <f>IFERROR(__xludf.DUMMYFUNCTION("REGEXEXTRACT(H397, ""s*(.*?)\s*а\)"")"),"Какой моб используется для передвижения в аду?")</f>
        <v>Какой моб используется для передвижения в аду?</v>
      </c>
      <c r="B397" s="5">
        <v>1.0</v>
      </c>
      <c r="D397" s="5" t="str">
        <f>IFERROR(__xludf.DUMMYFUNCTION("REGEXREPLACE(REGEXEXTRACT(H397, ""а\)\s*(.*?)\s*б\)""), ""^\s*"", """")"),"Страйдер")</f>
        <v>Страйдер</v>
      </c>
      <c r="E397" s="5" t="str">
        <f>IFERROR(__xludf.DUMMYFUNCTION("REGEXREPLACE(REGEXEXTRACT(H397, ""б\)\s*(.*?)\s*в\)""), ""^\s*"", """")"),"Зомби")</f>
        <v>Зомби</v>
      </c>
      <c r="F397" s="5" t="str">
        <f>IFERROR(__xludf.DUMMYFUNCTION("REGEXREPLACE(REGEXEXTRACT(H397, ""в\)\s*(.*?)\s*г\)""), ""^\s*"", """")"),"Крипер")</f>
        <v>Крипер</v>
      </c>
      <c r="G397" s="5" t="str">
        <f>IFERROR(__xludf.DUMMYFUNCTION("REGEXREPLACE(REGEXEXTRACT(H397, ""г\)\s*(.*)""), ""^\s*"", """")"),"Скелет")</f>
        <v>Скелет</v>
      </c>
      <c r="H397" s="12" t="s">
        <v>121</v>
      </c>
    </row>
    <row r="398" ht="15.75" hidden="1" customHeight="1">
      <c r="A398" s="5"/>
      <c r="H398" s="13"/>
    </row>
    <row r="399" ht="15.75" customHeight="1">
      <c r="A399" s="5" t="str">
        <f>IFERROR(__xludf.DUMMYFUNCTION("REGEXEXTRACT(H399, ""s*(.*?)\s*а\)"")"),"Что нужно для создания костра?")</f>
        <v>Что нужно для создания костра?</v>
      </c>
      <c r="B399" s="5">
        <v>1.0</v>
      </c>
      <c r="D399" s="5" t="str">
        <f>IFERROR(__xludf.DUMMYFUNCTION("REGEXREPLACE(REGEXEXTRACT(H399, ""а\)\s*(.*?)\s*б\)""), ""^\s*"", """")"),"Дерево")</f>
        <v>Дерево</v>
      </c>
      <c r="E399" s="5" t="str">
        <f>IFERROR(__xludf.DUMMYFUNCTION("REGEXREPLACE(REGEXEXTRACT(H399, ""б\)\s*(.*?)\s*в\)""), ""^\s*"", """")"),"Камень")</f>
        <v>Камень</v>
      </c>
      <c r="F399" s="5" t="str">
        <f>IFERROR(__xludf.DUMMYFUNCTION("REGEXREPLACE(REGEXEXTRACT(H399, ""в\)\s*(.*?)\s*г\)""), ""^\s*"", """")"),"Железо")</f>
        <v>Железо</v>
      </c>
      <c r="G399" s="5" t="str">
        <f>IFERROR(__xludf.DUMMYFUNCTION("REGEXREPLACE(REGEXEXTRACT(H399, ""г\)\s*(.*)""), ""^\s*"", """")"),"Алмазы")</f>
        <v>Алмазы</v>
      </c>
      <c r="H399" s="12" t="s">
        <v>122</v>
      </c>
    </row>
    <row r="400" ht="15.75" hidden="1" customHeight="1">
      <c r="A400" s="5"/>
      <c r="H400" s="13"/>
    </row>
    <row r="401" ht="15.75" customHeight="1">
      <c r="A401" s="5" t="str">
        <f>IFERROR(__xludf.DUMMYFUNCTION("REGEXEXTRACT(H401, ""s*(.*?)\s*а\)"")"),"Какое растение можно использовать для создания красителя?")</f>
        <v>Какое растение можно использовать для создания красителя?</v>
      </c>
      <c r="B401" s="5">
        <v>1.0</v>
      </c>
      <c r="D401" s="5" t="str">
        <f>IFERROR(__xludf.DUMMYFUNCTION("REGEXREPLACE(REGEXEXTRACT(H401, ""а\)\s*(.*?)\s*б\)""), ""^\s*"", """")"),"Маки")</f>
        <v>Маки</v>
      </c>
      <c r="E401" s="5" t="str">
        <f>IFERROR(__xludf.DUMMYFUNCTION("REGEXREPLACE(REGEXEXTRACT(H401, ""б\)\s*(.*?)\s*в\)""), ""^\s*"", """")"),"Пшеница")</f>
        <v>Пшеница</v>
      </c>
      <c r="F401" s="5" t="str">
        <f>IFERROR(__xludf.DUMMYFUNCTION("REGEXREPLACE(REGEXEXTRACT(H401, ""в\)\s*(.*?)\s*г\)""), ""^\s*"", """")"),"Сахарный тростник")</f>
        <v>Сахарный тростник</v>
      </c>
      <c r="G401" s="5" t="str">
        <f>IFERROR(__xludf.DUMMYFUNCTION("REGEXREPLACE(REGEXEXTRACT(H401, ""г\)\s*(.*)""), ""^\s*"", """")"),"Бамбук")</f>
        <v>Бамбук</v>
      </c>
      <c r="H401" s="12" t="s">
        <v>123</v>
      </c>
    </row>
    <row r="402" ht="15.75" hidden="1" customHeight="1">
      <c r="A402" s="5"/>
      <c r="H402" s="13"/>
    </row>
    <row r="403" ht="15.75" hidden="1" customHeight="1">
      <c r="A403" s="5" t="str">
        <f>IFERROR(__xludf.DUMMYFUNCTION("REGEXEXTRACT(H403, ""s*(.*?)\s*а\)"")"),"#N/A")</f>
        <v>#N/A</v>
      </c>
      <c r="B403" s="5">
        <v>1.0</v>
      </c>
      <c r="D403" s="5" t="str">
        <f>IFERROR(__xludf.DUMMYFUNCTION("REGEXREPLACE(REGEXEXTRACT(H403, ""а\)\s*(.*?)\s*б\)""), ""^\s*"", """")"),"#N/A")</f>
        <v>#N/A</v>
      </c>
      <c r="E403" s="5" t="str">
        <f>IFERROR(__xludf.DUMMYFUNCTION("REGEXREPLACE(REGEXEXTRACT(H403, ""б\)\s*(.*?)\s*в\)""), ""^\s*"", """")"),"#N/A")</f>
        <v>#N/A</v>
      </c>
      <c r="F403" s="5" t="str">
        <f>IFERROR(__xludf.DUMMYFUNCTION("REGEXREPLACE(REGEXEXTRACT(H403, ""в\)\s*(.*?)\s*г\)""), ""^\s*"", """")"),"#N/A")</f>
        <v>#N/A</v>
      </c>
      <c r="G403" s="5" t="str">
        <f>IFERROR(__xludf.DUMMYFUNCTION("REGEXREPLACE(REGEXEXTRACT(H403, ""г\)\s*(.*)""), ""^\s*"", """")"),"#N/A")</f>
        <v>#N/A</v>
      </c>
      <c r="H403" s="12"/>
    </row>
    <row r="404" ht="15.75" hidden="1" customHeight="1">
      <c r="A404" s="5"/>
      <c r="H404" s="13"/>
    </row>
    <row r="405" ht="15.75" hidden="1" customHeight="1">
      <c r="A405" s="5" t="str">
        <f>IFERROR(__xludf.DUMMYFUNCTION("REGEXEXTRACT(H405, ""s*(.*?)\s*а\)"")"),"#N/A")</f>
        <v>#N/A</v>
      </c>
      <c r="B405" s="5">
        <v>1.0</v>
      </c>
      <c r="D405" s="5" t="str">
        <f>IFERROR(__xludf.DUMMYFUNCTION("REGEXREPLACE(REGEXEXTRACT(H405, ""а\)\s*(.*?)\s*б\)""), ""^\s*"", """")"),"#N/A")</f>
        <v>#N/A</v>
      </c>
      <c r="E405" s="5" t="str">
        <f>IFERROR(__xludf.DUMMYFUNCTION("REGEXREPLACE(REGEXEXTRACT(H405, ""б\)\s*(.*?)\s*в\)""), ""^\s*"", """")"),"#N/A")</f>
        <v>#N/A</v>
      </c>
      <c r="F405" s="5" t="str">
        <f>IFERROR(__xludf.DUMMYFUNCTION("REGEXREPLACE(REGEXEXTRACT(H405, ""в\)\s*(.*?)\s*г\)""), ""^\s*"", """")"),"#N/A")</f>
        <v>#N/A</v>
      </c>
      <c r="G405" s="5" t="str">
        <f>IFERROR(__xludf.DUMMYFUNCTION("REGEXREPLACE(REGEXEXTRACT(H405, ""г\)\s*(.*)""), ""^\s*"", """")"),"#N/A")</f>
        <v>#N/A</v>
      </c>
      <c r="H405" s="12"/>
    </row>
    <row r="406" ht="15.75" hidden="1" customHeight="1">
      <c r="A406" s="5"/>
      <c r="H406" s="13"/>
    </row>
    <row r="407" ht="15.75" hidden="1" customHeight="1">
      <c r="A407" s="5" t="str">
        <f>IFERROR(__xludf.DUMMYFUNCTION("REGEXEXTRACT(H407, ""s*(.*?)\s*а\)"")"),"#N/A")</f>
        <v>#N/A</v>
      </c>
      <c r="B407" s="5">
        <v>1.0</v>
      </c>
      <c r="D407" s="5" t="str">
        <f>IFERROR(__xludf.DUMMYFUNCTION("REGEXREPLACE(REGEXEXTRACT(H407, ""а\)\s*(.*?)\s*б\)""), ""^\s*"", """")"),"#N/A")</f>
        <v>#N/A</v>
      </c>
      <c r="E407" s="5" t="str">
        <f>IFERROR(__xludf.DUMMYFUNCTION("REGEXREPLACE(REGEXEXTRACT(H407, ""б\)\s*(.*?)\s*в\)""), ""^\s*"", """")"),"#N/A")</f>
        <v>#N/A</v>
      </c>
      <c r="F407" s="5" t="str">
        <f>IFERROR(__xludf.DUMMYFUNCTION("REGEXREPLACE(REGEXEXTRACT(H407, ""в\)\s*(.*?)\s*г\)""), ""^\s*"", """")"),"#N/A")</f>
        <v>#N/A</v>
      </c>
      <c r="G407" s="5" t="str">
        <f>IFERROR(__xludf.DUMMYFUNCTION("REGEXREPLACE(REGEXEXTRACT(H407, ""г\)\s*(.*)""), ""^\s*"", """")"),"#N/A")</f>
        <v>#N/A</v>
      </c>
      <c r="H407" s="12"/>
    </row>
    <row r="408" ht="15.75" hidden="1" customHeight="1">
      <c r="A408" s="5"/>
      <c r="H408" s="13"/>
    </row>
    <row r="409" ht="15.75" hidden="1" customHeight="1">
      <c r="A409" s="5" t="str">
        <f>IFERROR(__xludf.DUMMYFUNCTION("REGEXEXTRACT(H409, ""s*(.*?)\s*а\)"")"),"#N/A")</f>
        <v>#N/A</v>
      </c>
      <c r="B409" s="5">
        <v>1.0</v>
      </c>
      <c r="D409" s="5" t="str">
        <f>IFERROR(__xludf.DUMMYFUNCTION("REGEXREPLACE(REGEXEXTRACT(H409, ""а\)\s*(.*?)\s*б\)""), ""^\s*"", """")"),"#N/A")</f>
        <v>#N/A</v>
      </c>
      <c r="E409" s="5" t="str">
        <f>IFERROR(__xludf.DUMMYFUNCTION("REGEXREPLACE(REGEXEXTRACT(H409, ""б\)\s*(.*?)\s*в\)""), ""^\s*"", """")"),"#N/A")</f>
        <v>#N/A</v>
      </c>
      <c r="F409" s="5" t="str">
        <f>IFERROR(__xludf.DUMMYFUNCTION("REGEXREPLACE(REGEXEXTRACT(H409, ""в\)\s*(.*?)\s*г\)""), ""^\s*"", """")"),"#N/A")</f>
        <v>#N/A</v>
      </c>
      <c r="G409" s="5" t="str">
        <f>IFERROR(__xludf.DUMMYFUNCTION("REGEXREPLACE(REGEXEXTRACT(H409, ""г\)\s*(.*)""), ""^\s*"", """")"),"#N/A")</f>
        <v>#N/A</v>
      </c>
      <c r="H409" s="12"/>
    </row>
    <row r="410" ht="15.75" hidden="1" customHeight="1">
      <c r="A410" s="5"/>
      <c r="H410" s="13"/>
    </row>
    <row r="411" ht="15.75" customHeight="1">
      <c r="A411" s="5" t="str">
        <f>IFERROR(__xludf.DUMMYFUNCTION("REGEXEXTRACT(H411, ""s*(.*?)\s*а\)"")"),"Как зовут главного врага жителей деревни?")</f>
        <v>Как зовут главного врага жителей деревни?</v>
      </c>
      <c r="B411" s="5">
        <v>1.0</v>
      </c>
      <c r="D411" s="5" t="str">
        <f>IFERROR(__xludf.DUMMYFUNCTION("REGEXREPLACE(REGEXEXTRACT(H411, ""а\)\s*(.*?)\s*б\)""), ""^\s*"", """")"),"Разбойник")</f>
        <v>Разбойник</v>
      </c>
      <c r="E411" s="5" t="str">
        <f>IFERROR(__xludf.DUMMYFUNCTION("REGEXREPLACE(REGEXEXTRACT(H411, ""б\)\s*(.*?)\s*в\)""), ""^\s*"", """")"),"Зомби")</f>
        <v>Зомби</v>
      </c>
      <c r="F411" s="5" t="str">
        <f>IFERROR(__xludf.DUMMYFUNCTION("REGEXREPLACE(REGEXEXTRACT(H411, ""в\)\s*(.*?)\s*г\)""), ""^\s*"", """")"),"Крипер")</f>
        <v>Крипер</v>
      </c>
      <c r="G411" s="5" t="str">
        <f>IFERROR(__xludf.DUMMYFUNCTION("REGEXREPLACE(REGEXEXTRACT(H411, ""г\)\s*(.*)""), ""^\s*"", """")"),"Скелет")</f>
        <v>Скелет</v>
      </c>
      <c r="H411" s="12" t="s">
        <v>124</v>
      </c>
    </row>
    <row r="412" ht="15.75" hidden="1" customHeight="1">
      <c r="A412" s="5"/>
      <c r="H412" s="13"/>
    </row>
    <row r="413" ht="15.75" customHeight="1">
      <c r="A413" s="5" t="str">
        <f>IFERROR(__xludf.DUMMYFUNCTION("REGEXEXTRACT(H413, ""s*(.*?)\s*а\)"")"),"Что необходимо для создания верстака?")</f>
        <v>Что необходимо для создания верстака?</v>
      </c>
      <c r="B413" s="5">
        <v>1.0</v>
      </c>
      <c r="D413" s="5" t="str">
        <f>IFERROR(__xludf.DUMMYFUNCTION("REGEXREPLACE(REGEXEXTRACT(H413, ""а\)\s*(.*?)\s*б\)""), ""^\s*"", """")"),"Деревянные доски")</f>
        <v>Деревянные доски</v>
      </c>
      <c r="E413" s="5" t="str">
        <f>IFERROR(__xludf.DUMMYFUNCTION("REGEXREPLACE(REGEXEXTRACT(H413, ""б\)\s*(.*?)\s*в\)""), ""^\s*"", """")"),"Камень")</f>
        <v>Камень</v>
      </c>
      <c r="F413" s="5" t="str">
        <f>IFERROR(__xludf.DUMMYFUNCTION("REGEXREPLACE(REGEXEXTRACT(H413, ""в\)\s*(.*?)\s*г\)""), ""^\s*"", """")"),"Железо")</f>
        <v>Железо</v>
      </c>
      <c r="G413" s="5" t="str">
        <f>IFERROR(__xludf.DUMMYFUNCTION("REGEXREPLACE(REGEXEXTRACT(H413, ""г\)\s*(.*)""), ""^\s*"", """")"),"Алмазы")</f>
        <v>Алмазы</v>
      </c>
      <c r="H413" s="12" t="s">
        <v>125</v>
      </c>
    </row>
    <row r="414" ht="15.75" hidden="1" customHeight="1">
      <c r="A414" s="5"/>
      <c r="H414" s="13"/>
    </row>
    <row r="415" ht="15.75" hidden="1" customHeight="1">
      <c r="A415" s="5" t="str">
        <f>IFERROR(__xludf.DUMMYFUNCTION("REGEXEXTRACT(H415, ""s*(.*?)\s*а\)"")"),"#N/A")</f>
        <v>#N/A</v>
      </c>
      <c r="B415" s="5">
        <v>1.0</v>
      </c>
      <c r="D415" s="5" t="str">
        <f>IFERROR(__xludf.DUMMYFUNCTION("REGEXREPLACE(REGEXEXTRACT(H415, ""а\)\s*(.*?)\s*б\)""), ""^\s*"", """")"),"#N/A")</f>
        <v>#N/A</v>
      </c>
      <c r="E415" s="5" t="str">
        <f>IFERROR(__xludf.DUMMYFUNCTION("REGEXREPLACE(REGEXEXTRACT(H415, ""б\)\s*(.*?)\s*в\)""), ""^\s*"", """")"),"#N/A")</f>
        <v>#N/A</v>
      </c>
      <c r="F415" s="5" t="str">
        <f>IFERROR(__xludf.DUMMYFUNCTION("REGEXREPLACE(REGEXEXTRACT(H415, ""в\)\s*(.*?)\s*г\)""), ""^\s*"", """")"),"#N/A")</f>
        <v>#N/A</v>
      </c>
      <c r="G415" s="5" t="str">
        <f>IFERROR(__xludf.DUMMYFUNCTION("REGEXREPLACE(REGEXEXTRACT(H415, ""г\)\s*(.*)""), ""^\s*"", """")"),"#N/A")</f>
        <v>#N/A</v>
      </c>
      <c r="H415" s="12"/>
    </row>
    <row r="416" ht="15.75" hidden="1" customHeight="1">
      <c r="A416" s="5"/>
      <c r="H416" s="13"/>
    </row>
    <row r="417" ht="15.75" customHeight="1">
      <c r="A417" s="5" t="str">
        <f>IFERROR(__xludf.DUMMYFUNCTION("REGEXEXTRACT(H417, ""s*(.*?)\s*а\)"")"),"Какой моб боится кошек?")</f>
        <v>Какой моб боится кошек?</v>
      </c>
      <c r="B417" s="5">
        <v>1.0</v>
      </c>
      <c r="D417" s="5" t="str">
        <f>IFERROR(__xludf.DUMMYFUNCTION("REGEXREPLACE(REGEXEXTRACT(H417, ""а\)\s*(.*?)\s*б\)""), ""^\s*"", """")"),"Крипер")</f>
        <v>Крипер</v>
      </c>
      <c r="E417" s="5" t="str">
        <f>IFERROR(__xludf.DUMMYFUNCTION("REGEXREPLACE(REGEXEXTRACT(H417, ""б\)\s*(.*?)\s*в\)""), ""^\s*"", """")"),"Зомби")</f>
        <v>Зомби</v>
      </c>
      <c r="F417" s="5" t="str">
        <f>IFERROR(__xludf.DUMMYFUNCTION("REGEXREPLACE(REGEXEXTRACT(H417, ""в\)\s*(.*?)\s*г\)""), ""^\s*"", """")"),"Скелет")</f>
        <v>Скелет</v>
      </c>
      <c r="G417" s="5" t="str">
        <f>IFERROR(__xludf.DUMMYFUNCTION("REGEXREPLACE(REGEXEXTRACT(H417, ""г\)\s*(.*)""), ""^\s*"", """")"),"Эндермен")</f>
        <v>Эндермен</v>
      </c>
      <c r="H417" s="12" t="s">
        <v>126</v>
      </c>
    </row>
    <row r="418" ht="15.75" hidden="1" customHeight="1">
      <c r="A418" s="5"/>
      <c r="H418" s="13"/>
    </row>
    <row r="419" ht="15.75" customHeight="1">
      <c r="A419" s="5" t="str">
        <f>IFERROR(__xludf.DUMMYFUNCTION("REGEXEXTRACT(H419, ""s*(.*?)\s*а\)"")"),"Каким образом можно усмирить оцелота?")</f>
        <v>Каким образом можно усмирить оцелота?</v>
      </c>
      <c r="B419" s="5">
        <v>1.0</v>
      </c>
      <c r="D419" s="5" t="str">
        <f>IFERROR(__xludf.DUMMYFUNCTION("REGEXREPLACE(REGEXEXTRACT(H419, ""а\)\s*(.*?)\s*б\)""), ""^\s*"", """")"),"Рыбой")</f>
        <v>Рыбой</v>
      </c>
      <c r="E419" s="5" t="str">
        <f>IFERROR(__xludf.DUMMYFUNCTION("REGEXREPLACE(REGEXEXTRACT(H419, ""б\)\s*(.*?)\s*в\)""), ""^\s*"", """")"),"Костью")</f>
        <v>Костью</v>
      </c>
      <c r="F419" s="5" t="str">
        <f>IFERROR(__xludf.DUMMYFUNCTION("REGEXREPLACE(REGEXEXTRACT(H419, ""в\)\s*(.*?)\s*г\)""), ""^\s*"", """")"),"Семенами")</f>
        <v>Семенами</v>
      </c>
      <c r="G419" s="5" t="str">
        <f>IFERROR(__xludf.DUMMYFUNCTION("REGEXREPLACE(REGEXEXTRACT(H419, ""г\)\s*(.*)""), ""^\s*"", """")"),"Яблоками")</f>
        <v>Яблоками</v>
      </c>
      <c r="H419" s="12" t="s">
        <v>127</v>
      </c>
    </row>
    <row r="420" ht="15.75" hidden="1" customHeight="1">
      <c r="A420" s="5"/>
      <c r="H420" s="13"/>
    </row>
    <row r="421" ht="15.75" customHeight="1">
      <c r="A421" s="5" t="str">
        <f>IFERROR(__xludf.DUMMYFUNCTION("REGEXEXTRACT(H421, ""s*(.*?)\s*а\)"")"),"С помощью чего можно добывать воду?")</f>
        <v>С помощью чего можно добывать воду?</v>
      </c>
      <c r="B421" s="5">
        <v>1.0</v>
      </c>
      <c r="D421" s="5" t="str">
        <f>IFERROR(__xludf.DUMMYFUNCTION("REGEXREPLACE(REGEXEXTRACT(H421, ""а\)\s*(.*?)\s*б\)""), ""^\s*"", """")"),"Ведро")</f>
        <v>Ведро</v>
      </c>
      <c r="E421" s="5" t="str">
        <f>IFERROR(__xludf.DUMMYFUNCTION("REGEXREPLACE(REGEXEXTRACT(H421, ""б\)\s*(.*?)\s*в\)""), ""^\s*"", """")"),"Лопата")</f>
        <v>Лопата</v>
      </c>
      <c r="F421" s="5" t="str">
        <f>IFERROR(__xludf.DUMMYFUNCTION("REGEXREPLACE(REGEXEXTRACT(H421, ""в\)\s*(.*?)\s*г\)""), ""^\s*"", """")"),"Топор")</f>
        <v>Топор</v>
      </c>
      <c r="G421" s="5" t="str">
        <f>IFERROR(__xludf.DUMMYFUNCTION("REGEXREPLACE(REGEXEXTRACT(H421, ""г\)\s*(.*)""), ""^\s*"", """")"),"Кирка")</f>
        <v>Кирка</v>
      </c>
      <c r="H421" s="12" t="s">
        <v>128</v>
      </c>
    </row>
    <row r="422" ht="15.75" hidden="1" customHeight="1">
      <c r="A422" s="5"/>
      <c r="H422" s="13"/>
    </row>
    <row r="423" ht="15.75" customHeight="1">
      <c r="A423" s="5" t="str">
        <f>IFERROR(__xludf.DUMMYFUNCTION("REGEXEXTRACT(H423, ""s*(.*?)\s*а\)"")"),"Какой блок нужен для разведения коров?")</f>
        <v>Какой блок нужен для разведения коров?</v>
      </c>
      <c r="B423" s="5">
        <v>1.0</v>
      </c>
      <c r="D423" s="5" t="str">
        <f>IFERROR(__xludf.DUMMYFUNCTION("REGEXREPLACE(REGEXEXTRACT(H423, ""а\)\s*(.*?)\s*б\)""), ""^\s*"", """")"),"Пшеница")</f>
        <v>Пшеница</v>
      </c>
      <c r="E423" s="5" t="str">
        <f>IFERROR(__xludf.DUMMYFUNCTION("REGEXREPLACE(REGEXEXTRACT(H423, ""б\)\s*(.*?)\s*в\)""), ""^\s*"", """")"),"Камень")</f>
        <v>Камень</v>
      </c>
      <c r="F423" s="5" t="str">
        <f>IFERROR(__xludf.DUMMYFUNCTION("REGEXREPLACE(REGEXEXTRACT(H423, ""в\)\s*(.*?)\s*г\)""), ""^\s*"", """")"),"Дерево")</f>
        <v>Дерево</v>
      </c>
      <c r="G423" s="5" t="str">
        <f>IFERROR(__xludf.DUMMYFUNCTION("REGEXREPLACE(REGEXEXTRACT(H423, ""г\)\s*(.*)""), ""^\s*"", """")"),"Песок")</f>
        <v>Песок</v>
      </c>
      <c r="H423" s="12" t="s">
        <v>129</v>
      </c>
    </row>
    <row r="424" ht="15.75" hidden="1" customHeight="1">
      <c r="A424" s="5"/>
      <c r="H424" s="13"/>
    </row>
    <row r="425" ht="15.75" customHeight="1">
      <c r="A425" s="5" t="str">
        <f>IFERROR(__xludf.DUMMYFUNCTION("REGEXEXTRACT(H425, ""s*(.*?)\s*а\)"")"),"Какой моб дает нитки?")</f>
        <v>Какой моб дает нитки?</v>
      </c>
      <c r="B425" s="5">
        <v>1.0</v>
      </c>
      <c r="D425" s="5" t="str">
        <f>IFERROR(__xludf.DUMMYFUNCTION("REGEXREPLACE(REGEXEXTRACT(H425, ""а\)\s*(.*?)\s*б\)""), ""^\s*"", """")"),"Паук")</f>
        <v>Паук</v>
      </c>
      <c r="E425" s="5" t="str">
        <f>IFERROR(__xludf.DUMMYFUNCTION("REGEXREPLACE(REGEXEXTRACT(H425, ""б\)\s*(.*?)\s*в\)""), ""^\s*"", """")"),"Слизень")</f>
        <v>Слизень</v>
      </c>
      <c r="F425" s="5" t="str">
        <f>IFERROR(__xludf.DUMMYFUNCTION("REGEXREPLACE(REGEXEXTRACT(H425, ""в\)\s*(.*?)\s*г\)""), ""^\s*"", """")"),"Зомби")</f>
        <v>Зомби</v>
      </c>
      <c r="G425" s="5" t="str">
        <f>IFERROR(__xludf.DUMMYFUNCTION("REGEXREPLACE(REGEXEXTRACT(H425, ""г\)\s*(.*)""), ""^\s*"", """")"),"Крипер")</f>
        <v>Крипер</v>
      </c>
      <c r="H425" s="12" t="s">
        <v>130</v>
      </c>
    </row>
    <row r="426" ht="15.75" hidden="1" customHeight="1">
      <c r="A426" s="5"/>
      <c r="H426" s="13"/>
    </row>
    <row r="427" ht="15.75" customHeight="1">
      <c r="A427" s="5" t="str">
        <f>IFERROR(__xludf.DUMMYFUNCTION("REGEXEXTRACT(H427, ""s*(.*?)\s*а\)"")"),"Какой инструмент используется для посадки семян?")</f>
        <v>Какой инструмент используется для посадки семян?</v>
      </c>
      <c r="B427" s="5">
        <v>1.0</v>
      </c>
      <c r="D427" s="5" t="str">
        <f>IFERROR(__xludf.DUMMYFUNCTION("REGEXREPLACE(REGEXEXTRACT(H427, ""а\)\s*(.*?)\s*б\)""), ""^\s*"", """")"),"Мотыга")</f>
        <v>Мотыга</v>
      </c>
      <c r="E427" s="5" t="str">
        <f>IFERROR(__xludf.DUMMYFUNCTION("REGEXREPLACE(REGEXEXTRACT(H427, ""б\)\s*(.*?)\s*в\)""), ""^\s*"", """")"),"Лопата")</f>
        <v>Лопата</v>
      </c>
      <c r="F427" s="5" t="str">
        <f>IFERROR(__xludf.DUMMYFUNCTION("REGEXREPLACE(REGEXEXTRACT(H427, ""в\)\s*(.*?)\s*г\)""), ""^\s*"", """")"),"Топор")</f>
        <v>Топор</v>
      </c>
      <c r="G427" s="5" t="str">
        <f>IFERROR(__xludf.DUMMYFUNCTION("REGEXREPLACE(REGEXEXTRACT(H427, ""г\)\s*(.*)""), ""^\s*"", """")"),"Кирка")</f>
        <v>Кирка</v>
      </c>
      <c r="H427" s="12" t="s">
        <v>131</v>
      </c>
    </row>
    <row r="428" ht="15.75" hidden="1" customHeight="1">
      <c r="A428" s="5"/>
      <c r="H428" s="13"/>
    </row>
    <row r="429" ht="15.75" customHeight="1">
      <c r="A429" s="5" t="str">
        <f>IFERROR(__xludf.DUMMYFUNCTION("REGEXEXTRACT(H429, ""s*(.*?)\s*а\)"")"),"Что нужно для приручения попугая?")</f>
        <v>Что нужно для приручения попугая?</v>
      </c>
      <c r="B429" s="5">
        <v>1.0</v>
      </c>
      <c r="D429" s="5" t="str">
        <f>IFERROR(__xludf.DUMMYFUNCTION("REGEXREPLACE(REGEXEXTRACT(H429, ""а\)\s*(.*?)\s*б\)""), ""^\s*"", """")"),"Семена")</f>
        <v>Семена</v>
      </c>
      <c r="E429" s="5" t="str">
        <f>IFERROR(__xludf.DUMMYFUNCTION("REGEXREPLACE(REGEXEXTRACT(H429, ""б\)\s*(.*?)\s*в\)""), ""^\s*"", """")"),"Кости")</f>
        <v>Кости</v>
      </c>
      <c r="F429" s="5" t="str">
        <f>IFERROR(__xludf.DUMMYFUNCTION("REGEXREPLACE(REGEXEXTRACT(H429, ""в\)\s*(.*?)\s*г\)""), ""^\s*"", """")"),"Печенье")</f>
        <v>Печенье</v>
      </c>
      <c r="G429" s="5" t="str">
        <f>IFERROR(__xludf.DUMMYFUNCTION("REGEXREPLACE(REGEXEXTRACT(H429, ""г\)\s*(.*)""), ""^\s*"", """")"),"Рыба")</f>
        <v>Рыба</v>
      </c>
      <c r="H429" s="14" t="s">
        <v>132</v>
      </c>
    </row>
    <row r="430" ht="15.75" hidden="1" customHeight="1">
      <c r="A430" s="5"/>
      <c r="H430" s="13"/>
    </row>
    <row r="431" ht="15.75" hidden="1" customHeight="1">
      <c r="A431" s="5" t="str">
        <f>IFERROR(__xludf.DUMMYFUNCTION("REGEXEXTRACT(H431, ""s*(.*?)\s*а\)"")"),"#N/A")</f>
        <v>#N/A</v>
      </c>
      <c r="B431" s="5">
        <v>1.0</v>
      </c>
      <c r="D431" s="5" t="str">
        <f>IFERROR(__xludf.DUMMYFUNCTION("REGEXREPLACE(REGEXEXTRACT(H431, ""а\)\s*(.*?)\s*б\)""), ""^\s*"", """")"),"#N/A")</f>
        <v>#N/A</v>
      </c>
      <c r="E431" s="5" t="str">
        <f>IFERROR(__xludf.DUMMYFUNCTION("REGEXREPLACE(REGEXEXTRACT(H431, ""б\)\s*(.*?)\s*в\)""), ""^\s*"", """")"),"#N/A")</f>
        <v>#N/A</v>
      </c>
      <c r="F431" s="5" t="str">
        <f>IFERROR(__xludf.DUMMYFUNCTION("REGEXREPLACE(REGEXEXTRACT(H431, ""в\)\s*(.*?)\s*г\)""), ""^\s*"", """")"),"#N/A")</f>
        <v>#N/A</v>
      </c>
      <c r="G431" s="5" t="str">
        <f>IFERROR(__xludf.DUMMYFUNCTION("REGEXREPLACE(REGEXEXTRACT(H431, ""г\)\s*(.*)""), ""^\s*"", """")"),"#N/A")</f>
        <v>#N/A</v>
      </c>
      <c r="H431" s="12"/>
    </row>
    <row r="432" ht="15.75" hidden="1" customHeight="1">
      <c r="A432" s="5"/>
      <c r="H432" s="13"/>
    </row>
    <row r="433" ht="15.75" customHeight="1">
      <c r="A433" s="5" t="str">
        <f>IFERROR(__xludf.DUMMYFUNCTION("REGEXEXTRACT(H433, ""s*(.*?)\s*а\)"")"),"Что едят кролики?")</f>
        <v>Что едят кролики?</v>
      </c>
      <c r="B433" s="5">
        <v>1.0</v>
      </c>
      <c r="D433" s="5" t="str">
        <f>IFERROR(__xludf.DUMMYFUNCTION("REGEXREPLACE(REGEXEXTRACT(H433, ""а\)\s*(.*?)\s*б\)""), ""^\s*"", """")"),"Морковь")</f>
        <v>Морковь</v>
      </c>
      <c r="E433" s="5" t="str">
        <f>IFERROR(__xludf.DUMMYFUNCTION("REGEXREPLACE(REGEXEXTRACT(H433, ""б\)\s*(.*?)\s*в\)""), ""^\s*"", """")"),"Сено")</f>
        <v>Сено</v>
      </c>
      <c r="F433" s="5" t="str">
        <f>IFERROR(__xludf.DUMMYFUNCTION("REGEXREPLACE(REGEXEXTRACT(H433, ""в\)\s*(.*?)\s*г\)""), ""^\s*"", """")"),"Яблоки")</f>
        <v>Яблоки</v>
      </c>
      <c r="G433" s="5" t="str">
        <f>IFERROR(__xludf.DUMMYFUNCTION("REGEXREPLACE(REGEXEXTRACT(H433, ""г\)\s*(.*)""), ""^\s*"", """")"),"Рыба")</f>
        <v>Рыба</v>
      </c>
      <c r="H433" s="12" t="s">
        <v>133</v>
      </c>
    </row>
    <row r="434" ht="15.75" hidden="1" customHeight="1">
      <c r="A434" s="5"/>
      <c r="H434" s="13"/>
    </row>
    <row r="435" ht="15.75" customHeight="1">
      <c r="A435" s="5" t="str">
        <f>IFERROR(__xludf.DUMMYFUNCTION("REGEXEXTRACT(H435, ""s*(.*?)\s*а\)"")"),"Где можно найти глину?")</f>
        <v>Где можно найти глину?</v>
      </c>
      <c r="B435" s="5">
        <v>1.0</v>
      </c>
      <c r="D435" s="5" t="str">
        <f>IFERROR(__xludf.DUMMYFUNCTION("REGEXREPLACE(REGEXEXTRACT(H435, ""а\)\s*(.*?)\s*б\)""), ""^\s*"", """")"),"Возле водоёмов")</f>
        <v>Возле водоёмов</v>
      </c>
      <c r="E435" s="5" t="str">
        <f>IFERROR(__xludf.DUMMYFUNCTION("REGEXREPLACE(REGEXEXTRACT(H435, ""б\)\s*(.*?)\s*в\)""), ""^\s*"", """")"),"В шахтах")</f>
        <v>В шахтах</v>
      </c>
      <c r="F435" s="5" t="str">
        <f>IFERROR(__xludf.DUMMYFUNCTION("REGEXREPLACE(REGEXEXTRACT(H435, ""в\)\s*(.*?)\s*г\)""), ""^\s*"", """")"),"В лесах")</f>
        <v>В лесах</v>
      </c>
      <c r="G435" s="5" t="str">
        <f>IFERROR(__xludf.DUMMYFUNCTION("REGEXREPLACE(REGEXEXTRACT(H435, ""г\)\s*(.*)""), ""^\s*"", """")"),"В пустынях")</f>
        <v>В пустынях</v>
      </c>
      <c r="H435" s="12" t="s">
        <v>134</v>
      </c>
    </row>
    <row r="436" ht="15.75" hidden="1" customHeight="1">
      <c r="A436" s="5"/>
      <c r="H436" s="13"/>
    </row>
    <row r="437" ht="15.75" customHeight="1">
      <c r="A437" s="5" t="str">
        <f>IFERROR(__xludf.DUMMYFUNCTION("REGEXEXTRACT(H437, ""s*(.*?)\s*а\)"")"),"Какой моб всегда нападает группами?")</f>
        <v>Какой моб всегда нападает группами?</v>
      </c>
      <c r="B437" s="5">
        <v>1.0</v>
      </c>
      <c r="D437" s="5" t="str">
        <f>IFERROR(__xludf.DUMMYFUNCTION("REGEXREPLACE(REGEXEXTRACT(H437, ""а\)\s*(.*?)\s*б\)""), ""^\s*"", """")"),"Волки")</f>
        <v>Волки</v>
      </c>
      <c r="E437" s="5" t="str">
        <f>IFERROR(__xludf.DUMMYFUNCTION("REGEXREPLACE(REGEXEXTRACT(H437, ""б\)\s*(.*?)\s*в\)""), ""^\s*"", """")"),"Зомби")</f>
        <v>Зомби</v>
      </c>
      <c r="F437" s="5" t="str">
        <f>IFERROR(__xludf.DUMMYFUNCTION("REGEXREPLACE(REGEXEXTRACT(H437, ""в\)\s*(.*?)\s*г\)""), ""^\s*"", """")"),"Скелеты")</f>
        <v>Скелеты</v>
      </c>
      <c r="G437" s="5" t="str">
        <f>IFERROR(__xludf.DUMMYFUNCTION("REGEXREPLACE(REGEXEXTRACT(H437, ""г\)\s*(.*)""), ""^\s*"", """")"),"Криперы")</f>
        <v>Криперы</v>
      </c>
      <c r="H437" s="12" t="s">
        <v>135</v>
      </c>
    </row>
    <row r="438" ht="15.75" hidden="1" customHeight="1">
      <c r="A438" s="5"/>
      <c r="H438" s="13"/>
    </row>
    <row r="439" ht="15.75" customHeight="1">
      <c r="A439" s="5" t="str">
        <f>IFERROR(__xludf.DUMMYFUNCTION("REGEXEXTRACT(H439, ""s*(.*?)\s*а\)"")"),"Что можно получить из переплавленного песка?")</f>
        <v>Что можно получить из переплавленного песка?</v>
      </c>
      <c r="B439" s="5">
        <v>1.0</v>
      </c>
      <c r="D439" s="5" t="str">
        <f>IFERROR(__xludf.DUMMYFUNCTION("REGEXREPLACE(REGEXEXTRACT(H439, ""а\)\s*(.*?)\s*б\)""), ""^\s*"", """")"),"Стекло")</f>
        <v>Стекло</v>
      </c>
      <c r="E439" s="5" t="str">
        <f>IFERROR(__xludf.DUMMYFUNCTION("REGEXREPLACE(REGEXEXTRACT(H439, ""б\)\s*(.*?)\s*в\)""), ""^\s*"", """")"),"Камень")</f>
        <v>Камень</v>
      </c>
      <c r="F439" s="5" t="str">
        <f>IFERROR(__xludf.DUMMYFUNCTION("REGEXREPLACE(REGEXEXTRACT(H439, ""в\)\s*(.*?)\s*г\)""), ""^\s*"", """")"),"Кирпич")</f>
        <v>Кирпич</v>
      </c>
      <c r="G439" s="5" t="str">
        <f>IFERROR(__xludf.DUMMYFUNCTION("REGEXREPLACE(REGEXEXTRACT(H439, ""г\)\s*(.*)""), ""^\s*"", """")"),"Глину")</f>
        <v>Глину</v>
      </c>
      <c r="H439" s="12" t="s">
        <v>136</v>
      </c>
    </row>
    <row r="440" ht="15.75" hidden="1" customHeight="1">
      <c r="A440" s="5"/>
      <c r="H440" s="13"/>
    </row>
    <row r="441" ht="15.75" hidden="1" customHeight="1">
      <c r="A441" s="5" t="str">
        <f>IFERROR(__xludf.DUMMYFUNCTION("REGEXEXTRACT(H441, ""s*(.*?)\s*а\)"")"),"#N/A")</f>
        <v>#N/A</v>
      </c>
      <c r="B441" s="5">
        <v>1.0</v>
      </c>
      <c r="D441" s="5" t="str">
        <f>IFERROR(__xludf.DUMMYFUNCTION("REGEXREPLACE(REGEXEXTRACT(H441, ""а\)\s*(.*?)\s*б\)""), ""^\s*"", """")"),"#N/A")</f>
        <v>#N/A</v>
      </c>
      <c r="E441" s="5" t="str">
        <f>IFERROR(__xludf.DUMMYFUNCTION("REGEXREPLACE(REGEXEXTRACT(H441, ""б\)\s*(.*?)\s*в\)""), ""^\s*"", """")"),"#N/A")</f>
        <v>#N/A</v>
      </c>
      <c r="F441" s="5" t="str">
        <f>IFERROR(__xludf.DUMMYFUNCTION("REGEXREPLACE(REGEXEXTRACT(H441, ""в\)\s*(.*?)\s*г\)""), ""^\s*"", """")"),"#N/A")</f>
        <v>#N/A</v>
      </c>
      <c r="G441" s="5" t="str">
        <f>IFERROR(__xludf.DUMMYFUNCTION("REGEXREPLACE(REGEXEXTRACT(H441, ""г\)\s*(.*)""), ""^\s*"", """")"),"#N/A")</f>
        <v>#N/A</v>
      </c>
      <c r="H441" s="12"/>
    </row>
    <row r="442" ht="15.75" hidden="1" customHeight="1">
      <c r="A442" s="5"/>
    </row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customHeight="1">
      <c r="A1001" s="5" t="str">
        <f>IFERROR(__xludf.DUMMYFUNCTION("REGEXEXTRACT(H1001, ""s*(.*?)\s*а\)"")"),"Кто это?")</f>
        <v>Кто это?</v>
      </c>
      <c r="B1001" s="15">
        <v>2.0</v>
      </c>
      <c r="D1001" s="5" t="str">
        <f>IFERROR(__xludf.DUMMYFUNCTION("REGEXREPLACE(REGEXEXTRACT(H1001, ""а\)\s*(.*?)\s*б\)""), ""^\s*"", """")"),"Курица")</f>
        <v>Курица</v>
      </c>
      <c r="E1001" s="5" t="str">
        <f>IFERROR(__xludf.DUMMYFUNCTION("REGEXREPLACE(REGEXEXTRACT(H1001, ""б\)\s*(.*?)\s*в\)""), ""^\s*"", """")"),"Цыпа")</f>
        <v>Цыпа</v>
      </c>
      <c r="F1001" s="5" t="str">
        <f>IFERROR(__xludf.DUMMYFUNCTION("REGEXREPLACE(REGEXEXTRACT(H1001, ""в\)\s*(.*?)\s*г\)""), ""^\s*"", """")"),"Петушок")</f>
        <v>Петушок</v>
      </c>
      <c r="G1001" s="5" t="str">
        <f>IFERROR(__xludf.DUMMYFUNCTION("REGEXREPLACE(REGEXEXTRACT(H1001, ""г\)\s*(.*)""), ""^\s*"", """")"),"Наседка")</f>
        <v>Наседка</v>
      </c>
      <c r="H1001" s="14" t="s">
        <v>137</v>
      </c>
    </row>
    <row r="1002" ht="15.75" customHeight="1">
      <c r="A1002" s="5" t="str">
        <f>IFERROR(__xludf.DUMMYFUNCTION("REGEXEXTRACT(H1002, ""s*(.*?)\s*а\)"")"),"Кто это?")</f>
        <v>Кто это?</v>
      </c>
      <c r="B1002" s="15">
        <v>2.0</v>
      </c>
      <c r="D1002" s="5" t="str">
        <f>IFERROR(__xludf.DUMMYFUNCTION("REGEXREPLACE(REGEXEXTRACT(H1002, ""а\)\s*(.*?)\s*б\)""), ""^\s*"", """")"),"Корова")</f>
        <v>Корова</v>
      </c>
      <c r="E1002" s="5" t="str">
        <f>IFERROR(__xludf.DUMMYFUNCTION("REGEXREPLACE(REGEXEXTRACT(H1002, ""б\)\s*(.*?)\s*в\)""), ""^\s*"", """")"),"Му-му")</f>
        <v>Му-му</v>
      </c>
      <c r="F1002" s="5" t="str">
        <f>IFERROR(__xludf.DUMMYFUNCTION("REGEXREPLACE(REGEXEXTRACT(H1002, ""в\)\s*(.*?)\s*г\)""), ""^\s*"", """")"),"Теленок")</f>
        <v>Теленок</v>
      </c>
      <c r="G1002" s="5" t="str">
        <f>IFERROR(__xludf.DUMMYFUNCTION("REGEXREPLACE(REGEXEXTRACT(H1002, ""г\)\s*(.*)""), ""^\s*"", """")"),"Буренка")</f>
        <v>Буренка</v>
      </c>
      <c r="H1002" s="14" t="s">
        <v>138</v>
      </c>
    </row>
    <row r="1003" ht="15.75" customHeight="1">
      <c r="A1003" s="5" t="str">
        <f>IFERROR(__xludf.DUMMYFUNCTION("REGEXEXTRACT(H1003, ""s*(.*?)\s*а\)"")"),"Кто это?")</f>
        <v>Кто это?</v>
      </c>
      <c r="B1003" s="15">
        <v>2.0</v>
      </c>
      <c r="D1003" s="5" t="str">
        <f>IFERROR(__xludf.DUMMYFUNCTION("REGEXREPLACE(REGEXEXTRACT(H1003, ""а\)\s*(.*?)\s*б\)""), ""^\s*"", """")"),"Свинья")</f>
        <v>Свинья</v>
      </c>
      <c r="E1003" s="5" t="str">
        <f>IFERROR(__xludf.DUMMYFUNCTION("REGEXREPLACE(REGEXEXTRACT(H1003, ""б\)\s*(.*?)\s*в\)""), ""^\s*"", """")"),"Хрюшка")</f>
        <v>Хрюшка</v>
      </c>
      <c r="F1003" s="5" t="str">
        <f>IFERROR(__xludf.DUMMYFUNCTION("REGEXREPLACE(REGEXEXTRACT(H1003, ""в\)\s*(.*?)\s*г\)""), ""^\s*"", """")"),"Пятачок")</f>
        <v>Пятачок</v>
      </c>
      <c r="G1003" s="5" t="str">
        <f>IFERROR(__xludf.DUMMYFUNCTION("REGEXREPLACE(REGEXEXTRACT(H1003, ""г\)\s*(.*)""), ""^\s*"", """")"),"Землеройка")</f>
        <v>Землеройка</v>
      </c>
      <c r="H1003" s="12" t="s">
        <v>139</v>
      </c>
    </row>
    <row r="1004" ht="15.75" customHeight="1">
      <c r="A1004" s="5" t="str">
        <f>IFERROR(__xludf.DUMMYFUNCTION("REGEXEXTRACT(H1004, ""s*(.*?)\s*а\)"")"),"Кто это?")</f>
        <v>Кто это?</v>
      </c>
      <c r="B1004" s="15">
        <v>2.0</v>
      </c>
      <c r="D1004" s="5" t="str">
        <f>IFERROR(__xludf.DUMMYFUNCTION("REGEXREPLACE(REGEXEXTRACT(H1004, ""а\)\s*(.*?)\s*б\)""), ""^\s*"", """")"),"Овца")</f>
        <v>Овца</v>
      </c>
      <c r="E1004" s="5" t="str">
        <f>IFERROR(__xludf.DUMMYFUNCTION("REGEXREPLACE(REGEXEXTRACT(H1004, ""б\)\s*(.*?)\s*в\)""), ""^\s*"", """")"),"Барашек")</f>
        <v>Барашек</v>
      </c>
      <c r="F1004" s="5" t="str">
        <f>IFERROR(__xludf.DUMMYFUNCTION("REGEXREPLACE(REGEXEXTRACT(H1004, ""в\)\s*(.*?)\s*г\)""), ""^\s*"", """")"),"Шерстяной комок")</f>
        <v>Шерстяной комок</v>
      </c>
      <c r="G1004" s="5" t="str">
        <f>IFERROR(__xludf.DUMMYFUNCTION("REGEXREPLACE(REGEXEXTRACT(H1004, ""г\)\s*(.*)""), ""^\s*"", """")"),"Кудряшка")</f>
        <v>Кудряшка</v>
      </c>
      <c r="H1004" s="12" t="s">
        <v>140</v>
      </c>
    </row>
    <row r="1005" ht="15.75" customHeight="1">
      <c r="A1005" s="5" t="str">
        <f>IFERROR(__xludf.DUMMYFUNCTION("REGEXEXTRACT(H1005, ""s*(.*?)\s*а\)"")"),"Кто это?")</f>
        <v>Кто это?</v>
      </c>
      <c r="B1005" s="15">
        <v>2.0</v>
      </c>
      <c r="D1005" s="5" t="str">
        <f>IFERROR(__xludf.DUMMYFUNCTION("REGEXREPLACE(REGEXEXTRACT(H1005, ""а\)\s*(.*?)\s*б\)""), ""^\s*"", """")"),"Лошадь")</f>
        <v>Лошадь</v>
      </c>
      <c r="E1005" s="5" t="str">
        <f>IFERROR(__xludf.DUMMYFUNCTION("REGEXREPLACE(REGEXEXTRACT(H1005, ""б\)\s*(.*?)\s*в\)""), ""^\s*"", """")"),"Игого")</f>
        <v>Игого</v>
      </c>
      <c r="F1005" s="5" t="str">
        <f>IFERROR(__xludf.DUMMYFUNCTION("REGEXREPLACE(REGEXEXTRACT(H1005, ""в\)\s*(.*?)\s*г\)""), ""^\s*"", """")"),"Жеребенок")</f>
        <v>Жеребенок</v>
      </c>
      <c r="G1005" s="5" t="str">
        <f>IFERROR(__xludf.DUMMYFUNCTION("REGEXREPLACE(REGEXEXTRACT(H1005, ""г\)\s*(.*)""), ""^\s*"", """")"),"Скакун")</f>
        <v>Скакун</v>
      </c>
      <c r="H1005" s="12" t="s">
        <v>141</v>
      </c>
    </row>
    <row r="1006" ht="15.75" customHeight="1">
      <c r="A1006" s="5" t="str">
        <f>IFERROR(__xludf.DUMMYFUNCTION("REGEXEXTRACT(H1006, ""s*(.*?)\s*а\)"")"),"Кто это?")</f>
        <v>Кто это?</v>
      </c>
      <c r="B1006" s="15">
        <v>2.0</v>
      </c>
      <c r="D1006" s="5" t="str">
        <f>IFERROR(__xludf.DUMMYFUNCTION("REGEXREPLACE(REGEXEXTRACT(H1006, ""а\)\s*(.*?)\s*б\)""), ""^\s*"", """")"),"Осел")</f>
        <v>Осел</v>
      </c>
      <c r="E1006" s="5" t="str">
        <f>IFERROR(__xludf.DUMMYFUNCTION("REGEXREPLACE(REGEXEXTRACT(H1006, ""б\)\s*(.*?)\s*в\)""), ""^\s*"", """")"),"Иа")</f>
        <v>Иа</v>
      </c>
      <c r="F1006" s="5" t="str">
        <f>IFERROR(__xludf.DUMMYFUNCTION("REGEXREPLACE(REGEXEXTRACT(H1006, ""в\)\s*(.*?)\s*г\)""), ""^\s*"", """")"),"Упрямый")</f>
        <v>Упрямый</v>
      </c>
      <c r="G1006" s="5" t="str">
        <f>IFERROR(__xludf.DUMMYFUNCTION("REGEXREPLACE(REGEXEXTRACT(H1006, ""г\)\s*(.*)""), ""^\s*"", """")"),"Грузовик")</f>
        <v>Грузовик</v>
      </c>
      <c r="H1006" s="12" t="s">
        <v>142</v>
      </c>
    </row>
    <row r="1007" ht="15.75" customHeight="1">
      <c r="A1007" s="5" t="str">
        <f>IFERROR(__xludf.DUMMYFUNCTION("REGEXEXTRACT(H1007, ""s*(.*?)\s*а\)"")"),"Кто это?")</f>
        <v>Кто это?</v>
      </c>
      <c r="B1007" s="15">
        <v>2.0</v>
      </c>
      <c r="D1007" s="5" t="str">
        <f>IFERROR(__xludf.DUMMYFUNCTION("REGEXREPLACE(REGEXEXTRACT(H1007, ""а\)\s*(.*?)\s*б\)""), ""^\s*"", """")"),"Мул")</f>
        <v>Мул</v>
      </c>
      <c r="E1007" s="5" t="str">
        <f>IFERROR(__xludf.DUMMYFUNCTION("REGEXREPLACE(REGEXEXTRACT(H1007, ""б\)\s*(.*?)\s*в\)""), ""^\s*"", """")"),"Гибрид")</f>
        <v>Гибрид</v>
      </c>
      <c r="F1007" s="5" t="str">
        <f>IFERROR(__xludf.DUMMYFUNCTION("REGEXREPLACE(REGEXEXTRACT(H1007, ""в\)\s*(.*?)\s*г\)""), ""^\s*"", """")"),"Работяга")</f>
        <v>Работяга</v>
      </c>
      <c r="G1007" s="5" t="str">
        <f>IFERROR(__xludf.DUMMYFUNCTION("REGEXREPLACE(REGEXEXTRACT(H1007, ""г\)\s*(.*)""), ""^\s*"", """")"),"Ушастый")</f>
        <v>Ушастый</v>
      </c>
      <c r="H1007" s="12" t="s">
        <v>143</v>
      </c>
    </row>
    <row r="1008" ht="15.75" customHeight="1">
      <c r="A1008" s="5" t="str">
        <f>IFERROR(__xludf.DUMMYFUNCTION("REGEXEXTRACT(H1008, ""s*(.*?)\s*а\)"")"),"Кто это?")</f>
        <v>Кто это?</v>
      </c>
      <c r="B1008" s="15">
        <v>2.0</v>
      </c>
      <c r="D1008" s="5" t="str">
        <f>IFERROR(__xludf.DUMMYFUNCTION("REGEXREPLACE(REGEXEXTRACT(H1008, ""а\)\s*(.*?)\s*б\)""), ""^\s*"", """")"),"Кролик")</f>
        <v>Кролик</v>
      </c>
      <c r="E1008" s="5" t="str">
        <f>IFERROR(__xludf.DUMMYFUNCTION("REGEXREPLACE(REGEXEXTRACT(H1008, ""б\)\s*(.*?)\s*в\)""), ""^\s*"", """")"),"Заяц")</f>
        <v>Заяц</v>
      </c>
      <c r="F1008" s="5" t="str">
        <f>IFERROR(__xludf.DUMMYFUNCTION("REGEXREPLACE(REGEXEXTRACT(H1008, ""в\)\s*(.*?)\s*г\)""), ""^\s*"", """")"),"Пушистик")</f>
        <v>Пушистик</v>
      </c>
      <c r="G1008" s="5" t="str">
        <f>IFERROR(__xludf.DUMMYFUNCTION("REGEXREPLACE(REGEXEXTRACT(H1008, ""г\)\s*(.*)""), ""^\s*"", """")"),"Прыгун")</f>
        <v>Прыгун</v>
      </c>
      <c r="H1008" s="12" t="s">
        <v>144</v>
      </c>
    </row>
    <row r="1009" ht="15.75" customHeight="1">
      <c r="A1009" s="5" t="str">
        <f>IFERROR(__xludf.DUMMYFUNCTION("REGEXEXTRACT(H1009, ""s*(.*?)\s*а\)"")"),"Кто это?")</f>
        <v>Кто это?</v>
      </c>
      <c r="B1009" s="15">
        <v>2.0</v>
      </c>
      <c r="D1009" s="5" t="str">
        <f>IFERROR(__xludf.DUMMYFUNCTION("REGEXREPLACE(REGEXEXTRACT(H1009, ""а\)\s*(.*?)\s*б\)""), ""^\s*"", """")"),"Кошка")</f>
        <v>Кошка</v>
      </c>
      <c r="E1009" s="5" t="str">
        <f>IFERROR(__xludf.DUMMYFUNCTION("REGEXREPLACE(REGEXEXTRACT(H1009, ""б\)\s*(.*?)\s*в\)""), ""^\s*"", """")"),"Мурка")</f>
        <v>Мурка</v>
      </c>
      <c r="F1009" s="5" t="str">
        <f>IFERROR(__xludf.DUMMYFUNCTION("REGEXREPLACE(REGEXEXTRACT(H1009, ""в\)\s*(.*?)\s*г\)""), ""^\s*"", """")"),"Домашний питомец")</f>
        <v>Домашний питомец</v>
      </c>
      <c r="G1009" s="5" t="str">
        <f>IFERROR(__xludf.DUMMYFUNCTION("REGEXREPLACE(REGEXEXTRACT(H1009, ""г\)\s*(.*)""), ""^\s*"", """")"),"Царапка")</f>
        <v>Царапка</v>
      </c>
      <c r="H1009" s="12" t="s">
        <v>145</v>
      </c>
    </row>
    <row r="1010" ht="15.75" customHeight="1">
      <c r="A1010" s="5" t="str">
        <f>IFERROR(__xludf.DUMMYFUNCTION("REGEXEXTRACT(H1010, ""s*(.*?)\s*а\)"")"),"Кто это?")</f>
        <v>Кто это?</v>
      </c>
      <c r="B1010" s="15">
        <v>2.0</v>
      </c>
      <c r="D1010" s="5" t="str">
        <f>IFERROR(__xludf.DUMMYFUNCTION("REGEXREPLACE(REGEXEXTRACT(H1010, ""а\)\s*(.*?)\s*б\)""), ""^\s*"", """")"),"Попугай")</f>
        <v>Попугай</v>
      </c>
      <c r="E1010" s="5" t="str">
        <f>IFERROR(__xludf.DUMMYFUNCTION("REGEXREPLACE(REGEXEXTRACT(H1010, ""б\)\s*(.*?)\s*в\)""), ""^\s*"", """")"),"Говорун")</f>
        <v>Говорун</v>
      </c>
      <c r="F1010" s="5" t="str">
        <f>IFERROR(__xludf.DUMMYFUNCTION("REGEXREPLACE(REGEXEXTRACT(H1010, ""в\)\s*(.*?)\s*г\)""), ""^\s*"", """")"),"Пернатый")</f>
        <v>Пернатый</v>
      </c>
      <c r="G1010" s="5" t="str">
        <f>IFERROR(__xludf.DUMMYFUNCTION("REGEXREPLACE(REGEXEXTRACT(H1010, ""г\)\s*(.*)""), ""^\s*"", """")"),"Пиратский")</f>
        <v>Пиратский</v>
      </c>
      <c r="H1010" s="12" t="s">
        <v>146</v>
      </c>
    </row>
    <row r="1011" ht="15.75" customHeight="1">
      <c r="A1011" s="5" t="str">
        <f>IFERROR(__xludf.DUMMYFUNCTION("REGEXEXTRACT(H1011, ""s*(.*?)\s*а\)"")"),"Кто это?")</f>
        <v>Кто это?</v>
      </c>
      <c r="B1011" s="15">
        <v>2.0</v>
      </c>
      <c r="D1011" s="5" t="str">
        <f>IFERROR(__xludf.DUMMYFUNCTION("REGEXREPLACE(REGEXEXTRACT(H1011, ""а\)\s*(.*?)\s*б\)""), ""^\s*"", """")"),"Черепаха")</f>
        <v>Черепаха</v>
      </c>
      <c r="E1011" s="5" t="str">
        <f>IFERROR(__xludf.DUMMYFUNCTION("REGEXREPLACE(REGEXEXTRACT(H1011, ""б\)\s*(.*?)\s*в\)""), ""^\s*"", """")"),"Тортилла")</f>
        <v>Тортилла</v>
      </c>
      <c r="F1011" s="5" t="str">
        <f>IFERROR(__xludf.DUMMYFUNCTION("REGEXREPLACE(REGEXEXTRACT(H1011, ""в\)\s*(.*?)\s*г\)""), ""^\s*"", """")"),"Медленная")</f>
        <v>Медленная</v>
      </c>
      <c r="G1011" s="5" t="str">
        <f>IFERROR(__xludf.DUMMYFUNCTION("REGEXREPLACE(REGEXEXTRACT(H1011, ""г\)\s*(.*)""), ""^\s*"", """")"),"Морская")</f>
        <v>Морская</v>
      </c>
      <c r="H1011" s="12" t="s">
        <v>147</v>
      </c>
    </row>
    <row r="1012" ht="15.75" customHeight="1">
      <c r="A1012" s="5" t="str">
        <f>IFERROR(__xludf.DUMMYFUNCTION("REGEXEXTRACT(H1012, ""s*(.*?)\s*а\)"")"),"Кто это?")</f>
        <v>Кто это?</v>
      </c>
      <c r="B1012" s="15">
        <v>2.0</v>
      </c>
      <c r="D1012" s="5" t="str">
        <f>IFERROR(__xludf.DUMMYFUNCTION("REGEXREPLACE(REGEXEXTRACT(H1012, ""а\)\s*(.*?)\s*б\)""), ""^\s*"", """")"),"Торговец")</f>
        <v>Торговец</v>
      </c>
      <c r="E1012" s="5" t="str">
        <f>IFERROR(__xludf.DUMMYFUNCTION("REGEXREPLACE(REGEXEXTRACT(H1012, ""б\)\s*(.*?)\s*в\)""), ""^\s*"", """")"),"Коммивояжер")</f>
        <v>Коммивояжер</v>
      </c>
      <c r="F1012" s="5" t="str">
        <f>IFERROR(__xludf.DUMMYFUNCTION("REGEXREPLACE(REGEXEXTRACT(H1012, ""в\)\s*(.*?)\s*г\)""), ""^\s*"", """")"),"Барыга")</f>
        <v>Барыга</v>
      </c>
      <c r="G1012" s="5" t="str">
        <f>IFERROR(__xludf.DUMMYFUNCTION("REGEXREPLACE(REGEXEXTRACT(H1012, ""г\)\s*(.*)""), ""^\s*"", """")"),"Меняла")</f>
        <v>Меняла</v>
      </c>
      <c r="H1012" s="12" t="s">
        <v>148</v>
      </c>
    </row>
    <row r="1013" ht="15.75" customHeight="1">
      <c r="A1013" s="5" t="str">
        <f>IFERROR(__xludf.DUMMYFUNCTION("REGEXEXTRACT(H1013, ""s*(.*?)\s*а\)"")"),"Кто это?")</f>
        <v>Кто это?</v>
      </c>
      <c r="B1013" s="15">
        <v>2.0</v>
      </c>
      <c r="D1013" s="5" t="str">
        <f>IFERROR(__xludf.DUMMYFUNCTION("REGEXREPLACE(REGEXEXTRACT(H1013, ""а\)\s*(.*?)\s*б\)""), ""^\s*"", """")"),"Белый медведь")</f>
        <v>Белый медведь</v>
      </c>
      <c r="E1013" s="5" t="str">
        <f>IFERROR(__xludf.DUMMYFUNCTION("REGEXREPLACE(REGEXEXTRACT(H1013, ""б\)\s*(.*?)\s*в\)""), ""^\s*"", """")"),"Умка")</f>
        <v>Умка</v>
      </c>
      <c r="F1013" s="5" t="str">
        <f>IFERROR(__xludf.DUMMYFUNCTION("REGEXREPLACE(REGEXEXTRACT(H1013, ""в\)\s*(.*?)\s*г\)""), ""^\s*"", """")"),"Арктический")</f>
        <v>Арктический</v>
      </c>
      <c r="G1013" s="5" t="str">
        <f>IFERROR(__xludf.DUMMYFUNCTION("REGEXREPLACE(REGEXEXTRACT(H1013, ""г\)\s*(.*)""), ""^\s*"", """")"),"Снежный")</f>
        <v>Снежный</v>
      </c>
      <c r="H1013" s="12" t="s">
        <v>149</v>
      </c>
    </row>
    <row r="1014" ht="15.75" customHeight="1">
      <c r="A1014" s="5" t="str">
        <f>IFERROR(__xludf.DUMMYFUNCTION("REGEXEXTRACT(H1014, ""s*(.*?)\s*а\)"")"),"Кто это?")</f>
        <v>Кто это?</v>
      </c>
      <c r="B1014" s="15">
        <v>2.0</v>
      </c>
      <c r="D1014" s="5" t="str">
        <f>IFERROR(__xludf.DUMMYFUNCTION("REGEXREPLACE(REGEXEXTRACT(H1014, ""а\)\s*(.*?)\s*б\)""), ""^\s*"", """")"),"Лиса")</f>
        <v>Лиса</v>
      </c>
      <c r="E1014" s="5" t="str">
        <f>IFERROR(__xludf.DUMMYFUNCTION("REGEXREPLACE(REGEXEXTRACT(H1014, ""б\)\s*(.*?)\s*в\)""), ""^\s*"", """")"),"Рыжая плутовка")</f>
        <v>Рыжая плутовка</v>
      </c>
      <c r="F1014" s="5" t="str">
        <f>IFERROR(__xludf.DUMMYFUNCTION("REGEXREPLACE(REGEXEXTRACT(H1014, ""в\)\s*(.*?)\s*г\)""), ""^\s*"", """")"),"Хитрая морда")</f>
        <v>Хитрая морда</v>
      </c>
      <c r="G1014" s="5" t="str">
        <f>IFERROR(__xludf.DUMMYFUNCTION("REGEXREPLACE(REGEXEXTRACT(H1014, ""г\)\s*(.*)""), ""^\s*"", """")"),"Лесной житель")</f>
        <v>Лесной житель</v>
      </c>
      <c r="H1014" s="12" t="s">
        <v>150</v>
      </c>
    </row>
    <row r="1015" ht="15.75" customHeight="1">
      <c r="A1015" s="5" t="str">
        <f>IFERROR(__xludf.DUMMYFUNCTION("REGEXEXTRACT(H1015, ""s*(.*?)\s*а\)"")"),"Кто это?")</f>
        <v>Кто это?</v>
      </c>
      <c r="B1015" s="15">
        <v>2.0</v>
      </c>
      <c r="D1015" s="5" t="str">
        <f>IFERROR(__xludf.DUMMYFUNCTION("REGEXREPLACE(REGEXEXTRACT(H1015, ""а\)\s*(.*?)\s*б\)""), ""^\s*"", """")"),"Пчела")</f>
        <v>Пчела</v>
      </c>
      <c r="E1015" s="5" t="str">
        <f>IFERROR(__xludf.DUMMYFUNCTION("REGEXREPLACE(REGEXEXTRACT(H1015, ""б\)\s*(.*?)\s*в\)""), ""^\s*"", """")"),"Жужжалка")</f>
        <v>Жужжалка</v>
      </c>
      <c r="F1015" s="5" t="str">
        <f>IFERROR(__xludf.DUMMYFUNCTION("REGEXREPLACE(REGEXEXTRACT(H1015, ""в\)\s*(.*?)\s*г\)""), ""^\s*"", """")"),"Медоносная")</f>
        <v>Медоносная</v>
      </c>
      <c r="G1015" s="5" t="str">
        <f>IFERROR(__xludf.DUMMYFUNCTION("REGEXREPLACE(REGEXEXTRACT(H1015, ""г\)\s*(.*)""), ""^\s*"", """")"),"Полосатая")</f>
        <v>Полосатая</v>
      </c>
      <c r="H1015" s="12" t="s">
        <v>151</v>
      </c>
    </row>
    <row r="1016" ht="15.75" customHeight="1">
      <c r="A1016" s="5" t="str">
        <f>IFERROR(__xludf.DUMMYFUNCTION("REGEXEXTRACT(H1016, ""s*(.*?)\s*а\)"")"),"Кто это?")</f>
        <v>Кто это?</v>
      </c>
      <c r="B1016" s="15">
        <v>2.0</v>
      </c>
      <c r="D1016" s="5" t="str">
        <f>IFERROR(__xludf.DUMMYFUNCTION("REGEXREPLACE(REGEXEXTRACT(H1016, ""а\)\s*(.*?)\s*б\)""), ""^\s*"", """")"),"Коза")</f>
        <v>Коза</v>
      </c>
      <c r="E1016" s="5" t="str">
        <f>IFERROR(__xludf.DUMMYFUNCTION("REGEXREPLACE(REGEXEXTRACT(H1016, ""б\)\s*(.*?)\s*в\)""), ""^\s*"", """")"),"Бодалка")</f>
        <v>Бодалка</v>
      </c>
      <c r="F1016" s="5" t="str">
        <f>IFERROR(__xludf.DUMMYFUNCTION("REGEXREPLACE(REGEXEXTRACT(H1016, ""в\)\s*(.*?)\s*г\)""), ""^\s*"", """")"),"Рогатая")</f>
        <v>Рогатая</v>
      </c>
      <c r="G1016" s="5" t="str">
        <f>IFERROR(__xludf.DUMMYFUNCTION("REGEXREPLACE(REGEXEXTRACT(H1016, ""г\)\s*(.*)""), ""^\s*"", """")"),"Горная")</f>
        <v>Горная</v>
      </c>
      <c r="H1016" s="12" t="s">
        <v>152</v>
      </c>
    </row>
    <row r="1017" ht="15.75" customHeight="1">
      <c r="A1017" s="5" t="str">
        <f>IFERROR(__xludf.DUMMYFUNCTION("REGEXEXTRACT(H1017, ""s*(.*?)\s*а\)"")"),"Кто это?")</f>
        <v>Кто это?</v>
      </c>
      <c r="B1017" s="15">
        <v>2.0</v>
      </c>
      <c r="D1017" s="5" t="str">
        <f>IFERROR(__xludf.DUMMYFUNCTION("REGEXREPLACE(REGEXEXTRACT(H1017, ""а\)\s*(.*?)\s*б\)""), ""^\s*"", """")"),"Нюхач")</f>
        <v>Нюхач</v>
      </c>
      <c r="E1017" s="5" t="str">
        <f>IFERROR(__xludf.DUMMYFUNCTION("REGEXREPLACE(REGEXEXTRACT(H1017, ""б\)\s*(.*?)\s*в\)""), ""^\s*"", """")"),"Древний")</f>
        <v>Древний</v>
      </c>
      <c r="F1017" s="5" t="str">
        <f>IFERROR(__xludf.DUMMYFUNCTION("REGEXREPLACE(REGEXEXTRACT(H1017, ""в\)\s*(.*?)\s*г\)""), ""^\s*"", """")"),"Травоядный")</f>
        <v>Травоядный</v>
      </c>
      <c r="G1017" s="5" t="str">
        <f>IFERROR(__xludf.DUMMYFUNCTION("REGEXREPLACE(REGEXEXTRACT(H1017, ""г\)\s*(.*)""), ""^\s*"", """")"),"Искатель")</f>
        <v>Искатель</v>
      </c>
      <c r="H1017" s="12" t="s">
        <v>153</v>
      </c>
    </row>
    <row r="1018" ht="15.75" customHeight="1">
      <c r="A1018" s="5" t="str">
        <f>IFERROR(__xludf.DUMMYFUNCTION("REGEXEXTRACT(H1018, ""s*(.*?)\s*а\)"")"),"Кто это?")</f>
        <v>Кто это?</v>
      </c>
      <c r="B1018" s="15">
        <v>2.0</v>
      </c>
      <c r="D1018" s="5" t="str">
        <f>IFERROR(__xludf.DUMMYFUNCTION("REGEXREPLACE(REGEXEXTRACT(H1018, ""а\)\s*(.*?)\s*б\)""), ""^\s*"", """")"),"Верблюд")</f>
        <v>Верблюд</v>
      </c>
      <c r="E1018" s="5" t="str">
        <f>IFERROR(__xludf.DUMMYFUNCTION("REGEXREPLACE(REGEXEXTRACT(H1018, ""б\)\s*(.*?)\s*в\)""), ""^\s*"", """")"),"Плюющийся")</f>
        <v>Плюющийся</v>
      </c>
      <c r="F1018" s="5" t="str">
        <f>IFERROR(__xludf.DUMMYFUNCTION("REGEXREPLACE(REGEXEXTRACT(H1018, ""в\)\s*(.*?)\s*г\)""), ""^\s*"", """")"),"Пустынный")</f>
        <v>Пустынный</v>
      </c>
      <c r="G1018" s="5" t="str">
        <f>IFERROR(__xludf.DUMMYFUNCTION("REGEXREPLACE(REGEXEXTRACT(H1018, ""г\)\s*(.*)""), ""^\s*"", """")"),"Двугорбый")</f>
        <v>Двугорбый</v>
      </c>
      <c r="H1018" s="12" t="s">
        <v>154</v>
      </c>
    </row>
    <row r="1019" ht="15.75" hidden="1" customHeight="1">
      <c r="A1019" s="5" t="str">
        <f>IFERROR(__xludf.DUMMYFUNCTION("REGEXEXTRACT(H1019, ""s*(.*?)\s*а\)"")"),"#N/A")</f>
        <v>#N/A</v>
      </c>
      <c r="D1019" s="5" t="str">
        <f>IFERROR(__xludf.DUMMYFUNCTION("REGEXREPLACE(REGEXEXTRACT(H1019, ""а\)\s*(.*?)\s*б\)""), ""^\s*"", """")"),"#N/A")</f>
        <v>#N/A</v>
      </c>
      <c r="E1019" s="5" t="str">
        <f>IFERROR(__xludf.DUMMYFUNCTION("REGEXREPLACE(REGEXEXTRACT(H1019, ""б\)\s*(.*?)\s*в\)""), ""^\s*"", """")"),"#N/A")</f>
        <v>#N/A</v>
      </c>
      <c r="F1019" s="5" t="str">
        <f>IFERROR(__xludf.DUMMYFUNCTION("REGEXREPLACE(REGEXEXTRACT(H1019, ""в\)\s*(.*?)\s*г\)""), ""^\s*"", """")"),"#N/A")</f>
        <v>#N/A</v>
      </c>
      <c r="G1019" s="5" t="str">
        <f>IFERROR(__xludf.DUMMYFUNCTION("REGEXREPLACE(REGEXEXTRACT(H1019, ""г\)\s*(.*)""), ""^\s*"", """")"),"#N/A")</f>
        <v>#N/A</v>
      </c>
      <c r="H1019" s="12"/>
    </row>
    <row r="1020" ht="15.75" customHeight="1">
      <c r="A1020" s="5" t="str">
        <f>IFERROR(__xludf.DUMMYFUNCTION("REGEXEXTRACT(H1020, ""s*(.*?)\s*а\)"")"),"Кто это?")</f>
        <v>Кто это?</v>
      </c>
      <c r="B1020" s="15">
        <v>2.0</v>
      </c>
      <c r="D1020" s="5" t="str">
        <f>IFERROR(__xludf.DUMMYFUNCTION("REGEXREPLACE(REGEXEXTRACT(H1020, ""а\)\s*(.*?)\s*б\)""), ""^\s*"", """")"),"Спрут")</f>
        <v>Спрут</v>
      </c>
      <c r="E1020" s="5" t="str">
        <f>IFERROR(__xludf.DUMMYFUNCTION("REGEXREPLACE(REGEXEXTRACT(H1020, ""б\)\s*(.*?)\s*в\)""), ""^\s*"", """")"),"Кальмар")</f>
        <v>Кальмар</v>
      </c>
      <c r="F1020" s="5" t="str">
        <f>IFERROR(__xludf.DUMMYFUNCTION("REGEXREPLACE(REGEXEXTRACT(H1020, ""в\)\s*(.*?)\s*г\)""), ""^\s*"", """")"),"Чернильник")</f>
        <v>Чернильник</v>
      </c>
      <c r="G1020" s="5" t="str">
        <f>IFERROR(__xludf.DUMMYFUNCTION("REGEXREPLACE(REGEXEXTRACT(H1020, ""г\)\s*(.*)""), ""^\s*"", """")"),"Морской житель")</f>
        <v>Морской житель</v>
      </c>
      <c r="H1020" s="12" t="s">
        <v>155</v>
      </c>
    </row>
    <row r="1021" ht="15.75" customHeight="1">
      <c r="A1021" s="5" t="str">
        <f>IFERROR(__xludf.DUMMYFUNCTION("REGEXEXTRACT(H1021, ""s*(.*?)\s*а\)"")"),"Кто это?")</f>
        <v>Кто это?</v>
      </c>
      <c r="B1021" s="15">
        <v>2.0</v>
      </c>
      <c r="D1021" s="5" t="str">
        <f>IFERROR(__xludf.DUMMYFUNCTION("REGEXREPLACE(REGEXEXTRACT(H1021, ""а\)\s*(.*?)\s*б\)""), ""^\s*"", """")"),"Пещерный паук")</f>
        <v>Пещерный паук</v>
      </c>
      <c r="E1021" s="5" t="str">
        <f>IFERROR(__xludf.DUMMYFUNCTION("REGEXREPLACE(REGEXEXTRACT(H1021, ""б\)\s*(.*?)\s*в\)""), ""^\s*"", """")"),"Ядовитый паук")</f>
        <v>Ядовитый паук</v>
      </c>
      <c r="F1021" s="5" t="str">
        <f>IFERROR(__xludf.DUMMYFUNCTION("REGEXREPLACE(REGEXEXTRACT(H1021, ""в\)\s*(.*?)\s*г\)""), ""^\s*"", """")"),"Подземный")</f>
        <v>Подземный</v>
      </c>
      <c r="G1021" s="5" t="str">
        <f>IFERROR(__xludf.DUMMYFUNCTION("REGEXREPLACE(REGEXEXTRACT(H1021, ""г\)\s*(.*)""), ""^\s*"", """")"),"Синий")</f>
        <v>Синий</v>
      </c>
      <c r="H1021" s="12" t="s">
        <v>156</v>
      </c>
    </row>
    <row r="1022" ht="15.75" customHeight="1">
      <c r="A1022" s="5" t="str">
        <f>IFERROR(__xludf.DUMMYFUNCTION("REGEXEXTRACT(H1022, ""s*(.*?)\s*а\)"")"),"Кто это?")</f>
        <v>Кто это?</v>
      </c>
      <c r="B1022" s="15">
        <v>2.0</v>
      </c>
      <c r="D1022" s="5" t="str">
        <f>IFERROR(__xludf.DUMMYFUNCTION("REGEXREPLACE(REGEXEXTRACT(H1022, ""а\)\s*(.*?)\s*б\)""), ""^\s*"", """")"),"Дельфин")</f>
        <v>Дельфин</v>
      </c>
      <c r="E1022" s="5" t="str">
        <f>IFERROR(__xludf.DUMMYFUNCTION("REGEXREPLACE(REGEXEXTRACT(H1022, ""б\)\s*(.*?)\s*в\)""), ""^\s*"", """")"),"Эхолокатор")</f>
        <v>Эхолокатор</v>
      </c>
      <c r="F1022" s="5" t="str">
        <f>IFERROR(__xludf.DUMMYFUNCTION("REGEXREPLACE(REGEXEXTRACT(H1022, ""в\)\s*(.*?)\s*г\)""), ""^\s*"", """")"),"Морской друг")</f>
        <v>Морской друг</v>
      </c>
      <c r="G1022" s="5" t="str">
        <f>IFERROR(__xludf.DUMMYFUNCTION("REGEXREPLACE(REGEXEXTRACT(H1022, ""г\)\s*(.*)""), ""^\s*"", """")"),"Пловец")</f>
        <v>Пловец</v>
      </c>
      <c r="H1022" s="14" t="s">
        <v>157</v>
      </c>
    </row>
    <row r="1023" ht="15.75" customHeight="1">
      <c r="A1023" s="5" t="str">
        <f>IFERROR(__xludf.DUMMYFUNCTION("REGEXEXTRACT(H1023, ""s*(.*?)\s*а\)"")"),"Кто это?")</f>
        <v>Кто это?</v>
      </c>
      <c r="B1023" s="15">
        <v>2.0</v>
      </c>
      <c r="D1023" s="5" t="str">
        <f>IFERROR(__xludf.DUMMYFUNCTION("REGEXREPLACE(REGEXEXTRACT(H1023, ""а\)\s*(.*?)\s*б\)""), ""^\s*"", """")"),"Лама")</f>
        <v>Лама</v>
      </c>
      <c r="E1023" s="5" t="str">
        <f>IFERROR(__xludf.DUMMYFUNCTION("REGEXREPLACE(REGEXEXTRACT(H1023, ""б\)\s*(.*?)\s*в\)""), ""^\s*"", """")"),"Плюющаяся")</f>
        <v>Плюющаяся</v>
      </c>
      <c r="F1023" s="5" t="str">
        <f>IFERROR(__xludf.DUMMYFUNCTION("REGEXREPLACE(REGEXEXTRACT(H1023, ""в\)\s*(.*?)\s*г\)""), ""^\s*"", """")"),"Горная")</f>
        <v>Горная</v>
      </c>
      <c r="G1023" s="5" t="str">
        <f>IFERROR(__xludf.DUMMYFUNCTION("REGEXREPLACE(REGEXEXTRACT(H1023, ""г\)\s*(.*)""), ""^\s*"", """")"),"Вьючная")</f>
        <v>Вьючная</v>
      </c>
      <c r="H1023" s="14" t="s">
        <v>158</v>
      </c>
    </row>
    <row r="1024" ht="15.75" customHeight="1">
      <c r="A1024" s="5" t="str">
        <f>IFERROR(__xludf.DUMMYFUNCTION("REGEXEXTRACT(H1024, ""s*(.*?)\s*а\)"")"),"Кто это?")</f>
        <v>Кто это?</v>
      </c>
      <c r="B1024" s="15">
        <v>2.0</v>
      </c>
      <c r="D1024" s="5" t="str">
        <f>IFERROR(__xludf.DUMMYFUNCTION("REGEXREPLACE(REGEXEXTRACT(H1024, ""а\)\s*(.*?)\s*б\)""), ""^\s*"", """")"),"Странствующий торговец")</f>
        <v>Странствующий торговец</v>
      </c>
      <c r="E1024" s="5" t="str">
        <f>IFERROR(__xludf.DUMMYFUNCTION("REGEXREPLACE(REGEXEXTRACT(H1024, ""б\)\s*(.*?)\s*в\)""), ""^\s*"", """")"),"Кочевник")</f>
        <v>Кочевник</v>
      </c>
      <c r="F1024" s="5" t="str">
        <f>IFERROR(__xludf.DUMMYFUNCTION("REGEXREPLACE(REGEXEXTRACT(H1024, ""в\)\s*(.*?)\s*г\)""), ""^\s*"", """")"),"Путешественник")</f>
        <v>Путешественник</v>
      </c>
      <c r="G1024" s="5" t="str">
        <f>IFERROR(__xludf.DUMMYFUNCTION("REGEXREPLACE(REGEXEXTRACT(H1024, ""г\)\s*(.*)""), ""^\s*"", """")"),"Меняла с ламами")</f>
        <v>Меняла с ламами</v>
      </c>
      <c r="H1024" s="12" t="s">
        <v>159</v>
      </c>
    </row>
    <row r="1025" ht="15.75" customHeight="1">
      <c r="A1025" s="5" t="str">
        <f>IFERROR(__xludf.DUMMYFUNCTION("REGEXEXTRACT(H1025, ""s*(.*?)\s*а\)"")"),"Кто это?")</f>
        <v>Кто это?</v>
      </c>
      <c r="B1025" s="15">
        <v>2.0</v>
      </c>
      <c r="D1025" s="5" t="str">
        <f>IFERROR(__xludf.DUMMYFUNCTION("REGEXREPLACE(REGEXEXTRACT(H1025, ""а\)\s*(.*?)\s*б\)""), ""^\s*"", """")"),"Зомбированный пиглин")</f>
        <v>Зомбированный пиглин</v>
      </c>
      <c r="E1025" s="5" t="str">
        <f>IFERROR(__xludf.DUMMYFUNCTION("REGEXREPLACE(REGEXEXTRACT(H1025, ""б\)\s*(.*?)\s*в\)""), ""^\s*"", """")"),"Зомби-свинья")</f>
        <v>Зомби-свинья</v>
      </c>
      <c r="F1025" s="5" t="str">
        <f>IFERROR(__xludf.DUMMYFUNCTION("REGEXREPLACE(REGEXEXTRACT(H1025, ""в\)\s*(.*?)\s*г\)""), ""^\s*"", """")"),"Гнилой хряк")</f>
        <v>Гнилой хряк</v>
      </c>
      <c r="G1025" s="5" t="str">
        <f>IFERROR(__xludf.DUMMYFUNCTION("REGEXREPLACE(REGEXEXTRACT(H1025, ""г\)\s*(.*)""), ""^\s*"", """")"),"Квази-кабан")</f>
        <v>Квази-кабан</v>
      </c>
      <c r="H1025" s="12" t="s">
        <v>160</v>
      </c>
    </row>
    <row r="1026" ht="15.75" customHeight="1">
      <c r="A1026" s="5" t="str">
        <f>IFERROR(__xludf.DUMMYFUNCTION("REGEXEXTRACT(H1026, ""s*(.*?)\s*а\)"")"),"Кто это?")</f>
        <v>Кто это?</v>
      </c>
      <c r="B1026" s="15">
        <v>2.0</v>
      </c>
      <c r="D1026" s="5" t="str">
        <f>IFERROR(__xludf.DUMMYFUNCTION("REGEXREPLACE(REGEXEXTRACT(H1026, ""а\)\s*(.*?)\s*б\)""), ""^\s*"", """")"),"Эндермен")</f>
        <v>Эндермен</v>
      </c>
      <c r="E1026" s="5" t="str">
        <f>IFERROR(__xludf.DUMMYFUNCTION("REGEXREPLACE(REGEXEXTRACT(H1026, ""б\)\s*(.*?)\s*в\)""), ""^\s*"", """")"),"Телепортер")</f>
        <v>Телепортер</v>
      </c>
      <c r="F1026" s="5" t="str">
        <f>IFERROR(__xludf.DUMMYFUNCTION("REGEXREPLACE(REGEXEXTRACT(H1026, ""в\)\s*(.*?)\s*г\)""), ""^\s*"", """")"),"Длинноногий")</f>
        <v>Длинноногий</v>
      </c>
      <c r="G1026" s="5" t="str">
        <f>IFERROR(__xludf.DUMMYFUNCTION("REGEXREPLACE(REGEXEXTRACT(H1026, ""г\)\s*(.*)""), ""^\s*"", """")"),"Теневой")</f>
        <v>Теневой</v>
      </c>
      <c r="H1026" s="12" t="s">
        <v>161</v>
      </c>
    </row>
    <row r="1027" ht="15.75" customHeight="1">
      <c r="A1027" s="5" t="str">
        <f>IFERROR(__xludf.DUMMYFUNCTION("REGEXEXTRACT(H1027, ""s*(.*?)\s*а\)"")"),"Кто это?")</f>
        <v>Кто это?</v>
      </c>
      <c r="B1027" s="15">
        <v>2.0</v>
      </c>
      <c r="D1027" s="5" t="str">
        <f>IFERROR(__xludf.DUMMYFUNCTION("REGEXREPLACE(REGEXEXTRACT(H1027, ""а\)\s*(.*?)\s*б\)""), ""^\s*"", """")"),"Волк")</f>
        <v>Волк</v>
      </c>
      <c r="E1027" s="5" t="str">
        <f>IFERROR(__xludf.DUMMYFUNCTION("REGEXREPLACE(REGEXEXTRACT(H1027, ""б\)\s*(.*?)\s*в\)""), ""^\s*"", """")"),"Лесной пес")</f>
        <v>Лесной пес</v>
      </c>
      <c r="F1027" s="5" t="str">
        <f>IFERROR(__xludf.DUMMYFUNCTION("REGEXREPLACE(REGEXEXTRACT(H1027, ""в\)\s*(.*?)\s*г\)""), ""^\s*"", """")"),"Бродяга")</f>
        <v>Бродяга</v>
      </c>
      <c r="G1027" s="5" t="str">
        <f>IFERROR(__xludf.DUMMYFUNCTION("REGEXREPLACE(REGEXEXTRACT(H1027, ""г\)\s*(.*)""), ""^\s*"", """")"),"Серый охотник")</f>
        <v>Серый охотник</v>
      </c>
      <c r="H1027" s="12" t="s">
        <v>162</v>
      </c>
    </row>
    <row r="1028" ht="15.75" customHeight="1">
      <c r="A1028" s="5" t="str">
        <f>IFERROR(__xludf.DUMMYFUNCTION("REGEXEXTRACT(H1028, ""s*(.*?)\s*а\)"")"),"Кто это?")</f>
        <v>Кто это?</v>
      </c>
      <c r="B1028" s="15">
        <v>2.0</v>
      </c>
      <c r="D1028" s="5" t="str">
        <f>IFERROR(__xludf.DUMMYFUNCTION("REGEXREPLACE(REGEXEXTRACT(H1028, ""а\)\s*(.*?)\s*б\)""), ""^\s*"", """")"),"Аксолотль")</f>
        <v>Аксолотль</v>
      </c>
      <c r="E1028" s="5" t="str">
        <f>IFERROR(__xludf.DUMMYFUNCTION("REGEXREPLACE(REGEXEXTRACT(H1028, ""б\)\s*(.*?)\s*в\)""), ""^\s*"", """")"),"Водяной дракон")</f>
        <v>Водяной дракон</v>
      </c>
      <c r="F1028" s="5" t="str">
        <f>IFERROR(__xludf.DUMMYFUNCTION("REGEXREPLACE(REGEXEXTRACT(H1028, ""в\)\s*(.*?)\s*г\)""), ""^\s*"", """")"),"Подводный питомец")</f>
        <v>Подводный питомец</v>
      </c>
      <c r="G1028" s="5" t="str">
        <f>IFERROR(__xludf.DUMMYFUNCTION("REGEXREPLACE(REGEXEXTRACT(H1028, ""г\)\s*(.*)""), ""^\s*"", """")"),"Нежный слизень")</f>
        <v>Нежный слизень</v>
      </c>
      <c r="H1028" s="12" t="s">
        <v>163</v>
      </c>
    </row>
    <row r="1029" ht="15.75" customHeight="1">
      <c r="A1029" s="5" t="str">
        <f>IFERROR(__xludf.DUMMYFUNCTION("REGEXEXTRACT(H1029, ""s*(.*?)\s*а\)"")"),"Кто это?")</f>
        <v>Кто это?</v>
      </c>
      <c r="B1029" s="15">
        <v>2.0</v>
      </c>
      <c r="D1029" s="5" t="str">
        <f>IFERROR(__xludf.DUMMYFUNCTION("REGEXREPLACE(REGEXEXTRACT(H1029, ""а\)\s*(.*?)\s*б\)""), ""^\s*"", """")"),"Стражник")</f>
        <v>Стражник</v>
      </c>
      <c r="E1029" s="5" t="str">
        <f>IFERROR(__xludf.DUMMYFUNCTION("REGEXREPLACE(REGEXEXTRACT(H1029, ""б\)\s*(.*?)\s*в\)""), ""^\s*"", """")"),"Житель-охранник")</f>
        <v>Житель-охранник</v>
      </c>
      <c r="F1029" s="5" t="str">
        <f>IFERROR(__xludf.DUMMYFUNCTION("REGEXREPLACE(REGEXEXTRACT(H1029, ""в\)\s*(.*?)\s*г\)""), ""^\s*"", """")"),"Деревенский воин")</f>
        <v>Деревенский воин</v>
      </c>
      <c r="G1029" s="5" t="str">
        <f>IFERROR(__xludf.DUMMYFUNCTION("REGEXREPLACE(REGEXEXTRACT(H1029, ""г\)\s*(.*)""), ""^\s*"", """")"),"Вооруженный крестьянин")</f>
        <v>Вооруженный крестьянин</v>
      </c>
      <c r="H1029" s="12" t="s">
        <v>164</v>
      </c>
    </row>
    <row r="1030" ht="15.75" customHeight="1">
      <c r="A1030" s="5" t="str">
        <f>IFERROR(__xludf.DUMMYFUNCTION("REGEXEXTRACT(H1030, ""s*(.*?)\s*а\)"")"),"Кто это?")</f>
        <v>Кто это?</v>
      </c>
      <c r="B1030" s="15">
        <v>2.0</v>
      </c>
      <c r="D1030" s="5" t="str">
        <f>IFERROR(__xludf.DUMMYFUNCTION("REGEXREPLACE(REGEXEXTRACT(H1030, ""а\)\s*(.*?)\s*б\)""), ""^\s*"", """")"),"Железный голем")</f>
        <v>Железный голем</v>
      </c>
      <c r="E1030" s="5" t="str">
        <f>IFERROR(__xludf.DUMMYFUNCTION("REGEXREPLACE(REGEXEXTRACT(H1030, ""б\)\s*(.*?)\s*в\)""), ""^\s*"", """")"),"Механический защитник")</f>
        <v>Механический защитник</v>
      </c>
      <c r="F1030" s="5" t="str">
        <f>IFERROR(__xludf.DUMMYFUNCTION("REGEXREPLACE(REGEXEXTRACT(H1030, ""в\)\s*(.*?)\s*г\)""), ""^\s*"", """")"),"Ржавый силач")</f>
        <v>Ржавый силач</v>
      </c>
      <c r="G1030" s="5" t="str">
        <f>IFERROR(__xludf.DUMMYFUNCTION("REGEXREPLACE(REGEXEXTRACT(H1030, ""г\)\s*(.*)""), ""^\s*"", """")"),"Деревенский страж")</f>
        <v>Деревенский страж</v>
      </c>
      <c r="H1030" s="12" t="s">
        <v>165</v>
      </c>
    </row>
    <row r="1031" ht="15.75" customHeight="1">
      <c r="A1031" s="5" t="str">
        <f>IFERROR(__xludf.DUMMYFUNCTION("REGEXEXTRACT(H1031, ""s*(.*?)\s*а\)"")"),"Кто это?")</f>
        <v>Кто это?</v>
      </c>
      <c r="B1031" s="15">
        <v>2.0</v>
      </c>
      <c r="D1031" s="5" t="str">
        <f>IFERROR(__xludf.DUMMYFUNCTION("REGEXREPLACE(REGEXEXTRACT(H1031, ""а\)\s*(.*?)\s*б\)""), ""^\s*"", """")"),"Снежный голем")</f>
        <v>Снежный голем</v>
      </c>
      <c r="E1031" s="5" t="str">
        <f>IFERROR(__xludf.DUMMYFUNCTION("REGEXREPLACE(REGEXEXTRACT(H1031, ""б\)\s*(.*?)\s*в\)""), ""^\s*"", """")"),"Снеговик")</f>
        <v>Снеговик</v>
      </c>
      <c r="F1031" s="5" t="str">
        <f>IFERROR(__xludf.DUMMYFUNCTION("REGEXREPLACE(REGEXEXTRACT(H1031, ""в\)\s*(.*?)\s*г\)""), ""^\s*"", """")"),"Ледяной помощник")</f>
        <v>Ледяной помощник</v>
      </c>
      <c r="G1031" s="5" t="str">
        <f>IFERROR(__xludf.DUMMYFUNCTION("REGEXREPLACE(REGEXEXTRACT(H1031, ""г\)\s*(.*)""), ""^\s*"", """")"),"Морковный нос")</f>
        <v>Морковный нос</v>
      </c>
      <c r="H1031" s="12" t="s">
        <v>166</v>
      </c>
    </row>
    <row r="1032" ht="15.75" customHeight="1">
      <c r="A1032" s="5" t="str">
        <f>IFERROR(__xludf.DUMMYFUNCTION("REGEXEXTRACT(H1032, ""s*(.*?)\s*а\)"")"),"Кто это?")</f>
        <v>Кто это?</v>
      </c>
      <c r="B1032" s="15">
        <v>2.0</v>
      </c>
      <c r="D1032" s="5" t="str">
        <f>IFERROR(__xludf.DUMMYFUNCTION("REGEXREPLACE(REGEXEXTRACT(H1032, ""а\)\s*(.*?)\s*б\)""), ""^\s*"", """")"),"Пчела")</f>
        <v>Пчела</v>
      </c>
      <c r="E1032" s="5" t="str">
        <f>IFERROR(__xludf.DUMMYFUNCTION("REGEXREPLACE(REGEXEXTRACT(H1032, ""б\)\s*(.*?)\s*в\)""), ""^\s*"", """")"),"Медоносная оса")</f>
        <v>Медоносная оса</v>
      </c>
      <c r="F1032" s="5" t="str">
        <f>IFERROR(__xludf.DUMMYFUNCTION("REGEXREPLACE(REGEXEXTRACT(H1032, ""в\)\s*(.*?)\s*г\)""), ""^\s*"", """")"),"Насекомое")</f>
        <v>Насекомое</v>
      </c>
      <c r="G1032" s="5" t="str">
        <f>IFERROR(__xludf.DUMMYFUNCTION("REGEXREPLACE(REGEXEXTRACT(H1032, ""г\)\s*(.*)""), ""^\s*"", """")"),"Крылатый")</f>
        <v>Крылатый</v>
      </c>
      <c r="H1032" s="12" t="s">
        <v>167</v>
      </c>
    </row>
    <row r="1033" ht="15.75" hidden="1" customHeight="1">
      <c r="A1033" s="5" t="str">
        <f>IFERROR(__xludf.DUMMYFUNCTION("REGEXEXTRACT(H1033, ""s*(.*?)\s*а\)"")"),"#N/A")</f>
        <v>#N/A</v>
      </c>
      <c r="D1033" s="5" t="str">
        <f>IFERROR(__xludf.DUMMYFUNCTION("REGEXREPLACE(REGEXEXTRACT(H1033, ""а\)\s*(.*?)\s*б\)""), ""^\s*"", """")"),"#N/A")</f>
        <v>#N/A</v>
      </c>
      <c r="E1033" s="5" t="str">
        <f>IFERROR(__xludf.DUMMYFUNCTION("REGEXREPLACE(REGEXEXTRACT(H1033, ""б\)\s*(.*?)\s*в\)""), ""^\s*"", """")"),"#N/A")</f>
        <v>#N/A</v>
      </c>
      <c r="F1033" s="5" t="str">
        <f>IFERROR(__xludf.DUMMYFUNCTION("REGEXREPLACE(REGEXEXTRACT(H1033, ""в\)\s*(.*?)\s*г\)""), ""^\s*"", """")"),"#N/A")</f>
        <v>#N/A</v>
      </c>
      <c r="G1033" s="5" t="str">
        <f>IFERROR(__xludf.DUMMYFUNCTION("REGEXREPLACE(REGEXEXTRACT(H1033, ""г\)\s*(.*)""), ""^\s*"", """")"),"#N/A")</f>
        <v>#N/A</v>
      </c>
      <c r="H1033" s="12"/>
    </row>
    <row r="1034" ht="15.75" hidden="1" customHeight="1">
      <c r="A1034" s="5" t="str">
        <f>IFERROR(__xludf.DUMMYFUNCTION("REGEXEXTRACT(H1034, ""s*(.*?)\s*а\)"")"),"#N/A")</f>
        <v>#N/A</v>
      </c>
      <c r="D1034" s="5" t="str">
        <f>IFERROR(__xludf.DUMMYFUNCTION("REGEXREPLACE(REGEXEXTRACT(H1034, ""а\)\s*(.*?)\s*б\)""), ""^\s*"", """")"),"#N/A")</f>
        <v>#N/A</v>
      </c>
      <c r="E1034" s="5" t="str">
        <f>IFERROR(__xludf.DUMMYFUNCTION("REGEXREPLACE(REGEXEXTRACT(H1034, ""б\)\s*(.*?)\s*в\)""), ""^\s*"", """")"),"#N/A")</f>
        <v>#N/A</v>
      </c>
      <c r="F1034" s="5" t="str">
        <f>IFERROR(__xludf.DUMMYFUNCTION("REGEXREPLACE(REGEXEXTRACT(H1034, ""в\)\s*(.*?)\s*г\)""), ""^\s*"", """")"),"#N/A")</f>
        <v>#N/A</v>
      </c>
      <c r="G1034" s="5" t="str">
        <f>IFERROR(__xludf.DUMMYFUNCTION("REGEXREPLACE(REGEXEXTRACT(H1034, ""г\)\s*(.*)""), ""^\s*"", """")"),"#N/A")</f>
        <v>#N/A</v>
      </c>
      <c r="H1034" s="16"/>
    </row>
    <row r="1035" ht="15.75" hidden="1" customHeight="1">
      <c r="A1035" s="5" t="str">
        <f>IFERROR(__xludf.DUMMYFUNCTION("REGEXEXTRACT(H1035, ""s*(.*?)\s*а\)"")"),"#N/A")</f>
        <v>#N/A</v>
      </c>
      <c r="D1035" s="5" t="str">
        <f>IFERROR(__xludf.DUMMYFUNCTION("REGEXREPLACE(REGEXEXTRACT(H1035, ""а\)\s*(.*?)\s*б\)""), ""^\s*"", """")"),"#N/A")</f>
        <v>#N/A</v>
      </c>
      <c r="E1035" s="5" t="str">
        <f>IFERROR(__xludf.DUMMYFUNCTION("REGEXREPLACE(REGEXEXTRACT(H1035, ""б\)\s*(.*?)\s*в\)""), ""^\s*"", """")"),"#N/A")</f>
        <v>#N/A</v>
      </c>
      <c r="F1035" s="5" t="str">
        <f>IFERROR(__xludf.DUMMYFUNCTION("REGEXREPLACE(REGEXEXTRACT(H1035, ""в\)\s*(.*?)\s*г\)""), ""^\s*"", """")"),"#N/A")</f>
        <v>#N/A</v>
      </c>
      <c r="G1035" s="5" t="str">
        <f>IFERROR(__xludf.DUMMYFUNCTION("REGEXREPLACE(REGEXEXTRACT(H1035, ""г\)\s*(.*)""), ""^\s*"", """")"),"#N/A")</f>
        <v>#N/A</v>
      </c>
      <c r="H1035" s="17"/>
    </row>
    <row r="1036" ht="15.75" hidden="1" customHeight="1">
      <c r="A1036" s="5" t="str">
        <f>IFERROR(__xludf.DUMMYFUNCTION("REGEXEXTRACT(H1036, ""s*(.*?)\s*а\)"")"),"#N/A")</f>
        <v>#N/A</v>
      </c>
      <c r="D1036" s="5" t="str">
        <f>IFERROR(__xludf.DUMMYFUNCTION("REGEXREPLACE(REGEXEXTRACT(H1036, ""а\)\s*(.*?)\s*б\)""), ""^\s*"", """")"),"#N/A")</f>
        <v>#N/A</v>
      </c>
      <c r="E1036" s="5" t="str">
        <f>IFERROR(__xludf.DUMMYFUNCTION("REGEXREPLACE(REGEXEXTRACT(H1036, ""б\)\s*(.*?)\s*в\)""), ""^\s*"", """")"),"#N/A")</f>
        <v>#N/A</v>
      </c>
      <c r="F1036" s="5" t="str">
        <f>IFERROR(__xludf.DUMMYFUNCTION("REGEXREPLACE(REGEXEXTRACT(H1036, ""в\)\s*(.*?)\s*г\)""), ""^\s*"", """")"),"#N/A")</f>
        <v>#N/A</v>
      </c>
      <c r="G1036" s="5" t="str">
        <f>IFERROR(__xludf.DUMMYFUNCTION("REGEXREPLACE(REGEXEXTRACT(H1036, ""г\)\s*(.*)""), ""^\s*"", """")"),"#N/A")</f>
        <v>#N/A</v>
      </c>
      <c r="H1036" s="18"/>
    </row>
    <row r="1037" ht="15.75" hidden="1" customHeight="1">
      <c r="A1037" s="5" t="str">
        <f>IFERROR(__xludf.DUMMYFUNCTION("REGEXEXTRACT(H1037, ""s*(.*?)\s*а\)"")"),"#N/A")</f>
        <v>#N/A</v>
      </c>
      <c r="D1037" s="5" t="str">
        <f>IFERROR(__xludf.DUMMYFUNCTION("REGEXREPLACE(REGEXEXTRACT(H1037, ""а\)\s*(.*?)\s*б\)""), ""^\s*"", """")"),"#N/A")</f>
        <v>#N/A</v>
      </c>
      <c r="E1037" s="5" t="str">
        <f>IFERROR(__xludf.DUMMYFUNCTION("REGEXREPLACE(REGEXEXTRACT(H1037, ""б\)\s*(.*?)\s*в\)""), ""^\s*"", """")"),"#N/A")</f>
        <v>#N/A</v>
      </c>
      <c r="F1037" s="5" t="str">
        <f>IFERROR(__xludf.DUMMYFUNCTION("REGEXREPLACE(REGEXEXTRACT(H1037, ""в\)\s*(.*?)\s*г\)""), ""^\s*"", """")"),"#N/A")</f>
        <v>#N/A</v>
      </c>
      <c r="G1037" s="5" t="str">
        <f>IFERROR(__xludf.DUMMYFUNCTION("REGEXREPLACE(REGEXEXTRACT(H1037, ""г\)\s*(.*)""), ""^\s*"", """")"),"#N/A")</f>
        <v>#N/A</v>
      </c>
      <c r="H1037" s="18"/>
    </row>
    <row r="1038" ht="15.75" customHeight="1">
      <c r="A1038" s="5" t="str">
        <f>IFERROR(__xludf.DUMMYFUNCTION("REGEXEXTRACT(H1038, ""s*(.*?)\s*а\)"")"),"Кто это?")</f>
        <v>Кто это?</v>
      </c>
      <c r="B1038" s="15">
        <v>2.0</v>
      </c>
      <c r="D1038" s="5" t="str">
        <f>IFERROR(__xludf.DUMMYFUNCTION("REGEXREPLACE(REGEXEXTRACT(H1038, ""а\)\s*(.*?)\s*б\)""), ""^\s*"", """")"),"Зомби")</f>
        <v>Зомби</v>
      </c>
      <c r="E1038" s="5" t="str">
        <f>IFERROR(__xludf.DUMMYFUNCTION("REGEXREPLACE(REGEXEXTRACT(H1038, ""б\)\s*(.*?)\s*в\)""), ""^\s*"", """")"),"Живой мертвец")</f>
        <v>Живой мертвец</v>
      </c>
      <c r="F1038" s="5" t="str">
        <f>IFERROR(__xludf.DUMMYFUNCTION("REGEXREPLACE(REGEXEXTRACT(H1038, ""в\)\s*(.*?)\s*г\)""), ""^\s*"", """")"),"Гниющий")</f>
        <v>Гниющий</v>
      </c>
      <c r="G1038" s="5" t="str">
        <f>IFERROR(__xludf.DUMMYFUNCTION("REGEXREPLACE(REGEXEXTRACT(H1038, ""г\)\s*(.*)""), ""^\s*"", """")"),"Бродяга")</f>
        <v>Бродяга</v>
      </c>
      <c r="H1038" s="18" t="s">
        <v>168</v>
      </c>
    </row>
    <row r="1039" ht="15.75" customHeight="1">
      <c r="A1039" s="5" t="str">
        <f>IFERROR(__xludf.DUMMYFUNCTION("REGEXEXTRACT(H1039, ""s*(.*?)\s*а\)"")"),"Кто это?")</f>
        <v>Кто это?</v>
      </c>
      <c r="B1039" s="15">
        <v>2.0</v>
      </c>
      <c r="D1039" s="5" t="str">
        <f>IFERROR(__xludf.DUMMYFUNCTION("REGEXREPLACE(REGEXEXTRACT(H1039, ""а\)\s*(.*?)\s*б\)""), ""^\s*"", """")"),"Скелет")</f>
        <v>Скелет</v>
      </c>
      <c r="E1039" s="5" t="str">
        <f>IFERROR(__xludf.DUMMYFUNCTION("REGEXREPLACE(REGEXEXTRACT(H1039, ""б\)\s*(.*?)\s*в\)""), ""^\s*"", """")"),"Костяной лучник")</f>
        <v>Костяной лучник</v>
      </c>
      <c r="F1039" s="5" t="str">
        <f>IFERROR(__xludf.DUMMYFUNCTION("REGEXREPLACE(REGEXEXTRACT(H1039, ""в\)\s*(.*?)\s*г\)""), ""^\s*"", """")"),"Сухой")</f>
        <v>Сухой</v>
      </c>
      <c r="G1039" s="5" t="str">
        <f>IFERROR(__xludf.DUMMYFUNCTION("REGEXREPLACE(REGEXEXTRACT(H1039, ""г\)\s*(.*)""), ""^\s*"", """")"),"Дряхлый воитель")</f>
        <v>Дряхлый воитель</v>
      </c>
      <c r="H1039" s="18" t="s">
        <v>169</v>
      </c>
    </row>
    <row r="1040" ht="15.75" customHeight="1">
      <c r="A1040" s="5" t="str">
        <f>IFERROR(__xludf.DUMMYFUNCTION("REGEXEXTRACT(H1040, ""s*(.*?)\s*а\)"")"),"Кто это?")</f>
        <v>Кто это?</v>
      </c>
      <c r="B1040" s="15">
        <v>2.0</v>
      </c>
      <c r="D1040" s="5" t="str">
        <f>IFERROR(__xludf.DUMMYFUNCTION("REGEXREPLACE(REGEXEXTRACT(H1040, ""а\)\s*(.*?)\s*б\)""), ""^\s*"", """")"),"Крипер")</f>
        <v>Крипер</v>
      </c>
      <c r="E1040" s="5" t="str">
        <f>IFERROR(__xludf.DUMMYFUNCTION("REGEXREPLACE(REGEXEXTRACT(H1040, ""б\)\s*(.*?)\s*в\)""), ""^\s*"", """")"),"Зеленый взрыватель")</f>
        <v>Зеленый взрыватель</v>
      </c>
      <c r="F1040" s="5" t="str">
        <f>IFERROR(__xludf.DUMMYFUNCTION("REGEXREPLACE(REGEXEXTRACT(H1040, ""в\)\s*(.*?)\s*г\)""), ""^\s*"", """")"),"Шипящий монстр")</f>
        <v>Шипящий монстр</v>
      </c>
      <c r="G1040" s="5" t="str">
        <f>IFERROR(__xludf.DUMMYFUNCTION("REGEXREPLACE(REGEXEXTRACT(H1040, ""г\)\s*(.*)""), ""^\s*"", """")"),"Шахтер-подрывник")</f>
        <v>Шахтер-подрывник</v>
      </c>
      <c r="H1040" s="18" t="s">
        <v>170</v>
      </c>
    </row>
    <row r="1041" ht="15.75" customHeight="1">
      <c r="A1041" s="5" t="str">
        <f>IFERROR(__xludf.DUMMYFUNCTION("REGEXEXTRACT(H1041, ""s*(.*?)\s*а\)"")"),"Кто это?")</f>
        <v>Кто это?</v>
      </c>
      <c r="B1041" s="15">
        <v>2.0</v>
      </c>
      <c r="D1041" s="5" t="str">
        <f>IFERROR(__xludf.DUMMYFUNCTION("REGEXREPLACE(REGEXEXTRACT(H1041, ""а\)\s*(.*?)\s*б\)""), ""^\s*"", """")"),"Слизень")</f>
        <v>Слизень</v>
      </c>
      <c r="E1041" s="5" t="str">
        <f>IFERROR(__xludf.DUMMYFUNCTION("REGEXREPLACE(REGEXEXTRACT(H1041, ""б\)\s*(.*?)\s*в\)""), ""^\s*"", """")"),"Зеленая жижа")</f>
        <v>Зеленая жижа</v>
      </c>
      <c r="F1041" s="5" t="str">
        <f>IFERROR(__xludf.DUMMYFUNCTION("REGEXREPLACE(REGEXEXTRACT(H1041, ""в\)\s*(.*?)\s*г\)""), ""^\s*"", """")"),"Прыгучий куб")</f>
        <v>Прыгучий куб</v>
      </c>
      <c r="G1041" s="5" t="str">
        <f>IFERROR(__xludf.DUMMYFUNCTION("REGEXREPLACE(REGEXEXTRACT(H1041, ""г\)\s*(.*)""), ""^\s*"", """")"),"Желейный монстр")</f>
        <v>Желейный монстр</v>
      </c>
      <c r="H1041" s="18" t="s">
        <v>171</v>
      </c>
    </row>
    <row r="1042" ht="15.75" customHeight="1">
      <c r="A1042" s="5" t="str">
        <f>IFERROR(__xludf.DUMMYFUNCTION("REGEXEXTRACT(H1042, ""s*(.*?)\s*а\)"")"),"Кто это?")</f>
        <v>Кто это?</v>
      </c>
      <c r="B1042" s="15">
        <v>2.0</v>
      </c>
      <c r="D1042" s="5" t="str">
        <f>IFERROR(__xludf.DUMMYFUNCTION("REGEXREPLACE(REGEXEXTRACT(H1042, ""а\)\s*(.*?)\s*б\)""), ""^\s*"", """")"),"Гаст")</f>
        <v>Гаст</v>
      </c>
      <c r="E1042" s="5" t="str">
        <f>IFERROR(__xludf.DUMMYFUNCTION("REGEXREPLACE(REGEXEXTRACT(H1042, ""б\)\s*(.*?)\s*в\)""), ""^\s*"", """")"),"Белый призрак")</f>
        <v>Белый призрак</v>
      </c>
      <c r="F1042" s="5" t="str">
        <f>IFERROR(__xludf.DUMMYFUNCTION("REGEXREPLACE(REGEXEXTRACT(H1042, ""в\)\s*(.*?)\s*г\)""), ""^\s*"", """")"),"Летающий крикун")</f>
        <v>Летающий крикун</v>
      </c>
      <c r="G1042" s="5" t="str">
        <f>IFERROR(__xludf.DUMMYFUNCTION("REGEXREPLACE(REGEXEXTRACT(H1042, ""г\)\s*(.*)""), ""^\s*"", """")"),"Огненный дух")</f>
        <v>Огненный дух</v>
      </c>
      <c r="H1042" s="18" t="s">
        <v>172</v>
      </c>
    </row>
    <row r="1043" ht="15.75" customHeight="1">
      <c r="A1043" s="5" t="str">
        <f>IFERROR(__xludf.DUMMYFUNCTION("REGEXEXTRACT(H1043, ""s*(.*?)\s*а\)"")"),"Кто это?")</f>
        <v>Кто это?</v>
      </c>
      <c r="B1043" s="15">
        <v>2.0</v>
      </c>
      <c r="D1043" s="5" t="str">
        <f>IFERROR(__xludf.DUMMYFUNCTION("REGEXREPLACE(REGEXEXTRACT(H1043, ""а\)\s*(.*?)\s*б\)""), ""^\s*"", """")"),"Магмовый куб")</f>
        <v>Магмовый куб</v>
      </c>
      <c r="E1043" s="5" t="str">
        <f>IFERROR(__xludf.DUMMYFUNCTION("REGEXREPLACE(REGEXEXTRACT(H1043, ""б\)\s*(.*?)\s*в\)""), ""^\s*"", """")"),"Огненный слизень")</f>
        <v>Огненный слизень</v>
      </c>
      <c r="F1043" s="5" t="str">
        <f>IFERROR(__xludf.DUMMYFUNCTION("REGEXREPLACE(REGEXEXTRACT(H1043, ""в\)\s*(.*?)\s*г\)""), ""^\s*"", """")"),"Лавовый прыгун")</f>
        <v>Лавовый прыгун</v>
      </c>
      <c r="G1043" s="5" t="str">
        <f>IFERROR(__xludf.DUMMYFUNCTION("REGEXREPLACE(REGEXEXTRACT(H1043, ""г\)\s*(.*)""), ""^\s*"", """")"),"Раскаленный кубик")</f>
        <v>Раскаленный кубик</v>
      </c>
      <c r="H1043" s="18" t="s">
        <v>173</v>
      </c>
    </row>
    <row r="1044" ht="15.75" customHeight="1">
      <c r="A1044" s="5" t="str">
        <f>IFERROR(__xludf.DUMMYFUNCTION("REGEXEXTRACT(H1044, ""s*(.*?)\s*а\)"")"),"Кто это?")</f>
        <v>Кто это?</v>
      </c>
      <c r="B1044" s="15">
        <v>2.0</v>
      </c>
      <c r="D1044" s="5" t="str">
        <f>IFERROR(__xludf.DUMMYFUNCTION("REGEXREPLACE(REGEXEXTRACT(H1044, ""а\)\s*(.*?)\s*б\)""), ""^\s*"", """")"),"Ифрит")</f>
        <v>Ифрит</v>
      </c>
      <c r="E1044" s="5" t="str">
        <f>IFERROR(__xludf.DUMMYFUNCTION("REGEXREPLACE(REGEXEXTRACT(H1044, ""б\)\s*(.*?)\s*в\)""), ""^\s*"", """")"),"Огненный элементаль")</f>
        <v>Огненный элементаль</v>
      </c>
      <c r="F1044" s="5" t="str">
        <f>IFERROR(__xludf.DUMMYFUNCTION("REGEXREPLACE(REGEXEXTRACT(H1044, ""в\)\s*(.*?)\s*г\)""), ""^\s*"", """")"),"Летающий поджигатель")</f>
        <v>Летающий поджигатель</v>
      </c>
      <c r="G1044" s="5" t="str">
        <f>IFERROR(__xludf.DUMMYFUNCTION("REGEXREPLACE(REGEXEXTRACT(H1044, ""г\)\s*(.*)""), ""^\s*"", """")"),"Дымный дух")</f>
        <v>Дымный дух</v>
      </c>
      <c r="H1044" s="18" t="s">
        <v>174</v>
      </c>
    </row>
    <row r="1045" ht="15.75" customHeight="1">
      <c r="A1045" s="5" t="str">
        <f>IFERROR(__xludf.DUMMYFUNCTION("REGEXEXTRACT(H1045, ""s*(.*?)\s*а\)"")"),"Кто это?")</f>
        <v>Кто это?</v>
      </c>
      <c r="B1045" s="15">
        <v>2.0</v>
      </c>
      <c r="D1045" s="5" t="str">
        <f>IFERROR(__xludf.DUMMYFUNCTION("REGEXREPLACE(REGEXEXTRACT(H1045, ""а\)\s*(.*?)\s*б\)""), ""^\s*"", """")"),"Ведьма")</f>
        <v>Ведьма</v>
      </c>
      <c r="E1045" s="5" t="str">
        <f>IFERROR(__xludf.DUMMYFUNCTION("REGEXREPLACE(REGEXEXTRACT(H1045, ""б\)\s*(.*?)\s*в\)""), ""^\s*"", """")"),"Зельеварка")</f>
        <v>Зельеварка</v>
      </c>
      <c r="F1045" s="5" t="str">
        <f>IFERROR(__xludf.DUMMYFUNCTION("REGEXREPLACE(REGEXEXTRACT(H1045, ""в\)\s*(.*?)\s*г\)""), ""^\s*"", """")"),"Колдунья")</f>
        <v>Колдунья</v>
      </c>
      <c r="G1045" s="5" t="str">
        <f>IFERROR(__xludf.DUMMYFUNCTION("REGEXREPLACE(REGEXEXTRACT(H1045, ""г\)\s*(.*)""), ""^\s*"", """")"),"Знахарка")</f>
        <v>Знахарка</v>
      </c>
      <c r="H1045" s="18" t="s">
        <v>175</v>
      </c>
    </row>
    <row r="1046" ht="15.75" customHeight="1">
      <c r="A1046" s="5" t="str">
        <f>IFERROR(__xludf.DUMMYFUNCTION("REGEXEXTRACT(H1046, ""s*(.*?)\s*а\)"")"),"Кто это?")</f>
        <v>Кто это?</v>
      </c>
      <c r="B1046" s="15">
        <v>2.0</v>
      </c>
      <c r="D1046" s="5" t="str">
        <f>IFERROR(__xludf.DUMMYFUNCTION("REGEXREPLACE(REGEXEXTRACT(H1046, ""а\)\s*(.*?)\s*б\)""), ""^\s*"", """")"),"Скелет-иссушитель")</f>
        <v>Скелет-иссушитель</v>
      </c>
      <c r="E1046" s="5" t="str">
        <f>IFERROR(__xludf.DUMMYFUNCTION("REGEXREPLACE(REGEXEXTRACT(H1046, ""б\)\s*(.*?)\s*в\)""), ""^\s*"", """")"),"Черный скелет")</f>
        <v>Черный скелет</v>
      </c>
      <c r="F1046" s="5" t="str">
        <f>IFERROR(__xludf.DUMMYFUNCTION("REGEXREPLACE(REGEXEXTRACT(H1046, ""в\)\s*(.*?)\s*г\)""), ""^\s*"", """")"),"Костяной воин ада")</f>
        <v>Костяной воин ада</v>
      </c>
      <c r="G1046" s="5" t="str">
        <f>IFERROR(__xludf.DUMMYFUNCTION("REGEXREPLACE(REGEXEXTRACT(H1046, ""г\)\s*(.*)""), ""^\s*"", """")"),"Угрюмый лучник")</f>
        <v>Угрюмый лучник</v>
      </c>
      <c r="H1046" s="18" t="s">
        <v>176</v>
      </c>
    </row>
    <row r="1047" ht="15.75" customHeight="1">
      <c r="A1047" s="5" t="str">
        <f>IFERROR(__xludf.DUMMYFUNCTION("REGEXEXTRACT(H1047, ""s*(.*?)\s*а\)"")"),"Кто это?")</f>
        <v>Кто это?</v>
      </c>
      <c r="B1047" s="15">
        <v>2.0</v>
      </c>
      <c r="D1047" s="5" t="str">
        <f>IFERROR(__xludf.DUMMYFUNCTION("REGEXREPLACE(REGEXEXTRACT(H1047, ""а\)\s*(.*?)\s*б\)""), ""^\s*"", """")"),"Зомби-житель")</f>
        <v>Зомби-житель</v>
      </c>
      <c r="E1047" s="5" t="str">
        <f>IFERROR(__xludf.DUMMYFUNCTION("REGEXREPLACE(REGEXEXTRACT(H1047, ""б\)\s*(.*?)\s*в\)""), ""^\s*"", """")"),"Мертвый горожанин")</f>
        <v>Мертвый горожанин</v>
      </c>
      <c r="F1047" s="5" t="str">
        <f>IFERROR(__xludf.DUMMYFUNCTION("REGEXREPLACE(REGEXEXTRACT(H1047, ""в\)\s*(.*?)\s*г\)""), ""^\s*"", """")"),"Инфицированный крестьянин")</f>
        <v>Инфицированный крестьянин</v>
      </c>
      <c r="G1047" s="5" t="str">
        <f>IFERROR(__xludf.DUMMYFUNCTION("REGEXREPLACE(REGEXEXTRACT(H1047, ""г\)\s*(.*)""), ""^\s*"", """")"),"Зомби-фермер")</f>
        <v>Зомби-фермер</v>
      </c>
      <c r="H1047" s="18" t="s">
        <v>177</v>
      </c>
    </row>
    <row r="1048" ht="15.75" customHeight="1">
      <c r="A1048" s="5" t="str">
        <f>IFERROR(__xludf.DUMMYFUNCTION("REGEXEXTRACT(H1048, ""s*(.*?)\s*а\)"")"),"Кто это?")</f>
        <v>Кто это?</v>
      </c>
      <c r="B1048" s="15">
        <v>2.0</v>
      </c>
      <c r="D1048" s="5" t="str">
        <f>IFERROR(__xludf.DUMMYFUNCTION("REGEXREPLACE(REGEXEXTRACT(H1048, ""а\)\s*(.*?)\s*б\)""), ""^\s*"", """")"),"Утопленник")</f>
        <v>Утопленник</v>
      </c>
      <c r="E1048" s="5" t="str">
        <f>IFERROR(__xludf.DUMMYFUNCTION("REGEXREPLACE(REGEXEXTRACT(H1048, ""б\)\s*(.*?)\s*в\)""), ""^\s*"", """")"),"Водный зомби")</f>
        <v>Водный зомби</v>
      </c>
      <c r="F1048" s="5" t="str">
        <f>IFERROR(__xludf.DUMMYFUNCTION("REGEXREPLACE(REGEXEXTRACT(H1048, ""в\)\s*(.*?)\s*г\)""), ""^\s*"", """")"),"Морской мертвец")</f>
        <v>Морской мертвец</v>
      </c>
      <c r="G1048" s="5" t="str">
        <f>IFERROR(__xludf.DUMMYFUNCTION("REGEXREPLACE(REGEXEXTRACT(H1048, ""г\)\s*(.*)""), ""^\s*"", """")"),"Затонувший")</f>
        <v>Затонувший</v>
      </c>
      <c r="H1048" s="18" t="s">
        <v>178</v>
      </c>
    </row>
    <row r="1049" ht="15.75" customHeight="1">
      <c r="A1049" s="5" t="str">
        <f>IFERROR(__xludf.DUMMYFUNCTION("REGEXEXTRACT(H1049, ""s*(.*?)\s*а\)"")"),"Кто это?")</f>
        <v>Кто это?</v>
      </c>
      <c r="B1049" s="15">
        <v>2.0</v>
      </c>
      <c r="D1049" s="5" t="str">
        <f>IFERROR(__xludf.DUMMYFUNCTION("REGEXREPLACE(REGEXEXTRACT(H1049, ""а\)\s*(.*?)\s*б\)""), ""^\s*"", """")"),"Фантом")</f>
        <v>Фантом</v>
      </c>
      <c r="E1049" s="5" t="str">
        <f>IFERROR(__xludf.DUMMYFUNCTION("REGEXREPLACE(REGEXEXTRACT(H1049, ""б\)\s*(.*?)\s*в\)""), ""^\s*"", """")"),"Ночной кошмар")</f>
        <v>Ночной кошмар</v>
      </c>
      <c r="F1049" s="5" t="str">
        <f>IFERROR(__xludf.DUMMYFUNCTION("REGEXREPLACE(REGEXEXTRACT(H1049, ""в\)\s*(.*?)\s*г\)""), ""^\s*"", """")"),"Летающий монстр")</f>
        <v>Летающий монстр</v>
      </c>
      <c r="G1049" s="5" t="str">
        <f>IFERROR(__xludf.DUMMYFUNCTION("REGEXREPLACE(REGEXEXTRACT(H1049, ""г\)\s*(.*)""), ""^\s*"", """")"),"Кожаный крылан")</f>
        <v>Кожаный крылан</v>
      </c>
      <c r="H1049" s="18" t="s">
        <v>179</v>
      </c>
    </row>
    <row r="1050" ht="15.75" customHeight="1">
      <c r="A1050" s="5" t="str">
        <f>IFERROR(__xludf.DUMMYFUNCTION("REGEXEXTRACT(H1050, ""s*(.*?)\s*а\)"")"),"Кто это?")</f>
        <v>Кто это?</v>
      </c>
      <c r="B1050" s="15">
        <v>2.0</v>
      </c>
      <c r="D1050" s="5" t="str">
        <f>IFERROR(__xludf.DUMMYFUNCTION("REGEXREPLACE(REGEXEXTRACT(H1050, ""а\)\s*(.*?)\s*б\)""), ""^\s*"", """")"),"Досаждатель")</f>
        <v>Досаждатель</v>
      </c>
      <c r="E1050" s="5" t="str">
        <f>IFERROR(__xludf.DUMMYFUNCTION("REGEXREPLACE(REGEXEXTRACT(H1050, ""б\)\s*(.*?)\s*в\)""), ""^\s*"", """")"),"Вредный дух")</f>
        <v>Вредный дух</v>
      </c>
      <c r="F1050" s="5" t="str">
        <f>IFERROR(__xludf.DUMMYFUNCTION("REGEXREPLACE(REGEXEXTRACT(H1050, ""в\)\s*(.*?)\s*г\)""), ""^\s*"", """")"),"Летающий вредитель")</f>
        <v>Летающий вредитель</v>
      </c>
      <c r="G1050" s="5" t="str">
        <f>IFERROR(__xludf.DUMMYFUNCTION("REGEXREPLACE(REGEXEXTRACT(H1050, ""г\)\s*(.*)""), ""^\s*"", """")"),"Маленький злыдень")</f>
        <v>Маленький злыдень</v>
      </c>
      <c r="H1050" s="18" t="s">
        <v>180</v>
      </c>
    </row>
    <row r="1051" ht="15.75" customHeight="1">
      <c r="A1051" s="5" t="str">
        <f>IFERROR(__xludf.DUMMYFUNCTION("REGEXEXTRACT(H1051, ""s*(.*?)\s*а\)"")"),"Кто это?")</f>
        <v>Кто это?</v>
      </c>
      <c r="B1051" s="15">
        <v>2.0</v>
      </c>
      <c r="D1051" s="5" t="str">
        <f>IFERROR(__xludf.DUMMYFUNCTION("REGEXREPLACE(REGEXEXTRACT(H1051, ""а\)\s*(.*?)\s*б\)""), ""^\s*"", """")"),"Поборник")</f>
        <v>Поборник</v>
      </c>
      <c r="E1051" s="5" t="str">
        <f>IFERROR(__xludf.DUMMYFUNCTION("REGEXREPLACE(REGEXEXTRACT(H1051, ""б\)\s*(.*?)\s*в\)""), ""^\s*"", """")"),"Разбойник с топором")</f>
        <v>Разбойник с топором</v>
      </c>
      <c r="F1051" s="5" t="str">
        <f>IFERROR(__xludf.DUMMYFUNCTION("REGEXREPLACE(REGEXEXTRACT(H1051, ""в\)\s*(.*?)\s*г\)""), ""^\s*"", """")"),"Лесной головорез")</f>
        <v>Лесной головорез</v>
      </c>
      <c r="G1051" s="5" t="str">
        <f>IFERROR(__xludf.DUMMYFUNCTION("REGEXREPLACE(REGEXEXTRACT(H1051, ""г\)\s*(.*)""), ""^\s*"", """")"),"Темный воин")</f>
        <v>Темный воин</v>
      </c>
      <c r="H1051" s="18" t="s">
        <v>181</v>
      </c>
    </row>
    <row r="1052" ht="15.75" customHeight="1">
      <c r="A1052" s="5" t="str">
        <f>IFERROR(__xludf.DUMMYFUNCTION("REGEXEXTRACT(H1052, ""s*(.*?)\s*а\)"")"),"Кто это?")</f>
        <v>Кто это?</v>
      </c>
      <c r="B1052" s="15">
        <v>2.0</v>
      </c>
      <c r="D1052" s="5" t="str">
        <f>IFERROR(__xludf.DUMMYFUNCTION("REGEXREPLACE(REGEXEXTRACT(H1052, ""а\)\s*(.*?)\s*б\)""), ""^\s*"", """")"),"Вызыватель")</f>
        <v>Вызыватель</v>
      </c>
      <c r="E1052" s="5" t="str">
        <f>IFERROR(__xludf.DUMMYFUNCTION("REGEXREPLACE(REGEXEXTRACT(H1052, ""б\)\s*(.*?)\s*в\)""), ""^\s*"", """")"),"Заклинатель")</f>
        <v>Заклинатель</v>
      </c>
      <c r="F1052" s="5" t="str">
        <f>IFERROR(__xludf.DUMMYFUNCTION("REGEXREPLACE(REGEXEXTRACT(H1052, ""в\)\s*(.*?)\s*г\)""), ""^\s*"", """")"),"Маг-разбойник")</f>
        <v>Маг-разбойник</v>
      </c>
      <c r="G1052" s="5" t="str">
        <f>IFERROR(__xludf.DUMMYFUNCTION("REGEXREPLACE(REGEXEXTRACT(H1052, ""г\)\s*(.*)""), ""^\s*"", """")"),"Темный чародей")</f>
        <v>Темный чародей</v>
      </c>
      <c r="H1052" s="18" t="s">
        <v>182</v>
      </c>
    </row>
    <row r="1053" ht="15.75" customHeight="1">
      <c r="A1053" s="5" t="str">
        <f>IFERROR(__xludf.DUMMYFUNCTION("REGEXEXTRACT(H1053, ""s*(.*?)\s*а\)"")"),"Кто это?")</f>
        <v>Кто это?</v>
      </c>
      <c r="B1053" s="15">
        <v>2.0</v>
      </c>
      <c r="D1053" s="5" t="str">
        <f>IFERROR(__xludf.DUMMYFUNCTION("REGEXREPLACE(REGEXEXTRACT(H1053, ""а\)\s*(.*?)\s*б\)""), ""^\s*"", """")"),"Разбойник")</f>
        <v>Разбойник</v>
      </c>
      <c r="E1053" s="5" t="str">
        <f>IFERROR(__xludf.DUMMYFUNCTION("REGEXREPLACE(REGEXEXTRACT(H1053, ""б\)\s*(.*?)\s*в\)""), ""^\s*"", """")"),"Грабитель")</f>
        <v>Грабитель</v>
      </c>
      <c r="F1053" s="5" t="str">
        <f>IFERROR(__xludf.DUMMYFUNCTION("REGEXREPLACE(REGEXEXTRACT(H1053, ""в\)\s*(.*?)\s*г\)""), ""^\s*"", """")"),"Деревенский головорез")</f>
        <v>Деревенский головорез</v>
      </c>
      <c r="G1053" s="5" t="str">
        <f>IFERROR(__xludf.DUMMYFUNCTION("REGEXREPLACE(REGEXEXTRACT(H1053, ""г\)\s*(.*)""), ""^\s*"", """")"),"Арбалетчик")</f>
        <v>Арбалетчик</v>
      </c>
      <c r="H1053" s="18" t="s">
        <v>183</v>
      </c>
    </row>
    <row r="1054" ht="15.75" customHeight="1">
      <c r="A1054" s="5" t="str">
        <f>IFERROR(__xludf.DUMMYFUNCTION("REGEXEXTRACT(H1054, ""s*(.*?)\s*а\)"")"),"Кто это?")</f>
        <v>Кто это?</v>
      </c>
      <c r="B1054" s="15">
        <v>2.0</v>
      </c>
      <c r="D1054" s="5" t="str">
        <f>IFERROR(__xludf.DUMMYFUNCTION("REGEXREPLACE(REGEXEXTRACT(H1054, ""а\)\s*(.*?)\s*б\)""), ""^\s*"", """")"),"Разоритель")</f>
        <v>Разоритель</v>
      </c>
      <c r="E1054" s="5" t="str">
        <f>IFERROR(__xludf.DUMMYFUNCTION("REGEXREPLACE(REGEXEXTRACT(H1054, ""б\)\s*(.*?)\s*в\)""), ""^\s*"", """")"),"Зверь-крушитель")</f>
        <v>Зверь-крушитель</v>
      </c>
      <c r="F1054" s="5" t="str">
        <f>IFERROR(__xludf.DUMMYFUNCTION("REGEXREPLACE(REGEXEXTRACT(H1054, ""в\)\s*(.*?)\s*г\)""), ""^\s*"", """")"),"Голем-разрушитель")</f>
        <v>Голем-разрушитель</v>
      </c>
      <c r="G1054" s="5" t="str">
        <f>IFERROR(__xludf.DUMMYFUNCTION("REGEXREPLACE(REGEXEXTRACT(H1054, ""г\)\s*(.*)""), ""^\s*"", """")"),"Ездовой монстр разбойников")</f>
        <v>Ездовой монстр разбойников</v>
      </c>
      <c r="H1054" s="18" t="s">
        <v>184</v>
      </c>
    </row>
    <row r="1055" ht="15.75" customHeight="1">
      <c r="A1055" s="5" t="str">
        <f>IFERROR(__xludf.DUMMYFUNCTION("REGEXEXTRACT(H1055, ""s*(.*?)\s*а\)"")"),"Кто это?")</f>
        <v>Кто это?</v>
      </c>
      <c r="B1055" s="15">
        <v>2.0</v>
      </c>
      <c r="D1055" s="5" t="str">
        <f>IFERROR(__xludf.DUMMYFUNCTION("REGEXREPLACE(REGEXEXTRACT(H1055, ""а\)\s*(.*?)\s*б\)""), ""^\s*"", """")"),"Пиглин")</f>
        <v>Пиглин</v>
      </c>
      <c r="E1055" s="5" t="str">
        <f>IFERROR(__xludf.DUMMYFUNCTION("REGEXREPLACE(REGEXEXTRACT(H1055, ""б\)\s*(.*?)\s*в\)""), ""^\s*"", """")"),"Свин-бандит")</f>
        <v>Свин-бандит</v>
      </c>
      <c r="F1055" s="5" t="str">
        <f>IFERROR(__xludf.DUMMYFUNCTION("REGEXREPLACE(REGEXEXTRACT(H1055, ""в\)\s*(.*?)\s*г\)""), ""^\s*"", """")"),"Житель ада")</f>
        <v>Житель ада</v>
      </c>
      <c r="G1055" s="5" t="str">
        <f>IFERROR(__xludf.DUMMYFUNCTION("REGEXREPLACE(REGEXEXTRACT(H1055, ""г\)\s*(.*)""), ""^\s*"", """")"),"Золотой любитель")</f>
        <v>Золотой любитель</v>
      </c>
      <c r="H1055" s="18" t="s">
        <v>185</v>
      </c>
    </row>
    <row r="1056" ht="15.75" customHeight="1">
      <c r="A1056" s="5" t="str">
        <f>IFERROR(__xludf.DUMMYFUNCTION("REGEXEXTRACT(H1056, ""s*(.*?)\s*а\)"")"),"Кто это?")</f>
        <v>Кто это?</v>
      </c>
      <c r="B1056" s="15">
        <v>2.0</v>
      </c>
      <c r="D1056" s="5" t="str">
        <f>IFERROR(__xludf.DUMMYFUNCTION("REGEXREPLACE(REGEXEXTRACT(H1056, ""а\)\s*(.*?)\s*б\)""), ""^\s*"", """")"),"Хоблин")</f>
        <v>Хоблин</v>
      </c>
      <c r="E1056" s="5" t="str">
        <f>IFERROR(__xludf.DUMMYFUNCTION("REGEXREPLACE(REGEXEXTRACT(H1056, ""б\)\s*(.*?)\s*в\)""), ""^\s*"", """")"),"Адский гоблин")</f>
        <v>Адский гоблин</v>
      </c>
      <c r="F1056" s="5" t="str">
        <f>IFERROR(__xludf.DUMMYFUNCTION("REGEXREPLACE(REGEXEXTRACT(H1056, ""в\)\s*(.*?)\s*г\)""), ""^\s*"", """")"),"Маленький бандит")</f>
        <v>Маленький бандит</v>
      </c>
      <c r="G1056" s="5" t="str">
        <f>IFERROR(__xludf.DUMMYFUNCTION("REGEXREPLACE(REGEXEXTRACT(H1056, ""г\)\s*(.*)""), ""^\s*"", """")"),"Обитатель недр")</f>
        <v>Обитатель недр</v>
      </c>
      <c r="H1056" s="18" t="s">
        <v>186</v>
      </c>
    </row>
    <row r="1057" ht="15.75" customHeight="1">
      <c r="A1057" s="5" t="str">
        <f>IFERROR(__xludf.DUMMYFUNCTION("REGEXEXTRACT(H1057, ""s*(.*?)\s*а\)"")"),"Кто это?")</f>
        <v>Кто это?</v>
      </c>
      <c r="B1057" s="15">
        <v>2.0</v>
      </c>
      <c r="D1057" s="5" t="str">
        <f>IFERROR(__xludf.DUMMYFUNCTION("REGEXREPLACE(REGEXEXTRACT(H1057, ""а\)\s*(.*?)\s*б\)""), ""^\s*"", """")"),"Варден")</f>
        <v>Варден</v>
      </c>
      <c r="E1057" s="5" t="str">
        <f>IFERROR(__xludf.DUMMYFUNCTION("REGEXREPLACE(REGEXEXTRACT(H1057, ""б\)\s*(.*?)\s*в\)""), ""^\s*"", """")"),"Глубинный страж")</f>
        <v>Глубинный страж</v>
      </c>
      <c r="F1057" s="5" t="str">
        <f>IFERROR(__xludf.DUMMYFUNCTION("REGEXREPLACE(REGEXEXTRACT(H1057, ""в\)\s*(.*?)\s*г\)""), ""^\s*"", """")"),"Тюремщик")</f>
        <v>Тюремщик</v>
      </c>
      <c r="G1057" s="5" t="str">
        <f>IFERROR(__xludf.DUMMYFUNCTION("REGEXREPLACE(REGEXEXTRACT(H1057, ""г\)\s*(.*)""), ""^\s*"", """")"),"Слепой ужас")</f>
        <v>Слепой ужас</v>
      </c>
      <c r="H1057" s="18" t="s">
        <v>187</v>
      </c>
    </row>
    <row r="1058" ht="15.75" customHeight="1">
      <c r="A1058" s="5" t="str">
        <f>IFERROR(__xludf.DUMMYFUNCTION("REGEXEXTRACT(H1058, ""s*(.*?)\s*а\)"")"),"Кто это?")</f>
        <v>Кто это?</v>
      </c>
      <c r="B1058" s="15">
        <v>2.0</v>
      </c>
      <c r="D1058" s="5" t="str">
        <f>IFERROR(__xludf.DUMMYFUNCTION("REGEXREPLACE(REGEXEXTRACT(H1058, ""а\)\s*(.*?)\s*б\)""), ""^\s*"", """")"),"Шалкер")</f>
        <v>Шалкер</v>
      </c>
      <c r="E1058" s="5" t="str">
        <f>IFERROR(__xludf.DUMMYFUNCTION("REGEXREPLACE(REGEXEXTRACT(H1058, ""б\)\s*(.*?)\s*в\)""), ""^\s*"", """")"),"Парящая коробка")</f>
        <v>Парящая коробка</v>
      </c>
      <c r="F1058" s="5" t="str">
        <f>IFERROR(__xludf.DUMMYFUNCTION("REGEXREPLACE(REGEXEXTRACT(H1058, ""в\)\s*(.*?)\s*г\)""), ""^\s*"", """")"),"Засадный куб")</f>
        <v>Засадный куб</v>
      </c>
      <c r="G1058" s="5" t="str">
        <f>IFERROR(__xludf.DUMMYFUNCTION("REGEXREPLACE(REGEXEXTRACT(H1058, ""г\)\s*(.*)""), ""^\s*"", """")"),"Фиолетовый вредитель")</f>
        <v>Фиолетовый вредитель</v>
      </c>
      <c r="H1058" s="18" t="s">
        <v>188</v>
      </c>
    </row>
    <row r="1059" ht="15.75" hidden="1" customHeight="1">
      <c r="A1059" s="5" t="str">
        <f>IFERROR(__xludf.DUMMYFUNCTION("REGEXEXTRACT(H1059, ""s*(.*?)\s*а\)"")"),"#N/A")</f>
        <v>#N/A</v>
      </c>
      <c r="D1059" s="5" t="str">
        <f>IFERROR(__xludf.DUMMYFUNCTION("REGEXREPLACE(REGEXEXTRACT(H1059, ""а\)\s*(.*?)\s*б\)""), ""^\s*"", """")"),"#N/A")</f>
        <v>#N/A</v>
      </c>
      <c r="E1059" s="5" t="str">
        <f>IFERROR(__xludf.DUMMYFUNCTION("REGEXREPLACE(REGEXEXTRACT(H1059, ""б\)\s*(.*?)\s*в\)""), ""^\s*"", """")"),"#N/A")</f>
        <v>#N/A</v>
      </c>
      <c r="F1059" s="5" t="str">
        <f>IFERROR(__xludf.DUMMYFUNCTION("REGEXREPLACE(REGEXEXTRACT(H1059, ""в\)\s*(.*?)\s*г\)""), ""^\s*"", """")"),"#N/A")</f>
        <v>#N/A</v>
      </c>
      <c r="G1059" s="5" t="str">
        <f>IFERROR(__xludf.DUMMYFUNCTION("REGEXREPLACE(REGEXEXTRACT(H1059, ""г\)\s*(.*)""), ""^\s*"", """")"),"#N/A")</f>
        <v>#N/A</v>
      </c>
      <c r="H1059" s="18"/>
    </row>
    <row r="1060" ht="15.75" customHeight="1">
      <c r="A1060" s="5" t="str">
        <f>IFERROR(__xludf.DUMMYFUNCTION("REGEXEXTRACT(H1060, ""s*(.*?)\s*а\)"")"),"Кто это?")</f>
        <v>Кто это?</v>
      </c>
      <c r="B1060" s="15">
        <v>2.0</v>
      </c>
      <c r="D1060" s="5" t="str">
        <f>IFERROR(__xludf.DUMMYFUNCTION("REGEXREPLACE(REGEXEXTRACT(H1060, ""а\)\s*(.*?)\s*б\)""), ""^\s*"", """")"),"Древний страж")</f>
        <v>Древний страж</v>
      </c>
      <c r="E1060" s="5" t="str">
        <f>IFERROR(__xludf.DUMMYFUNCTION("REGEXREPLACE(REGEXEXTRACT(H1060, ""б\)\s*(.*?)\s*в\)""), ""^\s*"", """")"),"Затопленный робот")</f>
        <v>Затопленный робот</v>
      </c>
      <c r="F1060" s="5" t="str">
        <f>IFERROR(__xludf.DUMMYFUNCTION("REGEXREPLACE(REGEXEXTRACT(H1060, ""в\)\s*(.*?)\s*г\)""), ""^\s*"", """")"),"Охраник храма")</f>
        <v>Охраник храма</v>
      </c>
      <c r="G1060" s="5" t="str">
        <f>IFERROR(__xludf.DUMMYFUNCTION("REGEXREPLACE(REGEXEXTRACT(H1060, ""г\)\s*(.*)""), ""^\s*"", """")"),"Подводный босс")</f>
        <v>Подводный босс</v>
      </c>
      <c r="H1060" s="18" t="s">
        <v>189</v>
      </c>
    </row>
    <row r="1061" ht="15.75" customHeight="1">
      <c r="A1061" s="5" t="str">
        <f>IFERROR(__xludf.DUMMYFUNCTION("REGEXEXTRACT(H1061, ""s*(.*?)\s*а\)"")"),"Кто это?")</f>
        <v>Кто это?</v>
      </c>
      <c r="B1061" s="15">
        <v>2.0</v>
      </c>
      <c r="D1061" s="5" t="str">
        <f>IFERROR(__xludf.DUMMYFUNCTION("REGEXREPLACE(REGEXEXTRACT(H1061, ""а\)\s*(.*?)\s*б\)""), ""^\s*"", """")"),"Иссушитель")</f>
        <v>Иссушитель</v>
      </c>
      <c r="E1061" s="5" t="str">
        <f>IFERROR(__xludf.DUMMYFUNCTION("REGEXREPLACE(REGEXEXTRACT(H1061, ""б\)\s*(.*?)\s*в\)""), ""^\s*"", """")"),"Трехголовый скелет")</f>
        <v>Трехголовый скелет</v>
      </c>
      <c r="F1061" s="5" t="str">
        <f>IFERROR(__xludf.DUMMYFUNCTION("REGEXREPLACE(REGEXEXTRACT(H1061, ""в\)\s*(.*?)\s*г\)""), ""^\s*"", """")"),"Костяной демон")</f>
        <v>Костяной демон</v>
      </c>
      <c r="G1061" s="5" t="str">
        <f>IFERROR(__xludf.DUMMYFUNCTION("REGEXREPLACE(REGEXEXTRACT(H1061, ""г\)\s*(.*)""), ""^\s*"", """")"),"Владыка смерти")</f>
        <v>Владыка смерти</v>
      </c>
      <c r="H1061" s="18" t="s">
        <v>190</v>
      </c>
    </row>
    <row r="1062" ht="15.75" customHeight="1">
      <c r="A1062" s="5" t="str">
        <f>IFERROR(__xludf.DUMMYFUNCTION("REGEXEXTRACT(H1062, ""s*(.*?)\s*а\)"")"),"Кто это?")</f>
        <v>Кто это?</v>
      </c>
      <c r="B1062" s="15">
        <v>2.0</v>
      </c>
      <c r="D1062" s="5" t="str">
        <f>IFERROR(__xludf.DUMMYFUNCTION("REGEXREPLACE(REGEXEXTRACT(H1062, ""а\)\s*(.*?)\s*б\)""), ""^\s*"", """")"),"Эндер-дракон")</f>
        <v>Эндер-дракон</v>
      </c>
      <c r="E1062" s="5" t="str">
        <f>IFERROR(__xludf.DUMMYFUNCTION("REGEXREPLACE(REGEXEXTRACT(H1062, ""б\)\s*(.*?)\s*в\)""), ""^\s*"", """")"),"Краевой дракон")</f>
        <v>Краевой дракон</v>
      </c>
      <c r="F1062" s="5" t="str">
        <f>IFERROR(__xludf.DUMMYFUNCTION("REGEXREPLACE(REGEXEXTRACT(H1062, ""в\)\s*(.*?)\s*г\)""), ""^\s*"", """")"),"Финальный босс")</f>
        <v>Финальный босс</v>
      </c>
      <c r="G1062" s="5" t="str">
        <f>IFERROR(__xludf.DUMMYFUNCTION("REGEXREPLACE(REGEXEXTRACT(H1062, ""г\)\s*(.*)""), ""^\s*"", """")"),"Летающий ящер")</f>
        <v>Летающий ящер</v>
      </c>
      <c r="H1062" s="18" t="s">
        <v>191</v>
      </c>
    </row>
    <row r="1063" ht="15.75" customHeight="1">
      <c r="A1063" s="5" t="str">
        <f>IFERROR(__xludf.DUMMYFUNCTION("REGEXEXTRACT(H1063, ""s*(.*?)\s*а\)"")"),"Выберите в порядке увеличения количества сердец у мобов:")</f>
        <v>Выберите в порядке увеличения количества сердец у мобов:</v>
      </c>
      <c r="B1063" s="15">
        <v>3.0</v>
      </c>
      <c r="D1063" s="5" t="str">
        <f>IFERROR(__xludf.DUMMYFUNCTION("REGEXREPLACE(REGEXEXTRACT(H1063, ""а\)\s*(.*?)\s*б\)""), ""^\s*"", """")"),"Курица")</f>
        <v>Курица</v>
      </c>
      <c r="E1063" s="5" t="str">
        <f>IFERROR(__xludf.DUMMYFUNCTION("REGEXREPLACE(REGEXEXTRACT(H1063, ""б\)\s*(.*?)\s*в\)""), ""^\s*"", """")"),"Свинья")</f>
        <v>Свинья</v>
      </c>
      <c r="F1063" s="5" t="str">
        <f>IFERROR(__xludf.DUMMYFUNCTION("REGEXREPLACE(REGEXEXTRACT(H1063, ""в\)\s*(.*?)\s*г\)""), ""^\s*"", """")"),"Железный голем")</f>
        <v>Железный голем</v>
      </c>
      <c r="G1063" s="5" t="str">
        <f>IFERROR(__xludf.DUMMYFUNCTION("REGEXREPLACE(REGEXEXTRACT(H1063, ""г\)\s*(.*)""), ""^\s*"", """")"),"Иссушитель")</f>
        <v>Иссушитель</v>
      </c>
      <c r="H1063" s="14" t="s">
        <v>192</v>
      </c>
    </row>
    <row r="1064" ht="15.75" customHeight="1">
      <c r="A1064" s="5" t="str">
        <f>IFERROR(__xludf.DUMMYFUNCTION("REGEXEXTRACT(H1064, ""s*(.*?)\s*а\)"")"),"Выберите в порядке увеличения прочности инструментов:")</f>
        <v>Выберите в порядке увеличения прочности инструментов:</v>
      </c>
      <c r="B1064" s="15">
        <v>3.0</v>
      </c>
      <c r="D1064" s="5" t="str">
        <f>IFERROR(__xludf.DUMMYFUNCTION("REGEXREPLACE(REGEXEXTRACT(H1064, ""а\)\s*(.*?)\s*б\)""), ""^\s*"", """")"),"Золотая кирка")</f>
        <v>Золотая кирка</v>
      </c>
      <c r="E1064" s="5" t="str">
        <f>IFERROR(__xludf.DUMMYFUNCTION("REGEXREPLACE(REGEXEXTRACT(H1064, ""б\)\s*(.*?)\s*в\)""), ""^\s*"", """")"),"Деревянная лопата")</f>
        <v>Деревянная лопата</v>
      </c>
      <c r="F1064" s="5" t="str">
        <f>IFERROR(__xludf.DUMMYFUNCTION("REGEXREPLACE(REGEXEXTRACT(H1064, ""в\)\s*(.*?)\s*г\)""), ""^\s*"", """")"),"Каменная мотыга")</f>
        <v>Каменная мотыга</v>
      </c>
      <c r="G1064" s="5" t="str">
        <f>IFERROR(__xludf.DUMMYFUNCTION("REGEXREPLACE(REGEXEXTRACT(H1064, ""г\)\s*(.*)""), ""^\s*"", """")"),"Железный топор")</f>
        <v>Железный топор</v>
      </c>
      <c r="H1064" s="12" t="s">
        <v>193</v>
      </c>
    </row>
    <row r="1065" ht="15.75" customHeight="1">
      <c r="A1065" s="5" t="str">
        <f>IFERROR(__xludf.DUMMYFUNCTION("REGEXEXTRACT(H1065, ""s*(.*?)\s*а\)"")"),"Выберите в порядке увеличения времени роста растений:")</f>
        <v>Выберите в порядке увеличения времени роста растений:</v>
      </c>
      <c r="B1065" s="15">
        <v>3.0</v>
      </c>
      <c r="D1065" s="5" t="str">
        <f>IFERROR(__xludf.DUMMYFUNCTION("REGEXREPLACE(REGEXEXTRACT(H1065, ""а\)\s*(.*?)\s*б\)""), ""^\s*"", """")"),"Пшеница")</f>
        <v>Пшеница</v>
      </c>
      <c r="E1065" s="5" t="str">
        <f>IFERROR(__xludf.DUMMYFUNCTION("REGEXREPLACE(REGEXEXTRACT(H1065, ""б\)\s*(.*?)\s*в\)""), ""^\s*"", """")"),"Морковь")</f>
        <v>Морковь</v>
      </c>
      <c r="F1065" s="5" t="str">
        <f>IFERROR(__xludf.DUMMYFUNCTION("REGEXREPLACE(REGEXEXTRACT(H1065, ""в\)\s*(.*?)\s*г\)""), ""^\s*"", """")"),"Картофель")</f>
        <v>Картофель</v>
      </c>
      <c r="G1065" s="5" t="str">
        <f>IFERROR(__xludf.DUMMYFUNCTION("REGEXREPLACE(REGEXEXTRACT(H1065, ""г\)\s*(.*)""), ""^\s*"", """")"),"Свекла")</f>
        <v>Свекла</v>
      </c>
      <c r="H1065" s="12" t="s">
        <v>194</v>
      </c>
    </row>
    <row r="1066" ht="15.75" customHeight="1">
      <c r="A1066" s="5" t="str">
        <f>IFERROR(__xludf.DUMMYFUNCTION("REGEXEXTRACT(H1066, ""s*(.*?)\s*а\)"")"),"Выберите в порядке увеличения количества добываемого опыта при убийстве моба:")</f>
        <v>Выберите в порядке увеличения количества добываемого опыта при убийстве моба:</v>
      </c>
      <c r="B1066" s="15">
        <v>3.0</v>
      </c>
      <c r="D1066" s="5" t="str">
        <f>IFERROR(__xludf.DUMMYFUNCTION("REGEXREPLACE(REGEXEXTRACT(H1066, ""а\)\s*(.*?)\s*б\)""), ""^\s*"", """")"),"Курица")</f>
        <v>Курица</v>
      </c>
      <c r="E1066" s="5" t="str">
        <f>IFERROR(__xludf.DUMMYFUNCTION("REGEXREPLACE(REGEXEXTRACT(H1066, ""б\)\s*(.*?)\s*в\)""), ""^\s*"", """")"),"Зомби")</f>
        <v>Зомби</v>
      </c>
      <c r="F1066" s="5" t="str">
        <f>IFERROR(__xludf.DUMMYFUNCTION("REGEXREPLACE(REGEXEXTRACT(H1066, ""в\)\s*(.*?)\s*г\)""), ""^\s*"", """")"),"Скелет")</f>
        <v>Скелет</v>
      </c>
      <c r="G1066" s="5" t="str">
        <f>IFERROR(__xludf.DUMMYFUNCTION("REGEXREPLACE(REGEXEXTRACT(H1066, ""г\)\s*(.*)""), ""^\s*"", """")"),"Эндермен")</f>
        <v>Эндермен</v>
      </c>
      <c r="H1066" s="12" t="s">
        <v>195</v>
      </c>
    </row>
    <row r="1067" ht="15.75" hidden="1" customHeight="1">
      <c r="A1067" s="5" t="str">
        <f>IFERROR(__xludf.DUMMYFUNCTION("REGEXEXTRACT(H1067, ""s*(.*?)\s*а\)"")"),"#N/A")</f>
        <v>#N/A</v>
      </c>
      <c r="B1067" s="15">
        <v>3.0</v>
      </c>
      <c r="D1067" s="5" t="str">
        <f>IFERROR(__xludf.DUMMYFUNCTION("REGEXREPLACE(REGEXEXTRACT(H1067, ""а\)\s*(.*?)\s*б\)""), ""^\s*"", """")"),"#N/A")</f>
        <v>#N/A</v>
      </c>
      <c r="E1067" s="5" t="str">
        <f>IFERROR(__xludf.DUMMYFUNCTION("REGEXREPLACE(REGEXEXTRACT(H1067, ""б\)\s*(.*?)\s*в\)""), ""^\s*"", """")"),"#N/A")</f>
        <v>#N/A</v>
      </c>
      <c r="F1067" s="5" t="str">
        <f>IFERROR(__xludf.DUMMYFUNCTION("REGEXREPLACE(REGEXEXTRACT(H1067, ""в\)\s*(.*?)\s*г\)""), ""^\s*"", """")"),"#N/A")</f>
        <v>#N/A</v>
      </c>
      <c r="G1067" s="5" t="str">
        <f>IFERROR(__xludf.DUMMYFUNCTION("REGEXREPLACE(REGEXEXTRACT(H1067, ""г\)\s*(.*)""), ""^\s*"", """")"),"#N/A")</f>
        <v>#N/A</v>
      </c>
      <c r="H1067" s="12"/>
    </row>
    <row r="1068" ht="15.75" hidden="1" customHeight="1">
      <c r="A1068" s="5" t="str">
        <f>IFERROR(__xludf.DUMMYFUNCTION("REGEXEXTRACT(H1068, ""s*(.*?)\s*а\)"")"),"#N/A")</f>
        <v>#N/A</v>
      </c>
      <c r="B1068" s="15">
        <v>3.0</v>
      </c>
      <c r="D1068" s="5" t="str">
        <f>IFERROR(__xludf.DUMMYFUNCTION("REGEXREPLACE(REGEXEXTRACT(H1068, ""а\)\s*(.*?)\s*б\)""), ""^\s*"", """")"),"#N/A")</f>
        <v>#N/A</v>
      </c>
      <c r="E1068" s="5" t="str">
        <f>IFERROR(__xludf.DUMMYFUNCTION("REGEXREPLACE(REGEXEXTRACT(H1068, ""б\)\s*(.*?)\s*в\)""), ""^\s*"", """")"),"#N/A")</f>
        <v>#N/A</v>
      </c>
      <c r="F1068" s="5" t="str">
        <f>IFERROR(__xludf.DUMMYFUNCTION("REGEXREPLACE(REGEXEXTRACT(H1068, ""в\)\s*(.*?)\s*г\)""), ""^\s*"", """")"),"#N/A")</f>
        <v>#N/A</v>
      </c>
      <c r="G1068" s="5" t="str">
        <f>IFERROR(__xludf.DUMMYFUNCTION("REGEXREPLACE(REGEXEXTRACT(H1068, ""г\)\s*(.*)""), ""^\s*"", """")"),"#N/A")</f>
        <v>#N/A</v>
      </c>
      <c r="H1068" s="12"/>
    </row>
    <row r="1069" ht="15.75" customHeight="1">
      <c r="A1069" s="5" t="str">
        <f>IFERROR(__xludf.DUMMYFUNCTION("REGEXEXTRACT(H1069, ""s*(.*?)\s*а\)"")"),"Выберите в порядке увеличения высоты прыжка:")</f>
        <v>Выберите в порядке увеличения высоты прыжка:</v>
      </c>
      <c r="B1069" s="15">
        <v>3.0</v>
      </c>
      <c r="D1069" s="5" t="str">
        <f>IFERROR(__xludf.DUMMYFUNCTION("REGEXREPLACE(REGEXEXTRACT(H1069, ""а\)\s*(.*?)\s*б\)""), ""^\s*"", """")"),"Лягушка")</f>
        <v>Лягушка</v>
      </c>
      <c r="E1069" s="5" t="str">
        <f>IFERROR(__xludf.DUMMYFUNCTION("REGEXREPLACE(REGEXEXTRACT(H1069, ""б\)\s*(.*?)\s*в\)""), ""^\s*"", """")"),"Кролик")</f>
        <v>Кролик</v>
      </c>
      <c r="F1069" s="5" t="str">
        <f>IFERROR(__xludf.DUMMYFUNCTION("REGEXREPLACE(REGEXEXTRACT(H1069, ""в\)\s*(.*?)\s*г\)""), ""^\s*"", """")"),"Лошадь")</f>
        <v>Лошадь</v>
      </c>
      <c r="G1069" s="5" t="str">
        <f>IFERROR(__xludf.DUMMYFUNCTION("REGEXREPLACE(REGEXEXTRACT(H1069, ""г\)\s*(.*)""), ""^\s*"", """")"),"Игрок с зельем прыгучести II")</f>
        <v>Игрок с зельем прыгучести II</v>
      </c>
      <c r="H1069" s="12" t="s">
        <v>196</v>
      </c>
    </row>
    <row r="1070" ht="15.75" customHeight="1">
      <c r="A1070" s="5" t="str">
        <f>IFERROR(__xludf.DUMMYFUNCTION("REGEXEXTRACT(H1070, ""s*(.*?)\s*а\)"")"),"Выберите в порядке увеличения прочности брони:")</f>
        <v>Выберите в порядке увеличения прочности брони:</v>
      </c>
      <c r="B1070" s="15">
        <v>3.0</v>
      </c>
      <c r="D1070" s="5" t="str">
        <f>IFERROR(__xludf.DUMMYFUNCTION("REGEXREPLACE(REGEXEXTRACT(H1070, ""а\)\s*(.*?)\s*б\)""), ""^\s*"", """")"),"Кожаный шлем")</f>
        <v>Кожаный шлем</v>
      </c>
      <c r="E1070" s="5" t="str">
        <f>IFERROR(__xludf.DUMMYFUNCTION("REGEXREPLACE(REGEXEXTRACT(H1070, ""б\)\s*(.*?)\s*в\)""), ""^\s*"", """")"),"Золотой нагрудник")</f>
        <v>Золотой нагрудник</v>
      </c>
      <c r="F1070" s="5" t="str">
        <f>IFERROR(__xludf.DUMMYFUNCTION("REGEXREPLACE(REGEXEXTRACT(H1070, ""в\)\s*(.*?)\s*г\)""), ""^\s*"", """")"),"Железные поножи")</f>
        <v>Железные поножи</v>
      </c>
      <c r="G1070" s="5" t="str">
        <f>IFERROR(__xludf.DUMMYFUNCTION("REGEXREPLACE(REGEXEXTRACT(H1070, ""г\)\s*(.*)""), ""^\s*"", """")"),"Алмазные ботинки")</f>
        <v>Алмазные ботинки</v>
      </c>
      <c r="H1070" s="12" t="s">
        <v>197</v>
      </c>
    </row>
    <row r="1071" ht="15.75" customHeight="1">
      <c r="A1071" s="5" t="str">
        <f>IFERROR(__xludf.DUMMYFUNCTION("REGEXEXTRACT(H1071, ""s*(.*?)\s*а\)"")"),"Выберите в порядке увеличения скорости передвижения по воде:")</f>
        <v>Выберите в порядке увеличения скорости передвижения по воде:</v>
      </c>
      <c r="B1071" s="15">
        <v>3.0</v>
      </c>
      <c r="D1071" s="5" t="str">
        <f>IFERROR(__xludf.DUMMYFUNCTION("REGEXREPLACE(REGEXEXTRACT(H1071, ""а\)\s*(.*?)\s*б\)""), ""^\s*"", """")"),"Игрок")</f>
        <v>Игрок</v>
      </c>
      <c r="E1071" s="5" t="str">
        <f>IFERROR(__xludf.DUMMYFUNCTION("REGEXREPLACE(REGEXEXTRACT(H1071, ""б\)\s*(.*?)\s*в\)""), ""^\s*"", """")"),"Лодка")</f>
        <v>Лодка</v>
      </c>
      <c r="F1071" s="5" t="str">
        <f>IFERROR(__xludf.DUMMYFUNCTION("REGEXREPLACE(REGEXEXTRACT(H1071, ""в\)\s*(.*?)\s*г\)""), ""^\s*"", """")"),"Дельфин")</f>
        <v>Дельфин</v>
      </c>
      <c r="G1071" s="5" t="str">
        <f>IFERROR(__xludf.DUMMYFUNCTION("REGEXREPLACE(REGEXEXTRACT(H1071, ""г\)\s*(.*)""), ""^\s*"", """")"),"Игрок с зачарованными ботинками на “Ледоход”")</f>
        <v>Игрок с зачарованными ботинками на “Ледоход”</v>
      </c>
      <c r="H1071" s="12" t="s">
        <v>198</v>
      </c>
    </row>
    <row r="1072" ht="15.75" customHeight="1">
      <c r="A1072" s="5" t="str">
        <f>IFERROR(__xludf.DUMMYFUNCTION("REGEXEXTRACT(H1072, ""s*(.*?)\s*а\)"")"),"Выберите в порядке уменьшенья количества блоков, разрушаемых динамитом:")</f>
        <v>Выберите в порядке уменьшенья количества блоков, разрушаемых динамитом:</v>
      </c>
      <c r="B1072" s="15">
        <v>3.0</v>
      </c>
      <c r="D1072" s="5" t="str">
        <f>IFERROR(__xludf.DUMMYFUNCTION("REGEXREPLACE(REGEXEXTRACT(H1072, ""а\)\s*(.*?)\s*б\)""), ""^\s*"", """")"),"Земля")</f>
        <v>Земля</v>
      </c>
      <c r="E1072" s="5" t="str">
        <f>IFERROR(__xludf.DUMMYFUNCTION("REGEXREPLACE(REGEXEXTRACT(H1072, ""б\)\s*(.*?)\s*в\)""), ""^\s*"", """")"),"Камень")</f>
        <v>Камень</v>
      </c>
      <c r="F1072" s="5" t="str">
        <f>IFERROR(__xludf.DUMMYFUNCTION("REGEXREPLACE(REGEXEXTRACT(H1072, ""в\)\s*(.*?)\s*г\)""), ""^\s*"", """")"),"Обсидиан")</f>
        <v>Обсидиан</v>
      </c>
      <c r="G1072" s="5" t="str">
        <f>IFERROR(__xludf.DUMMYFUNCTION("REGEXREPLACE(REGEXEXTRACT(H1072, ""г\)\s*(.*)""), ""^\s*"", """")"),"Коренная порода")</f>
        <v>Коренная порода</v>
      </c>
      <c r="H1072" s="14" t="s">
        <v>199</v>
      </c>
    </row>
    <row r="1073" ht="15.75" customHeight="1">
      <c r="A1073" s="5" t="str">
        <f>IFERROR(__xludf.DUMMYFUNCTION("REGEXEXTRACT(H1073, ""s*(.*?)\s*а\)"")"),"Выберите в порядке увеличения силы взрыва:")</f>
        <v>Выберите в порядке увеличения силы взрыва:</v>
      </c>
      <c r="B1073" s="15">
        <v>3.0</v>
      </c>
      <c r="D1073" s="5" t="str">
        <f>IFERROR(__xludf.DUMMYFUNCTION("REGEXREPLACE(REGEXEXTRACT(H1073, ""а\)\s*(.*?)\s*б\)""), ""^\s*"", """")"),"Крипер")</f>
        <v>Крипер</v>
      </c>
      <c r="E1073" s="5" t="str">
        <f>IFERROR(__xludf.DUMMYFUNCTION("REGEXREPLACE(REGEXEXTRACT(H1073, ""б\)\s*(.*?)\s*в\)""), ""^\s*"", """")"),"Заряженный крипер")</f>
        <v>Заряженный крипер</v>
      </c>
      <c r="F1073" s="5" t="str">
        <f>IFERROR(__xludf.DUMMYFUNCTION("REGEXREPLACE(REGEXEXTRACT(H1073, ""в\)\s*(.*?)\s*г\)""), ""^\s*"", """")"),"Кровать в Нижнем мире")</f>
        <v>Кровать в Нижнем мире</v>
      </c>
      <c r="G1073" s="5" t="str">
        <f>IFERROR(__xludf.DUMMYFUNCTION("REGEXREPLACE(REGEXEXTRACT(H1073, ""г\)\s*(.*)""), ""^\s*"", """")"),"Спавн Исушителя")</f>
        <v>Спавн Исушителя</v>
      </c>
      <c r="H1073" s="14" t="s">
        <v>200</v>
      </c>
    </row>
    <row r="1074" ht="15.75" hidden="1" customHeight="1">
      <c r="A1074" s="5" t="str">
        <f>IFERROR(__xludf.DUMMYFUNCTION("REGEXEXTRACT(H1074, ""s*(.*?)\s*а\)"")"),"#N/A")</f>
        <v>#N/A</v>
      </c>
      <c r="B1074" s="15">
        <v>3.0</v>
      </c>
      <c r="D1074" s="5" t="str">
        <f>IFERROR(__xludf.DUMMYFUNCTION("REGEXREPLACE(REGEXEXTRACT(H1074, ""а\)\s*(.*?)\s*б\)""), ""^\s*"", """")"),"#N/A")</f>
        <v>#N/A</v>
      </c>
      <c r="E1074" s="5" t="str">
        <f>IFERROR(__xludf.DUMMYFUNCTION("REGEXREPLACE(REGEXEXTRACT(H1074, ""б\)\s*(.*?)\s*в\)""), ""^\s*"", """")"),"#N/A")</f>
        <v>#N/A</v>
      </c>
      <c r="F1074" s="5" t="str">
        <f>IFERROR(__xludf.DUMMYFUNCTION("REGEXREPLACE(REGEXEXTRACT(H1074, ""в\)\s*(.*?)\s*г\)""), ""^\s*"", """")"),"#N/A")</f>
        <v>#N/A</v>
      </c>
      <c r="G1074" s="5" t="str">
        <f>IFERROR(__xludf.DUMMYFUNCTION("REGEXREPLACE(REGEXEXTRACT(H1074, ""г\)\s*(.*)""), ""^\s*"", """")"),"#N/A")</f>
        <v>#N/A</v>
      </c>
      <c r="H1074" s="14"/>
    </row>
    <row r="1075" ht="15.75" hidden="1" customHeight="1">
      <c r="A1075" s="5" t="str">
        <f>IFERROR(__xludf.DUMMYFUNCTION("REGEXEXTRACT(H1075, ""s*(.*?)\s*а\)"")"),"#N/A")</f>
        <v>#N/A</v>
      </c>
      <c r="B1075" s="15">
        <v>3.0</v>
      </c>
      <c r="D1075" s="5" t="str">
        <f>IFERROR(__xludf.DUMMYFUNCTION("REGEXREPLACE(REGEXEXTRACT(H1075, ""а\)\s*(.*?)\s*б\)""), ""^\s*"", """")"),"#N/A")</f>
        <v>#N/A</v>
      </c>
      <c r="E1075" s="5" t="str">
        <f>IFERROR(__xludf.DUMMYFUNCTION("REGEXREPLACE(REGEXEXTRACT(H1075, ""б\)\s*(.*?)\s*в\)""), ""^\s*"", """")"),"#N/A")</f>
        <v>#N/A</v>
      </c>
      <c r="F1075" s="5" t="str">
        <f>IFERROR(__xludf.DUMMYFUNCTION("REGEXREPLACE(REGEXEXTRACT(H1075, ""в\)\s*(.*?)\s*г\)""), ""^\s*"", """")"),"#N/A")</f>
        <v>#N/A</v>
      </c>
      <c r="G1075" s="5" t="str">
        <f>IFERROR(__xludf.DUMMYFUNCTION("REGEXREPLACE(REGEXEXTRACT(H1075, ""г\)\s*(.*)""), ""^\s*"", """")"),"#N/A")</f>
        <v>#N/A</v>
      </c>
      <c r="H1075" s="12"/>
    </row>
    <row r="1076" ht="15.75" hidden="1" customHeight="1">
      <c r="A1076" s="5" t="str">
        <f>IFERROR(__xludf.DUMMYFUNCTION("REGEXEXTRACT(H1076, ""s*(.*?)\s*а\)"")"),"#N/A")</f>
        <v>#N/A</v>
      </c>
      <c r="B1076" s="15">
        <v>3.0</v>
      </c>
      <c r="D1076" s="5" t="str">
        <f>IFERROR(__xludf.DUMMYFUNCTION("REGEXREPLACE(REGEXEXTRACT(H1076, ""а\)\s*(.*?)\s*б\)""), ""^\s*"", """")"),"#N/A")</f>
        <v>#N/A</v>
      </c>
      <c r="E1076" s="5" t="str">
        <f>IFERROR(__xludf.DUMMYFUNCTION("REGEXREPLACE(REGEXEXTRACT(H1076, ""б\)\s*(.*?)\s*в\)""), ""^\s*"", """")"),"#N/A")</f>
        <v>#N/A</v>
      </c>
      <c r="F1076" s="5" t="str">
        <f>IFERROR(__xludf.DUMMYFUNCTION("REGEXREPLACE(REGEXEXTRACT(H1076, ""в\)\s*(.*?)\s*г\)""), ""^\s*"", """")"),"#N/A")</f>
        <v>#N/A</v>
      </c>
      <c r="G1076" s="5" t="str">
        <f>IFERROR(__xludf.DUMMYFUNCTION("REGEXREPLACE(REGEXEXTRACT(H1076, ""г\)\s*(.*)""), ""^\s*"", """")"),"#N/A")</f>
        <v>#N/A</v>
      </c>
      <c r="H1076" s="12"/>
    </row>
    <row r="1077" ht="15.75" hidden="1" customHeight="1">
      <c r="A1077" s="5" t="str">
        <f>IFERROR(__xludf.DUMMYFUNCTION("REGEXEXTRACT(H1077, ""s*(.*?)\s*а\)"")"),"#N/A")</f>
        <v>#N/A</v>
      </c>
      <c r="B1077" s="15">
        <v>3.0</v>
      </c>
      <c r="D1077" s="5" t="str">
        <f>IFERROR(__xludf.DUMMYFUNCTION("REGEXREPLACE(REGEXEXTRACT(H1077, ""а\)\s*(.*?)\s*б\)""), ""^\s*"", """")"),"#N/A")</f>
        <v>#N/A</v>
      </c>
      <c r="E1077" s="5" t="str">
        <f>IFERROR(__xludf.DUMMYFUNCTION("REGEXREPLACE(REGEXEXTRACT(H1077, ""б\)\s*(.*?)\s*в\)""), ""^\s*"", """")"),"#N/A")</f>
        <v>#N/A</v>
      </c>
      <c r="F1077" s="5" t="str">
        <f>IFERROR(__xludf.DUMMYFUNCTION("REGEXREPLACE(REGEXEXTRACT(H1077, ""в\)\s*(.*?)\s*г\)""), ""^\s*"", """")"),"#N/A")</f>
        <v>#N/A</v>
      </c>
      <c r="G1077" s="5" t="str">
        <f>IFERROR(__xludf.DUMMYFUNCTION("REGEXREPLACE(REGEXEXTRACT(H1077, ""г\)\s*(.*)""), ""^\s*"", """")"),"#N/A")</f>
        <v>#N/A</v>
      </c>
      <c r="H1077" s="12"/>
    </row>
    <row r="1078" ht="15.75" hidden="1" customHeight="1">
      <c r="A1078" s="5" t="str">
        <f>IFERROR(__xludf.DUMMYFUNCTION("REGEXEXTRACT(H1078, ""s*(.*?)\s*а\)"")"),"#N/A")</f>
        <v>#N/A</v>
      </c>
      <c r="B1078" s="15">
        <v>3.0</v>
      </c>
      <c r="D1078" s="5" t="str">
        <f>IFERROR(__xludf.DUMMYFUNCTION("REGEXREPLACE(REGEXEXTRACT(H1078, ""а\)\s*(.*?)\s*б\)""), ""^\s*"", """")"),"#N/A")</f>
        <v>#N/A</v>
      </c>
      <c r="E1078" s="5" t="str">
        <f>IFERROR(__xludf.DUMMYFUNCTION("REGEXREPLACE(REGEXEXTRACT(H1078, ""б\)\s*(.*?)\s*в\)""), ""^\s*"", """")"),"#N/A")</f>
        <v>#N/A</v>
      </c>
      <c r="F1078" s="5" t="str">
        <f>IFERROR(__xludf.DUMMYFUNCTION("REGEXREPLACE(REGEXEXTRACT(H1078, ""в\)\s*(.*?)\s*г\)""), ""^\s*"", """")"),"#N/A")</f>
        <v>#N/A</v>
      </c>
      <c r="G1078" s="5" t="str">
        <f>IFERROR(__xludf.DUMMYFUNCTION("REGEXREPLACE(REGEXEXTRACT(H1078, ""г\)\s*(.*)""), ""^\s*"", """")"),"#N/A")</f>
        <v>#N/A</v>
      </c>
      <c r="H1078" s="12"/>
    </row>
    <row r="1079" ht="15.75" hidden="1" customHeight="1">
      <c r="A1079" s="5" t="str">
        <f>IFERROR(__xludf.DUMMYFUNCTION("REGEXEXTRACT(H1079, ""s*(.*?)\s*а\)"")"),"#N/A")</f>
        <v>#N/A</v>
      </c>
      <c r="B1079" s="15">
        <v>3.0</v>
      </c>
      <c r="D1079" s="5" t="str">
        <f>IFERROR(__xludf.DUMMYFUNCTION("REGEXREPLACE(REGEXEXTRACT(H1079, ""а\)\s*(.*?)\s*б\)""), ""^\s*"", """")"),"#N/A")</f>
        <v>#N/A</v>
      </c>
      <c r="E1079" s="5" t="str">
        <f>IFERROR(__xludf.DUMMYFUNCTION("REGEXREPLACE(REGEXEXTRACT(H1079, ""б\)\s*(.*?)\s*в\)""), ""^\s*"", """")"),"#N/A")</f>
        <v>#N/A</v>
      </c>
      <c r="F1079" s="5" t="str">
        <f>IFERROR(__xludf.DUMMYFUNCTION("REGEXREPLACE(REGEXEXTRACT(H1079, ""в\)\s*(.*?)\s*г\)""), ""^\s*"", """")"),"#N/A")</f>
        <v>#N/A</v>
      </c>
      <c r="G1079" s="5" t="str">
        <f>IFERROR(__xludf.DUMMYFUNCTION("REGEXREPLACE(REGEXEXTRACT(H1079, ""г\)\s*(.*)""), ""^\s*"", """")"),"#N/A")</f>
        <v>#N/A</v>
      </c>
      <c r="H1079" s="12"/>
    </row>
    <row r="1080" ht="15.75" customHeight="1">
      <c r="A1080" s="5" t="str">
        <f>IFERROR(__xludf.DUMMYFUNCTION("REGEXEXTRACT(H1080, ""s*(.*?)\s*а\)"")"),"Выберите в порядке увеличения уровня освещенности:")</f>
        <v>Выберите в порядке увеличения уровня освещенности:</v>
      </c>
      <c r="B1080" s="15">
        <v>3.0</v>
      </c>
      <c r="D1080" s="5" t="str">
        <f>IFERROR(__xludf.DUMMYFUNCTION("REGEXREPLACE(REGEXEXTRACT(H1080, ""а\)\s*(.*?)\s*б\)""), ""^\s*"", """")"),"Земля")</f>
        <v>Земля</v>
      </c>
      <c r="E1080" s="5" t="str">
        <f>IFERROR(__xludf.DUMMYFUNCTION("REGEXREPLACE(REGEXEXTRACT(H1080, ""б\)\s*(.*?)\s*в\)""), ""^\s*"", """")"),"Факел")</f>
        <v>Факел</v>
      </c>
      <c r="F1080" s="5" t="str">
        <f>IFERROR(__xludf.DUMMYFUNCTION("REGEXREPLACE(REGEXEXTRACT(H1080, ""в\)\s*(.*?)\s*г\)""), ""^\s*"", """")"),"Лампа из редстоуна")</f>
        <v>Лампа из редстоуна</v>
      </c>
      <c r="G1080" s="5" t="str">
        <f>IFERROR(__xludf.DUMMYFUNCTION("REGEXREPLACE(REGEXEXTRACT(H1080, ""г\)\s*(.*)""), ""^\s*"", """")"),"Маяк")</f>
        <v>Маяк</v>
      </c>
      <c r="H1080" s="12" t="s">
        <v>201</v>
      </c>
    </row>
    <row r="1081" ht="15.75" customHeight="1">
      <c r="A1081" s="5" t="str">
        <f>IFERROR(__xludf.DUMMYFUNCTION("REGEXEXTRACT(H1081, ""s*(.*?)\s*а\)"")"),"Выберите в порядке увеличения дальности слышимости Вардена:")</f>
        <v>Выберите в порядке увеличения дальности слышимости Вардена:</v>
      </c>
      <c r="B1081" s="15">
        <v>3.0</v>
      </c>
      <c r="D1081" s="5" t="str">
        <f>IFERROR(__xludf.DUMMYFUNCTION("REGEXREPLACE(REGEXEXTRACT(H1081, ""а\)\s*(.*?)\s*б\)""), ""^\s*"", """")"),"Шаг")</f>
        <v>Шаг</v>
      </c>
      <c r="E1081" s="5" t="str">
        <f>IFERROR(__xludf.DUMMYFUNCTION("REGEXREPLACE(REGEXEXTRACT(H1081, ""б\)\s*(.*?)\s*в\)""), ""^\s*"", """")"),"Бросок снежка")</f>
        <v>Бросок снежка</v>
      </c>
      <c r="F1081" s="5" t="str">
        <f>IFERROR(__xludf.DUMMYFUNCTION("REGEXREPLACE(REGEXEXTRACT(H1081, ""в\)\s*(.*?)\s*г\)""), ""^\s*"", """")"),"Открытие сундука")</f>
        <v>Открытие сундука</v>
      </c>
      <c r="G1081" s="5" t="str">
        <f>IFERROR(__xludf.DUMMYFUNCTION("REGEXREPLACE(REGEXEXTRACT(H1081, ""г\)\s*(.*)""), ""^\s*"", """")"),"Падение на землю")</f>
        <v>Падение на землю</v>
      </c>
      <c r="H1081" s="12" t="s">
        <v>202</v>
      </c>
    </row>
    <row r="1082" ht="15.75" customHeight="1">
      <c r="A1082" s="5" t="str">
        <f>IFERROR(__xludf.DUMMYFUNCTION("REGEXEXTRACT(H1082, ""s*(.*?)\s*а\)"")"),"Выберите в порядке увеличения сопротивляемости к взрыву:")</f>
        <v>Выберите в порядке увеличения сопротивляемости к взрыву:</v>
      </c>
      <c r="B1082" s="15">
        <v>3.0</v>
      </c>
      <c r="D1082" s="5" t="str">
        <f>IFERROR(__xludf.DUMMYFUNCTION("REGEXREPLACE(REGEXEXTRACT(H1082, ""а\)\s*(.*?)\s*б\)""), ""^\s*"", """")"),"Стекло")</f>
        <v>Стекло</v>
      </c>
      <c r="E1082" s="5" t="str">
        <f>IFERROR(__xludf.DUMMYFUNCTION("REGEXREPLACE(REGEXEXTRACT(H1082, ""б\)\s*(.*?)\s*в\)""), ""^\s*"", """")"),"Камень")</f>
        <v>Камень</v>
      </c>
      <c r="F1082" s="5" t="str">
        <f>IFERROR(__xludf.DUMMYFUNCTION("REGEXREPLACE(REGEXEXTRACT(H1082, ""в\)\s*(.*?)\s*г\)""), ""^\s*"", """")"),"Обсидиан")</f>
        <v>Обсидиан</v>
      </c>
      <c r="G1082" s="5" t="str">
        <f>IFERROR(__xludf.DUMMYFUNCTION("REGEXREPLACE(REGEXEXTRACT(H1082, ""г\)\s*(.*)""), ""^\s*"", """")"),"Коренная порода")</f>
        <v>Коренная порода</v>
      </c>
      <c r="H1082" s="12" t="s">
        <v>203</v>
      </c>
    </row>
    <row r="1083" ht="15.75" hidden="1" customHeight="1">
      <c r="A1083" s="5" t="str">
        <f>IFERROR(__xludf.DUMMYFUNCTION("REGEXEXTRACT(H1083, ""s*(.*?)\s*а\)"")"),"#N/A")</f>
        <v>#N/A</v>
      </c>
      <c r="B1083" s="15">
        <v>3.0</v>
      </c>
      <c r="D1083" s="5" t="str">
        <f>IFERROR(__xludf.DUMMYFUNCTION("REGEXREPLACE(REGEXEXTRACT(H1083, ""а\)\s*(.*?)\s*б\)""), ""^\s*"", """")"),"#N/A")</f>
        <v>#N/A</v>
      </c>
      <c r="E1083" s="5" t="str">
        <f>IFERROR(__xludf.DUMMYFUNCTION("REGEXREPLACE(REGEXEXTRACT(H1083, ""б\)\s*(.*?)\s*в\)""), ""^\s*"", """")"),"#N/A")</f>
        <v>#N/A</v>
      </c>
      <c r="F1083" s="5" t="str">
        <f>IFERROR(__xludf.DUMMYFUNCTION("REGEXREPLACE(REGEXEXTRACT(H1083, ""в\)\s*(.*?)\s*г\)""), ""^\s*"", """")"),"#N/A")</f>
        <v>#N/A</v>
      </c>
      <c r="G1083" s="5" t="str">
        <f>IFERROR(__xludf.DUMMYFUNCTION("REGEXREPLACE(REGEXEXTRACT(H1083, ""г\)\s*(.*)""), ""^\s*"", """")"),"#N/A")</f>
        <v>#N/A</v>
      </c>
      <c r="H1083" s="12"/>
    </row>
    <row r="1084" ht="15.75" customHeight="1">
      <c r="A1084" s="5" t="str">
        <f>IFERROR(__xludf.DUMMYFUNCTION("REGEXEXTRACT(H1084, ""s*(.*?)\s*а\)"")"),"Выберите в порядке увеличения голода, восстанавливаемого при поедании:")</f>
        <v>Выберите в порядке увеличения голода, восстанавливаемого при поедании:</v>
      </c>
      <c r="B1084" s="15">
        <v>3.0</v>
      </c>
      <c r="D1084" s="5" t="str">
        <f>IFERROR(__xludf.DUMMYFUNCTION("REGEXREPLACE(REGEXEXTRACT(H1084, ""а\)\s*(.*?)\s*б\)""), ""^\s*"", """")"),"Яблоко")</f>
        <v>Яблоко</v>
      </c>
      <c r="E1084" s="5" t="str">
        <f>IFERROR(__xludf.DUMMYFUNCTION("REGEXREPLACE(REGEXEXTRACT(H1084, ""б\)\s*(.*?)\s*в\)""), ""^\s*"", """")"),"Хлеб")</f>
        <v>Хлеб</v>
      </c>
      <c r="F1084" s="5" t="str">
        <f>IFERROR(__xludf.DUMMYFUNCTION("REGEXREPLACE(REGEXEXTRACT(H1084, ""в\)\s*(.*?)\s*г\)""), ""^\s*"", """")"),"Стейк")</f>
        <v>Стейк</v>
      </c>
      <c r="G1084" s="5" t="str">
        <f>IFERROR(__xludf.DUMMYFUNCTION("REGEXREPLACE(REGEXEXTRACT(H1084, ""г\)\s*(.*)""), ""^\s*"", """")"),"Тушоный кролик")</f>
        <v>Тушоный кролик</v>
      </c>
      <c r="H1084" s="14" t="s">
        <v>204</v>
      </c>
    </row>
    <row r="1085" ht="15.75" hidden="1" customHeight="1">
      <c r="A1085" s="5" t="str">
        <f>IFERROR(__xludf.DUMMYFUNCTION("REGEXEXTRACT(H1085, ""s*(.*?)\s*а\)"")"),"#N/A")</f>
        <v>#N/A</v>
      </c>
      <c r="B1085" s="15">
        <v>3.0</v>
      </c>
      <c r="D1085" s="5" t="str">
        <f>IFERROR(__xludf.DUMMYFUNCTION("REGEXREPLACE(REGEXEXTRACT(H1085, ""а\)\s*(.*?)\s*б\)""), ""^\s*"", """")"),"#N/A")</f>
        <v>#N/A</v>
      </c>
      <c r="E1085" s="5" t="str">
        <f>IFERROR(__xludf.DUMMYFUNCTION("REGEXREPLACE(REGEXEXTRACT(H1085, ""б\)\s*(.*?)\s*в\)""), ""^\s*"", """")"),"#N/A")</f>
        <v>#N/A</v>
      </c>
      <c r="F1085" s="5" t="str">
        <f>IFERROR(__xludf.DUMMYFUNCTION("REGEXREPLACE(REGEXEXTRACT(H1085, ""в\)\s*(.*?)\s*г\)""), ""^\s*"", """")"),"#N/A")</f>
        <v>#N/A</v>
      </c>
      <c r="G1085" s="5" t="str">
        <f>IFERROR(__xludf.DUMMYFUNCTION("REGEXREPLACE(REGEXEXTRACT(H1085, ""г\)\s*(.*)""), ""^\s*"", """")"),"#N/A")</f>
        <v>#N/A</v>
      </c>
      <c r="H1085" s="12"/>
    </row>
    <row r="1086" ht="15.75" hidden="1" customHeight="1">
      <c r="A1086" s="5" t="str">
        <f>IFERROR(__xludf.DUMMYFUNCTION("REGEXEXTRACT(H1086, ""s*(.*?)\s*а\)"")"),"#N/A")</f>
        <v>#N/A</v>
      </c>
      <c r="B1086" s="15">
        <v>3.0</v>
      </c>
      <c r="D1086" s="5" t="str">
        <f>IFERROR(__xludf.DUMMYFUNCTION("REGEXREPLACE(REGEXEXTRACT(H1086, ""а\)\s*(.*?)\s*б\)""), ""^\s*"", """")"),"#N/A")</f>
        <v>#N/A</v>
      </c>
      <c r="E1086" s="5" t="str">
        <f>IFERROR(__xludf.DUMMYFUNCTION("REGEXREPLACE(REGEXEXTRACT(H1086, ""б\)\s*(.*?)\s*в\)""), ""^\s*"", """")"),"#N/A")</f>
        <v>#N/A</v>
      </c>
      <c r="F1086" s="5" t="str">
        <f>IFERROR(__xludf.DUMMYFUNCTION("REGEXREPLACE(REGEXEXTRACT(H1086, ""в\)\s*(.*?)\s*г\)""), ""^\s*"", """")"),"#N/A")</f>
        <v>#N/A</v>
      </c>
      <c r="G1086" s="5" t="str">
        <f>IFERROR(__xludf.DUMMYFUNCTION("REGEXREPLACE(REGEXEXTRACT(H1086, ""г\)\s*(.*)""), ""^\s*"", """")"),"#N/A")</f>
        <v>#N/A</v>
      </c>
      <c r="H1086" s="12"/>
    </row>
    <row r="1087" ht="15.75" hidden="1" customHeight="1">
      <c r="A1087" s="5" t="str">
        <f>IFERROR(__xludf.DUMMYFUNCTION("REGEXEXTRACT(H1087, ""s*(.*?)\s*а\)"")"),"#N/A")</f>
        <v>#N/A</v>
      </c>
      <c r="B1087" s="15">
        <v>3.0</v>
      </c>
      <c r="D1087" s="5" t="str">
        <f>IFERROR(__xludf.DUMMYFUNCTION("REGEXREPLACE(REGEXEXTRACT(H1087, ""а\)\s*(.*?)\s*б\)""), ""^\s*"", """")"),"#N/A")</f>
        <v>#N/A</v>
      </c>
      <c r="E1087" s="5" t="str">
        <f>IFERROR(__xludf.DUMMYFUNCTION("REGEXREPLACE(REGEXEXTRACT(H1087, ""б\)\s*(.*?)\s*в\)""), ""^\s*"", """")"),"#N/A")</f>
        <v>#N/A</v>
      </c>
      <c r="F1087" s="5" t="str">
        <f>IFERROR(__xludf.DUMMYFUNCTION("REGEXREPLACE(REGEXEXTRACT(H1087, ""в\)\s*(.*?)\s*г\)""), ""^\s*"", """")"),"#N/A")</f>
        <v>#N/A</v>
      </c>
      <c r="G1087" s="5" t="str">
        <f>IFERROR(__xludf.DUMMYFUNCTION("REGEXREPLACE(REGEXEXTRACT(H1087, ""г\)\s*(.*)""), ""^\s*"", """")"),"#N/A")</f>
        <v>#N/A</v>
      </c>
      <c r="H1087" s="12"/>
    </row>
    <row r="1088" ht="15.75" customHeight="1">
      <c r="A1088" s="5" t="str">
        <f>IFERROR(__xludf.DUMMYFUNCTION("REGEXEXTRACT(H1088, ""s*(.*?)\s*а\)"")"),"Выберите в порядке увеличения насыщения, восстанавливаемого при поедании:")</f>
        <v>Выберите в порядке увеличения насыщения, восстанавливаемого при поедании:</v>
      </c>
      <c r="B1088" s="15">
        <v>3.0</v>
      </c>
      <c r="D1088" s="5" t="str">
        <f>IFERROR(__xludf.DUMMYFUNCTION("REGEXREPLACE(REGEXEXTRACT(H1088, ""а\)\s*(.*?)\s*б\)""), ""^\s*"", """")"),"Сырая курица")</f>
        <v>Сырая курица</v>
      </c>
      <c r="E1088" s="5" t="str">
        <f>IFERROR(__xludf.DUMMYFUNCTION("REGEXREPLACE(REGEXEXTRACT(H1088, ""б\)\s*(.*?)\s*в\)""), ""^\s*"", """")"),"Печёная картошка")</f>
        <v>Печёная картошка</v>
      </c>
      <c r="F1088" s="5" t="str">
        <f>IFERROR(__xludf.DUMMYFUNCTION("REGEXREPLACE(REGEXEXTRACT(H1088, ""в\)\s*(.*?)\s*г\)""), ""^\s*"", """")"),"Стейк")</f>
        <v>Стейк</v>
      </c>
      <c r="G1088" s="5" t="str">
        <f>IFERROR(__xludf.DUMMYFUNCTION("REGEXREPLACE(REGEXEXTRACT(H1088, ""г\)\s*(.*)""), ""^\s*"", """")"),"Золотая морковь")</f>
        <v>Золотая морковь</v>
      </c>
      <c r="H1088" s="14" t="s">
        <v>205</v>
      </c>
    </row>
    <row r="1089" ht="15.75" customHeight="1">
      <c r="A1089" s="5" t="str">
        <f>IFERROR(__xludf.DUMMYFUNCTION("REGEXEXTRACT(H1089, ""s*(.*?)\s*а\)"")"),"Выберите в порядке увеличения времени, необходимого для выплавки одного предмета в плавильной печи:")</f>
        <v>Выберите в порядке увеличения времени, необходимого для выплавки одного предмета в плавильной печи:</v>
      </c>
      <c r="B1089" s="15">
        <v>3.0</v>
      </c>
      <c r="D1089" s="5" t="str">
        <f>IFERROR(__xludf.DUMMYFUNCTION("REGEXREPLACE(REGEXEXTRACT(H1089, ""а\)\s*(.*?)\s*б\)""), ""^\s*"", """")"),"Табличка")</f>
        <v>Табличка</v>
      </c>
      <c r="E1089" s="5" t="str">
        <f>IFERROR(__xludf.DUMMYFUNCTION("REGEXREPLACE(REGEXEXTRACT(H1089, ""б\)\s*(.*?)\s*в\)""), ""^\s*"", """")"),"Уголь")</f>
        <v>Уголь</v>
      </c>
      <c r="F1089" s="5" t="str">
        <f>IFERROR(__xludf.DUMMYFUNCTION("REGEXREPLACE(REGEXEXTRACT(H1089, ""в\)\s*(.*?)\s*г\)""), ""^\s*"", """")"),"Блок сушоной ламинарии")</f>
        <v>Блок сушоной ламинарии</v>
      </c>
      <c r="G1089" s="5" t="str">
        <f>IFERROR(__xludf.DUMMYFUNCTION("REGEXREPLACE(REGEXEXTRACT(H1089, ""г\)\s*(.*)""), ""^\s*"", """")"),"Ведро лавы")</f>
        <v>Ведро лавы</v>
      </c>
      <c r="H1089" s="14" t="s">
        <v>206</v>
      </c>
    </row>
    <row r="1090" ht="15.75" hidden="1" customHeight="1">
      <c r="A1090" s="5" t="str">
        <f>IFERROR(__xludf.DUMMYFUNCTION("REGEXEXTRACT(H1090, ""s*(.*?)\s*а\)"")"),"#N/A")</f>
        <v>#N/A</v>
      </c>
      <c r="B1090" s="15">
        <v>3.0</v>
      </c>
      <c r="D1090" s="5" t="str">
        <f>IFERROR(__xludf.DUMMYFUNCTION("REGEXREPLACE(REGEXEXTRACT(H1090, ""а\)\s*(.*?)\s*б\)""), ""^\s*"", """")"),"#N/A")</f>
        <v>#N/A</v>
      </c>
      <c r="E1090" s="5" t="str">
        <f>IFERROR(__xludf.DUMMYFUNCTION("REGEXREPLACE(REGEXEXTRACT(H1090, ""б\)\s*(.*?)\s*в\)""), ""^\s*"", """")"),"#N/A")</f>
        <v>#N/A</v>
      </c>
      <c r="F1090" s="5" t="str">
        <f>IFERROR(__xludf.DUMMYFUNCTION("REGEXREPLACE(REGEXEXTRACT(H1090, ""в\)\s*(.*?)\s*г\)""), ""^\s*"", """")"),"#N/A")</f>
        <v>#N/A</v>
      </c>
      <c r="G1090" s="5" t="str">
        <f>IFERROR(__xludf.DUMMYFUNCTION("REGEXREPLACE(REGEXEXTRACT(H1090, ""г\)\s*(.*)""), ""^\s*"", """")"),"#N/A")</f>
        <v>#N/A</v>
      </c>
      <c r="H1090" s="12"/>
    </row>
    <row r="1091" ht="15.75" customHeight="1">
      <c r="A1091" s="5" t="str">
        <f>IFERROR(__xludf.DUMMYFUNCTION("REGEXEXTRACT(H1091, ""s*(.*?)\s*а\)"")"),"Выберите в порядке увеличения частоты спавна моба:")</f>
        <v>Выберите в порядке увеличения частоты спавна моба:</v>
      </c>
      <c r="B1091" s="15">
        <v>3.0</v>
      </c>
      <c r="D1091" s="5" t="str">
        <f>IFERROR(__xludf.DUMMYFUNCTION("REGEXREPLACE(REGEXEXTRACT(H1091, ""а\)\s*(.*?)\s*б\)""), ""^\s*"", """")"),"Курица")</f>
        <v>Курица</v>
      </c>
      <c r="E1091" s="5" t="str">
        <f>IFERROR(__xludf.DUMMYFUNCTION("REGEXREPLACE(REGEXEXTRACT(H1091, ""б\)\s*(.*?)\s*в\)""), ""^\s*"", """")"),"Зомби")</f>
        <v>Зомби</v>
      </c>
      <c r="F1091" s="5" t="str">
        <f>IFERROR(__xludf.DUMMYFUNCTION("REGEXREPLACE(REGEXEXTRACT(H1091, ""в\)\s*(.*?)\s*г\)""), ""^\s*"", """")"),"Эндермен")</f>
        <v>Эндермен</v>
      </c>
      <c r="G1091" s="5" t="str">
        <f>IFERROR(__xludf.DUMMYFUNCTION("REGEXREPLACE(REGEXEXTRACT(H1091, ""г\)\s*(.*)""), ""^\s*"", """")"),"Варден")</f>
        <v>Варден</v>
      </c>
      <c r="H1091" s="14" t="s">
        <v>207</v>
      </c>
    </row>
    <row r="1092" ht="15.75" customHeight="1">
      <c r="A1092" s="5" t="str">
        <f>IFERROR(__xludf.DUMMYFUNCTION("REGEXEXTRACT(H1092, ""s*(.*?)\s*а\)"")"),"Выберите в порядке увеличения времени, которое нужно для прохождения одного блока в плавании:")</f>
        <v>Выберите в порядке увеличения времени, которое нужно для прохождения одного блока в плавании:</v>
      </c>
      <c r="B1092" s="15">
        <v>3.0</v>
      </c>
      <c r="D1092" s="5" t="str">
        <f>IFERROR(__xludf.DUMMYFUNCTION("REGEXREPLACE(REGEXEXTRACT(H1092, ""а\)\s*(.*?)\s*б\)""), ""^\s*"", """")"),"Без эффектов")</f>
        <v>Без эффектов</v>
      </c>
      <c r="E1092" s="5" t="str">
        <f>IFERROR(__xludf.DUMMYFUNCTION("REGEXREPLACE(REGEXEXTRACT(H1092, ""б\)\s*(.*?)\s*в\)""), ""^\s*"", """")"),"Зелье скорости I")</f>
        <v>Зелье скорости I</v>
      </c>
      <c r="F1092" s="5" t="str">
        <f>IFERROR(__xludf.DUMMYFUNCTION("REGEXREPLACE(REGEXEXTRACT(H1092, ""в\)\s*(.*?)\s*г\)""), ""^\s*"", """")"),"Течение дельфина")</f>
        <v>Течение дельфина</v>
      </c>
      <c r="G1092" s="5" t="str">
        <f>IFERROR(__xludf.DUMMYFUNCTION("REGEXREPLACE(REGEXEXTRACT(H1092, ""г\)\s*(.*)""), ""^\s*"", """")"),"Течение дельфина + зелье скорости II")</f>
        <v>Течение дельфина + зелье скорости II</v>
      </c>
      <c r="H1092" s="12" t="s">
        <v>208</v>
      </c>
    </row>
    <row r="1093" ht="15.75" hidden="1" customHeight="1">
      <c r="A1093" s="5" t="str">
        <f>IFERROR(__xludf.DUMMYFUNCTION("REGEXEXTRACT(H1093, ""s*(.*?)\s*а\)"")"),"#N/A")</f>
        <v>#N/A</v>
      </c>
      <c r="B1093" s="15">
        <v>3.0</v>
      </c>
      <c r="D1093" s="5" t="str">
        <f>IFERROR(__xludf.DUMMYFUNCTION("REGEXREPLACE(REGEXEXTRACT(H1093, ""а\)\s*(.*?)\s*б\)""), ""^\s*"", """")"),"#N/A")</f>
        <v>#N/A</v>
      </c>
      <c r="E1093" s="5" t="str">
        <f>IFERROR(__xludf.DUMMYFUNCTION("REGEXREPLACE(REGEXEXTRACT(H1093, ""б\)\s*(.*?)\s*в\)""), ""^\s*"", """")"),"#N/A")</f>
        <v>#N/A</v>
      </c>
      <c r="F1093" s="5" t="str">
        <f>IFERROR(__xludf.DUMMYFUNCTION("REGEXREPLACE(REGEXEXTRACT(H1093, ""в\)\s*(.*?)\s*г\)""), ""^\s*"", """")"),"#N/A")</f>
        <v>#N/A</v>
      </c>
      <c r="G1093" s="5" t="str">
        <f>IFERROR(__xludf.DUMMYFUNCTION("REGEXREPLACE(REGEXEXTRACT(H1093, ""г\)\s*(.*)""), ""^\s*"", """")"),"#N/A")</f>
        <v>#N/A</v>
      </c>
      <c r="H1093" s="12"/>
    </row>
    <row r="1094" ht="15.75" customHeight="1">
      <c r="A1094" s="5" t="str">
        <f>IFERROR(__xludf.DUMMYFUNCTION("REGEXEXTRACT(H1094, ""s*(.*?)\s*а\)"")"),"Выберите в порядке увеличения длительности нахождения под водой без ущерба:")</f>
        <v>Выберите в порядке увеличения длительности нахождения под водой без ущерба:</v>
      </c>
      <c r="B1094" s="15">
        <v>3.0</v>
      </c>
      <c r="D1094" s="5" t="str">
        <f>IFERROR(__xludf.DUMMYFUNCTION("REGEXREPLACE(REGEXEXTRACT(H1094, ""а\)\s*(.*?)\s*б\)""), ""^\s*"", """")"),"Без всего")</f>
        <v>Без всего</v>
      </c>
      <c r="E1094" s="5" t="str">
        <f>IFERROR(__xludf.DUMMYFUNCTION("REGEXREPLACE(REGEXEXTRACT(H1094, ""б\)\s*(.*?)\s*в\)""), ""^\s*"", """")"),"С зачарованным шлемом “Дыхание I”")</f>
        <v>С зачарованным шлемом “Дыхание I”</v>
      </c>
      <c r="F1094" s="5" t="str">
        <f>IFERROR(__xludf.DUMMYFUNCTION("REGEXREPLACE(REGEXEXTRACT(H1094, ""в\)\s*(.*?)\s*г\)""), ""^\s*"", """")"),"С зельем дыхания")</f>
        <v>С зельем дыхания</v>
      </c>
      <c r="G1094" s="5" t="str">
        <f>IFERROR(__xludf.DUMMYFUNCTION("REGEXREPLACE(REGEXEXTRACT(H1094, ""г\)\s*(.*)""), ""^\s*"", """")"),"С раковиной наутилуса")</f>
        <v>С раковиной наутилуса</v>
      </c>
      <c r="H1094" s="14" t="s">
        <v>209</v>
      </c>
    </row>
    <row r="1095" ht="15.75" hidden="1" customHeight="1">
      <c r="A1095" s="5" t="str">
        <f>IFERROR(__xludf.DUMMYFUNCTION("REGEXEXTRACT(H1095, ""s*(.*?)\s*а\)"")"),"#N/A")</f>
        <v>#N/A</v>
      </c>
      <c r="B1095" s="15">
        <v>3.0</v>
      </c>
      <c r="D1095" s="5" t="str">
        <f>IFERROR(__xludf.DUMMYFUNCTION("REGEXREPLACE(REGEXEXTRACT(H1095, ""а\)\s*(.*?)\s*б\)""), ""^\s*"", """")"),"#N/A")</f>
        <v>#N/A</v>
      </c>
      <c r="E1095" s="5" t="str">
        <f>IFERROR(__xludf.DUMMYFUNCTION("REGEXREPLACE(REGEXEXTRACT(H1095, ""б\)\s*(.*?)\s*в\)""), ""^\s*"", """")"),"#N/A")</f>
        <v>#N/A</v>
      </c>
      <c r="F1095" s="5" t="str">
        <f>IFERROR(__xludf.DUMMYFUNCTION("REGEXREPLACE(REGEXEXTRACT(H1095, ""в\)\s*(.*?)\s*г\)""), ""^\s*"", """")"),"#N/A")</f>
        <v>#N/A</v>
      </c>
      <c r="G1095" s="5" t="str">
        <f>IFERROR(__xludf.DUMMYFUNCTION("REGEXREPLACE(REGEXEXTRACT(H1095, ""г\)\s*(.*)""), ""^\s*"", """")"),"#N/A")</f>
        <v>#N/A</v>
      </c>
      <c r="H1095" s="12"/>
    </row>
    <row r="1096" ht="15.75" customHeight="1">
      <c r="A1096" s="5" t="str">
        <f>IFERROR(__xludf.DUMMYFUNCTION("REGEXEXTRACT(H1096, ""s*(.*?)\s*а\)"")"),"Выберите в порядке увеличения редкости нахождения структуры:")</f>
        <v>Выберите в порядке увеличения редкости нахождения структуры:</v>
      </c>
      <c r="B1096" s="15">
        <v>3.0</v>
      </c>
      <c r="D1096" s="5" t="str">
        <f>IFERROR(__xludf.DUMMYFUNCTION("REGEXREPLACE(REGEXEXTRACT(H1096, ""а\)\s*(.*?)\s*б\)""), ""^\s*"", """")"),"Деревня")</f>
        <v>Деревня</v>
      </c>
      <c r="E1096" s="5" t="str">
        <f>IFERROR(__xludf.DUMMYFUNCTION("REGEXREPLACE(REGEXEXTRACT(H1096, ""б\)\s*(.*?)\s*в\)""), ""^\s*"", """")"),"Заброшенная шахта")</f>
        <v>Заброшенная шахта</v>
      </c>
      <c r="F1096" s="5" t="str">
        <f>IFERROR(__xludf.DUMMYFUNCTION("REGEXREPLACE(REGEXEXTRACT(H1096, ""в\)\s*(.*?)\s*г\)""), ""^\s*"", """")"),"Крепость")</f>
        <v>Крепость</v>
      </c>
      <c r="G1096" s="5" t="str">
        <f>IFERROR(__xludf.DUMMYFUNCTION("REGEXREPLACE(REGEXEXTRACT(H1096, ""г\)\s*(.*)""), ""^\s*"", """")"),"Подводный монумент")</f>
        <v>Подводный монумент</v>
      </c>
      <c r="H1096" s="12" t="s">
        <v>210</v>
      </c>
    </row>
    <row r="1097" ht="15.75" hidden="1" customHeight="1">
      <c r="A1097" s="5" t="str">
        <f>IFERROR(__xludf.DUMMYFUNCTION("REGEXEXTRACT(H1097, ""s*(.*?)\s*а\)"")"),"#N/A")</f>
        <v>#N/A</v>
      </c>
      <c r="B1097" s="15">
        <v>3.0</v>
      </c>
      <c r="D1097" s="5" t="str">
        <f>IFERROR(__xludf.DUMMYFUNCTION("REGEXREPLACE(REGEXEXTRACT(H1097, ""а\)\s*(.*?)\s*б\)""), ""^\s*"", """")"),"#N/A")</f>
        <v>#N/A</v>
      </c>
      <c r="E1097" s="5" t="str">
        <f>IFERROR(__xludf.DUMMYFUNCTION("REGEXREPLACE(REGEXEXTRACT(H1097, ""б\)\s*(.*?)\s*в\)""), ""^\s*"", """")"),"#N/A")</f>
        <v>#N/A</v>
      </c>
      <c r="F1097" s="5" t="str">
        <f>IFERROR(__xludf.DUMMYFUNCTION("REGEXREPLACE(REGEXEXTRACT(H1097, ""в\)\s*(.*?)\s*г\)""), ""^\s*"", """")"),"#N/A")</f>
        <v>#N/A</v>
      </c>
      <c r="G1097" s="5" t="str">
        <f>IFERROR(__xludf.DUMMYFUNCTION("REGEXREPLACE(REGEXEXTRACT(H1097, ""г\)\s*(.*)""), ""^\s*"", """")"),"#N/A")</f>
        <v>#N/A</v>
      </c>
      <c r="H1097" s="12"/>
    </row>
    <row r="1098" ht="15.75" hidden="1" customHeight="1">
      <c r="A1098" s="5" t="str">
        <f>IFERROR(__xludf.DUMMYFUNCTION("REGEXEXTRACT(H1098, ""s*(.*?)\s*а\)"")"),"#N/A")</f>
        <v>#N/A</v>
      </c>
      <c r="B1098" s="15">
        <v>3.0</v>
      </c>
      <c r="D1098" s="5" t="str">
        <f>IFERROR(__xludf.DUMMYFUNCTION("REGEXREPLACE(REGEXEXTRACT(H1098, ""а\)\s*(.*?)\s*б\)""), ""^\s*"", """")"),"#N/A")</f>
        <v>#N/A</v>
      </c>
      <c r="E1098" s="5" t="str">
        <f>IFERROR(__xludf.DUMMYFUNCTION("REGEXREPLACE(REGEXEXTRACT(H1098, ""б\)\s*(.*?)\s*в\)""), ""^\s*"", """")"),"#N/A")</f>
        <v>#N/A</v>
      </c>
      <c r="F1098" s="5" t="str">
        <f>IFERROR(__xludf.DUMMYFUNCTION("REGEXREPLACE(REGEXEXTRACT(H1098, ""в\)\s*(.*?)\s*г\)""), ""^\s*"", """")"),"#N/A")</f>
        <v>#N/A</v>
      </c>
      <c r="G1098" s="5" t="str">
        <f>IFERROR(__xludf.DUMMYFUNCTION("REGEXREPLACE(REGEXEXTRACT(H1098, ""г\)\s*(.*)""), ""^\s*"", """")"),"#N/A")</f>
        <v>#N/A</v>
      </c>
      <c r="H1098" s="12"/>
    </row>
    <row r="1099" ht="15.75" hidden="1" customHeight="1">
      <c r="A1099" s="5" t="str">
        <f>IFERROR(__xludf.DUMMYFUNCTION("REGEXEXTRACT(H1099, ""s*(.*?)\s*а\)"")"),"#N/A")</f>
        <v>#N/A</v>
      </c>
      <c r="B1099" s="15">
        <v>3.0</v>
      </c>
      <c r="D1099" s="5" t="str">
        <f>IFERROR(__xludf.DUMMYFUNCTION("REGEXREPLACE(REGEXEXTRACT(H1099, ""а\)\s*(.*?)\s*б\)""), ""^\s*"", """")"),"#N/A")</f>
        <v>#N/A</v>
      </c>
      <c r="E1099" s="5" t="str">
        <f>IFERROR(__xludf.DUMMYFUNCTION("REGEXREPLACE(REGEXEXTRACT(H1099, ""б\)\s*(.*?)\s*в\)""), ""^\s*"", """")"),"#N/A")</f>
        <v>#N/A</v>
      </c>
      <c r="F1099" s="5" t="str">
        <f>IFERROR(__xludf.DUMMYFUNCTION("REGEXREPLACE(REGEXEXTRACT(H1099, ""в\)\s*(.*?)\s*г\)""), ""^\s*"", """")"),"#N/A")</f>
        <v>#N/A</v>
      </c>
      <c r="G1099" s="5" t="str">
        <f>IFERROR(__xludf.DUMMYFUNCTION("REGEXREPLACE(REGEXEXTRACT(H1099, ""г\)\s*(.*)""), ""^\s*"", """")"),"#N/A")</f>
        <v>#N/A</v>
      </c>
      <c r="H1099" s="12"/>
    </row>
    <row r="1100" ht="15.75" hidden="1" customHeight="1">
      <c r="A1100" s="5" t="str">
        <f>IFERROR(__xludf.DUMMYFUNCTION("REGEXEXTRACT(H1100, ""s*(.*?)\s*а\)"")"),"#N/A")</f>
        <v>#N/A</v>
      </c>
      <c r="B1100" s="15">
        <v>3.0</v>
      </c>
      <c r="D1100" s="5" t="str">
        <f>IFERROR(__xludf.DUMMYFUNCTION("REGEXREPLACE(REGEXEXTRACT(H1100, ""а\)\s*(.*?)\s*б\)""), ""^\s*"", """")"),"#N/A")</f>
        <v>#N/A</v>
      </c>
      <c r="E1100" s="5" t="str">
        <f>IFERROR(__xludf.DUMMYFUNCTION("REGEXREPLACE(REGEXEXTRACT(H1100, ""б\)\s*(.*?)\s*в\)""), ""^\s*"", """")"),"#N/A")</f>
        <v>#N/A</v>
      </c>
      <c r="F1100" s="5" t="str">
        <f>IFERROR(__xludf.DUMMYFUNCTION("REGEXREPLACE(REGEXEXTRACT(H1100, ""в\)\s*(.*?)\s*г\)""), ""^\s*"", """")"),"#N/A")</f>
        <v>#N/A</v>
      </c>
      <c r="G1100" s="5" t="str">
        <f>IFERROR(__xludf.DUMMYFUNCTION("REGEXREPLACE(REGEXEXTRACT(H1100, ""г\)\s*(.*)""), ""^\s*"", """")"),"#N/A")</f>
        <v>#N/A</v>
      </c>
      <c r="H1100" s="12"/>
    </row>
    <row r="1101" ht="15.75" hidden="1" customHeight="1">
      <c r="A1101" s="5" t="str">
        <f>IFERROR(__xludf.DUMMYFUNCTION("REGEXEXTRACT(H1101, ""s*(.*?)\s*а\)"")"),"#N/A")</f>
        <v>#N/A</v>
      </c>
      <c r="B1101" s="15">
        <v>3.0</v>
      </c>
      <c r="D1101" s="5" t="str">
        <f>IFERROR(__xludf.DUMMYFUNCTION("REGEXREPLACE(REGEXEXTRACT(H1101, ""а\)\s*(.*?)\s*б\)""), ""^\s*"", """")"),"#N/A")</f>
        <v>#N/A</v>
      </c>
      <c r="E1101" s="5" t="str">
        <f>IFERROR(__xludf.DUMMYFUNCTION("REGEXREPLACE(REGEXEXTRACT(H1101, ""б\)\s*(.*?)\s*в\)""), ""^\s*"", """")"),"#N/A")</f>
        <v>#N/A</v>
      </c>
      <c r="F1101" s="5" t="str">
        <f>IFERROR(__xludf.DUMMYFUNCTION("REGEXREPLACE(REGEXEXTRACT(H1101, ""в\)\s*(.*?)\s*г\)""), ""^\s*"", """")"),"#N/A")</f>
        <v>#N/A</v>
      </c>
      <c r="G1101" s="5" t="str">
        <f>IFERROR(__xludf.DUMMYFUNCTION("REGEXREPLACE(REGEXEXTRACT(H1101, ""г\)\s*(.*)""), ""^\s*"", """")"),"#N/A")</f>
        <v>#N/A</v>
      </c>
      <c r="H1101" s="12"/>
    </row>
    <row r="1102" ht="15.75" customHeight="1">
      <c r="A1102" s="5" t="str">
        <f>IFERROR(__xludf.DUMMYFUNCTION("REGEXEXTRACT(H1102, ""s*(.*?)\s*а\)"")"),"Выберите в порядке увеличения дальности полёта стрелы:")</f>
        <v>Выберите в порядке увеличения дальности полёта стрелы:</v>
      </c>
      <c r="B1102" s="15">
        <v>3.0</v>
      </c>
      <c r="D1102" s="5" t="str">
        <f>IFERROR(__xludf.DUMMYFUNCTION("REGEXREPLACE(REGEXEXTRACT(H1102, ""а\)\s*(.*?)\s*б\)""), ""^\s*"", """")"),"Обычный лук")</f>
        <v>Обычный лук</v>
      </c>
      <c r="E1102" s="5" t="str">
        <f>IFERROR(__xludf.DUMMYFUNCTION("REGEXREPLACE(REGEXEXTRACT(H1102, ""б\)\s*(.*?)\s*в\)""), ""^\s*"", """")"),"Лук + сила I")</f>
        <v>Лук + сила I</v>
      </c>
      <c r="F1102" s="5" t="str">
        <f>IFERROR(__xludf.DUMMYFUNCTION("REGEXREPLACE(REGEXEXTRACT(H1102, ""в\)\s*(.*?)\s*г\)""), ""^\s*"", """")"),"Арбалет")</f>
        <v>Арбалет</v>
      </c>
      <c r="G1102" s="5" t="str">
        <f>IFERROR(__xludf.DUMMYFUNCTION("REGEXREPLACE(REGEXEXTRACT(H1102, ""г\)\s*(.*)""), ""^\s*"", """")"),"Арбалет + фейерверк")</f>
        <v>Арбалет + фейерверк</v>
      </c>
      <c r="H1102" s="12" t="s">
        <v>211</v>
      </c>
    </row>
    <row r="1103" ht="15.75" customHeight="1">
      <c r="A1103" s="5" t="str">
        <f>IFERROR(__xludf.DUMMYFUNCTION("REGEXEXTRACT(H1103, ""s*(.*?)\s*а\)"")"),"Выберите в порядке увеличения необходимого времени для приготовления пищи на костре:")</f>
        <v>Выберите в порядке увеличения необходимого времени для приготовления пищи на костре:</v>
      </c>
      <c r="B1103" s="15">
        <v>3.0</v>
      </c>
      <c r="D1103" s="5" t="str">
        <f>IFERROR(__xludf.DUMMYFUNCTION("REGEXREPLACE(REGEXEXTRACT(H1103, ""а\)\s*(.*?)\s*б\)""), ""^\s*"", """")"),"Курица")</f>
        <v>Курица</v>
      </c>
      <c r="E1103" s="5" t="str">
        <f>IFERROR(__xludf.DUMMYFUNCTION("REGEXREPLACE(REGEXEXTRACT(H1103, ""б\)\s*(.*?)\s*в\)""), ""^\s*"", """")"),"Свинина")</f>
        <v>Свинина</v>
      </c>
      <c r="F1103" s="5" t="str">
        <f>IFERROR(__xludf.DUMMYFUNCTION("REGEXREPLACE(REGEXEXTRACT(H1103, ""в\)\s*(.*?)\s*г\)""), ""^\s*"", """")"),"Баранина")</f>
        <v>Баранина</v>
      </c>
      <c r="G1103" s="5" t="str">
        <f>IFERROR(__xludf.DUMMYFUNCTION("REGEXREPLACE(REGEXEXTRACT(H1103, ""г\)\s*(.*)""), ""^\s*"", """")"),"Крольчатина")</f>
        <v>Крольчатина</v>
      </c>
      <c r="H1103" s="12" t="s">
        <v>212</v>
      </c>
    </row>
    <row r="1104" ht="15.75" hidden="1" customHeight="1">
      <c r="A1104" s="5" t="str">
        <f>IFERROR(__xludf.DUMMYFUNCTION("REGEXEXTRACT(H1104, ""s*(.*?)\s*а\)"")"),"#N/A")</f>
        <v>#N/A</v>
      </c>
      <c r="B1104" s="15">
        <v>3.0</v>
      </c>
      <c r="D1104" s="5" t="str">
        <f>IFERROR(__xludf.DUMMYFUNCTION("REGEXREPLACE(REGEXEXTRACT(H1104, ""а\)\s*(.*?)\s*б\)""), ""^\s*"", """")"),"#N/A")</f>
        <v>#N/A</v>
      </c>
      <c r="E1104" s="5" t="str">
        <f>IFERROR(__xludf.DUMMYFUNCTION("REGEXREPLACE(REGEXEXTRACT(H1104, ""б\)\s*(.*?)\s*в\)""), ""^\s*"", """")"),"#N/A")</f>
        <v>#N/A</v>
      </c>
      <c r="F1104" s="5" t="str">
        <f>IFERROR(__xludf.DUMMYFUNCTION("REGEXREPLACE(REGEXEXTRACT(H1104, ""в\)\s*(.*?)\s*г\)""), ""^\s*"", """")"),"#N/A")</f>
        <v>#N/A</v>
      </c>
      <c r="G1104" s="5" t="str">
        <f>IFERROR(__xludf.DUMMYFUNCTION("REGEXREPLACE(REGEXEXTRACT(H1104, ""г\)\s*(.*)""), ""^\s*"", """")"),"#N/A")</f>
        <v>#N/A</v>
      </c>
      <c r="H1104" s="12"/>
    </row>
    <row r="1105" ht="15.75" customHeight="1">
      <c r="A1105" s="5" t="str">
        <f>IFERROR(__xludf.DUMMYFUNCTION("REGEXEXTRACT(H1105, ""s*(.*?)\s*а\)"")"),"Выберите в порядке увеличения скорости передвижения по льду:")</f>
        <v>Выберите в порядке увеличения скорости передвижения по льду:</v>
      </c>
      <c r="B1105" s="15">
        <v>3.0</v>
      </c>
      <c r="D1105" s="5" t="str">
        <f>IFERROR(__xludf.DUMMYFUNCTION("REGEXREPLACE(REGEXEXTRACT(H1105, ""а\)\s*(.*?)\s*б\)""), ""^\s*"", """")"),"Без ботинок")</f>
        <v>Без ботинок</v>
      </c>
      <c r="E1105" s="5" t="str">
        <f>IFERROR(__xludf.DUMMYFUNCTION("REGEXREPLACE(REGEXEXTRACT(H1105, ""б\)\s*(.*?)\s*в\)""), ""^\s*"", """")"),"Обычные ботинки")</f>
        <v>Обычные ботинки</v>
      </c>
      <c r="F1105" s="5" t="str">
        <f>IFERROR(__xludf.DUMMYFUNCTION("REGEXREPLACE(REGEXEXTRACT(H1105, ""в\)\s*(.*?)\s*г\)""), ""^\s*"", """")"),"Ботинки с “Ледоходом I”")</f>
        <v>Ботинки с “Ледоходом I”</v>
      </c>
      <c r="G1105" s="5" t="str">
        <f>IFERROR(__xludf.DUMMYFUNCTION("REGEXREPLACE(REGEXEXTRACT(H1105, ""г\)\s*(.*)""), ""^\s*"", """")"),"Ботинки с “Ледоходом II”")</f>
        <v>Ботинки с “Ледоходом II”</v>
      </c>
      <c r="H1105" s="12" t="s">
        <v>213</v>
      </c>
    </row>
    <row r="1106" ht="15.75" customHeight="1">
      <c r="A1106" s="5" t="str">
        <f>IFERROR(__xludf.DUMMYFUNCTION("REGEXEXTRACT(H1106, ""s*(.*?)\s*а\)"")"),"Выберите в порядке увеличения количества дней, необходимых для созревания урожая:")</f>
        <v>Выберите в порядке увеличения количества дней, необходимых для созревания урожая:</v>
      </c>
      <c r="B1106" s="15">
        <v>3.0</v>
      </c>
      <c r="D1106" s="5" t="str">
        <f>IFERROR(__xludf.DUMMYFUNCTION("REGEXREPLACE(REGEXEXTRACT(H1106, ""а\)\s*(.*?)\s*б\)""), ""^\s*"", """")"),"Пшеница")</f>
        <v>Пшеница</v>
      </c>
      <c r="E1106" s="5" t="str">
        <f>IFERROR(__xludf.DUMMYFUNCTION("REGEXREPLACE(REGEXEXTRACT(H1106, ""б\)\s*(.*?)\s*в\)""), ""^\s*"", """")"),"Морковь")</f>
        <v>Морковь</v>
      </c>
      <c r="F1106" s="5" t="str">
        <f>IFERROR(__xludf.DUMMYFUNCTION("REGEXREPLACE(REGEXEXTRACT(H1106, ""в\)\s*(.*?)\s*г\)""), ""^\s*"", """")"),"Тыква")</f>
        <v>Тыква</v>
      </c>
      <c r="G1106" s="5" t="str">
        <f>IFERROR(__xludf.DUMMYFUNCTION("REGEXREPLACE(REGEXEXTRACT(H1106, ""г\)\s*(.*)""), ""^\s*"", """")"),"Арбуз")</f>
        <v>Арбуз</v>
      </c>
      <c r="H1106" s="12" t="s">
        <v>214</v>
      </c>
    </row>
    <row r="1107" ht="15.75" hidden="1" customHeight="1">
      <c r="A1107" s="5" t="str">
        <f>IFERROR(__xludf.DUMMYFUNCTION("REGEXEXTRACT(H1107, ""s*(.*?)\s*а\)"")"),"#N/A")</f>
        <v>#N/A</v>
      </c>
      <c r="B1107" s="15">
        <v>3.0</v>
      </c>
      <c r="D1107" s="5" t="str">
        <f>IFERROR(__xludf.DUMMYFUNCTION("REGEXREPLACE(REGEXEXTRACT(H1107, ""а\)\s*(.*?)\s*б\)""), ""^\s*"", """")"),"#N/A")</f>
        <v>#N/A</v>
      </c>
      <c r="E1107" s="5" t="str">
        <f>IFERROR(__xludf.DUMMYFUNCTION("REGEXREPLACE(REGEXEXTRACT(H1107, ""б\)\s*(.*?)\s*в\)""), ""^\s*"", """")"),"#N/A")</f>
        <v>#N/A</v>
      </c>
      <c r="F1107" s="5" t="str">
        <f>IFERROR(__xludf.DUMMYFUNCTION("REGEXREPLACE(REGEXEXTRACT(H1107, ""в\)\s*(.*?)\s*г\)""), ""^\s*"", """")"),"#N/A")</f>
        <v>#N/A</v>
      </c>
      <c r="G1107" s="5" t="str">
        <f>IFERROR(__xludf.DUMMYFUNCTION("REGEXREPLACE(REGEXEXTRACT(H1107, ""г\)\s*(.*)""), ""^\s*"", """")"),"#N/A")</f>
        <v>#N/A</v>
      </c>
      <c r="H1107" s="12"/>
    </row>
    <row r="1108" ht="15.75" hidden="1" customHeight="1">
      <c r="A1108" s="5" t="str">
        <f>IFERROR(__xludf.DUMMYFUNCTION("REGEXEXTRACT(H1108, ""s*(.*?)\s*а\)"")"),"#N/A")</f>
        <v>#N/A</v>
      </c>
      <c r="B1108" s="15">
        <v>3.0</v>
      </c>
      <c r="D1108" s="5" t="str">
        <f>IFERROR(__xludf.DUMMYFUNCTION("REGEXREPLACE(REGEXEXTRACT(H1108, ""а\)\s*(.*?)\s*б\)""), ""^\s*"", """")"),"#N/A")</f>
        <v>#N/A</v>
      </c>
      <c r="E1108" s="5" t="str">
        <f>IFERROR(__xludf.DUMMYFUNCTION("REGEXREPLACE(REGEXEXTRACT(H1108, ""б\)\s*(.*?)\s*в\)""), ""^\s*"", """")"),"#N/A")</f>
        <v>#N/A</v>
      </c>
      <c r="F1108" s="5" t="str">
        <f>IFERROR(__xludf.DUMMYFUNCTION("REGEXREPLACE(REGEXEXTRACT(H1108, ""в\)\s*(.*?)\s*г\)""), ""^\s*"", """")"),"#N/A")</f>
        <v>#N/A</v>
      </c>
      <c r="G1108" s="5" t="str">
        <f>IFERROR(__xludf.DUMMYFUNCTION("REGEXREPLACE(REGEXEXTRACT(H1108, ""г\)\s*(.*)""), ""^\s*"", """")"),"#N/A")</f>
        <v>#N/A</v>
      </c>
      <c r="H1108" s="12"/>
    </row>
    <row r="1109" ht="15.75" hidden="1" customHeight="1">
      <c r="A1109" s="5" t="str">
        <f>IFERROR(__xludf.DUMMYFUNCTION("REGEXEXTRACT(H1109, ""s*(.*?)\s*а\)"")"),"#N/A")</f>
        <v>#N/A</v>
      </c>
      <c r="B1109" s="15">
        <v>3.0</v>
      </c>
      <c r="D1109" s="5" t="str">
        <f>IFERROR(__xludf.DUMMYFUNCTION("REGEXREPLACE(REGEXEXTRACT(H1109, ""а\)\s*(.*?)\s*б\)""), ""^\s*"", """")"),"#N/A")</f>
        <v>#N/A</v>
      </c>
      <c r="E1109" s="5" t="str">
        <f>IFERROR(__xludf.DUMMYFUNCTION("REGEXREPLACE(REGEXEXTRACT(H1109, ""б\)\s*(.*?)\s*в\)""), ""^\s*"", """")"),"#N/A")</f>
        <v>#N/A</v>
      </c>
      <c r="F1109" s="5" t="str">
        <f>IFERROR(__xludf.DUMMYFUNCTION("REGEXREPLACE(REGEXEXTRACT(H1109, ""в\)\s*(.*?)\s*г\)""), ""^\s*"", """")"),"#N/A")</f>
        <v>#N/A</v>
      </c>
      <c r="G1109" s="5" t="str">
        <f>IFERROR(__xludf.DUMMYFUNCTION("REGEXREPLACE(REGEXEXTRACT(H1109, ""г\)\s*(.*)""), ""^\s*"", """")"),"#N/A")</f>
        <v>#N/A</v>
      </c>
      <c r="H1109" s="12"/>
    </row>
    <row r="1110" ht="15.75" customHeight="1">
      <c r="A1110" s="5" t="str">
        <f>IFERROR(__xludf.DUMMYFUNCTION("REGEXEXTRACT(H1110, ""s*(.*?)\s*а\)"")"),"Выберите в порядке увеличения количества лута в сундуках:")</f>
        <v>Выберите в порядке увеличения количества лута в сундуках:</v>
      </c>
      <c r="B1110" s="15">
        <v>3.0</v>
      </c>
      <c r="D1110" s="5" t="str">
        <f>IFERROR(__xludf.DUMMYFUNCTION("REGEXREPLACE(REGEXEXTRACT(H1110, ""а\)\s*(.*?)\s*б\)""), ""^\s*"", """")"),"В деревне")</f>
        <v>В деревне</v>
      </c>
      <c r="E1110" s="5" t="str">
        <f>IFERROR(__xludf.DUMMYFUNCTION("REGEXREPLACE(REGEXEXTRACT(H1110, ""б\)\s*(.*?)\s*в\)""), ""^\s*"", """")"),"В заброшенной шахте")</f>
        <v>В заброшенной шахте</v>
      </c>
      <c r="F1110" s="5" t="str">
        <f>IFERROR(__xludf.DUMMYFUNCTION("REGEXREPLACE(REGEXEXTRACT(H1110, ""в\)\s*(.*?)\s*г\)""), ""^\s*"", """")"),"В крепости")</f>
        <v>В крепости</v>
      </c>
      <c r="G1110" s="5" t="str">
        <f>IFERROR(__xludf.DUMMYFUNCTION("REGEXREPLACE(REGEXEXTRACT(H1110, ""г\)\s*(.*)""), ""^\s*"", """")"),"В сокровищнице Древнего города")</f>
        <v>В сокровищнице Древнего города</v>
      </c>
      <c r="H1110" s="12" t="s">
        <v>215</v>
      </c>
    </row>
    <row r="1111" ht="15.75" hidden="1" customHeight="1">
      <c r="A1111" s="5" t="str">
        <f>IFERROR(__xludf.DUMMYFUNCTION("REGEXEXTRACT(H1111, ""s*(.*?)\s*а\)"")"),"#N/A")</f>
        <v>#N/A</v>
      </c>
      <c r="B1111" s="15">
        <v>3.0</v>
      </c>
      <c r="D1111" s="5" t="str">
        <f>IFERROR(__xludf.DUMMYFUNCTION("REGEXREPLACE(REGEXEXTRACT(H1111, ""а\)\s*(.*?)\s*б\)""), ""^\s*"", """")"),"#N/A")</f>
        <v>#N/A</v>
      </c>
      <c r="E1111" s="5" t="str">
        <f>IFERROR(__xludf.DUMMYFUNCTION("REGEXREPLACE(REGEXEXTRACT(H1111, ""б\)\s*(.*?)\s*в\)""), ""^\s*"", """")"),"#N/A")</f>
        <v>#N/A</v>
      </c>
      <c r="F1111" s="5" t="str">
        <f>IFERROR(__xludf.DUMMYFUNCTION("REGEXREPLACE(REGEXEXTRACT(H1111, ""в\)\s*(.*?)\s*г\)""), ""^\s*"", """")"),"#N/A")</f>
        <v>#N/A</v>
      </c>
      <c r="G1111" s="5" t="str">
        <f>IFERROR(__xludf.DUMMYFUNCTION("REGEXREPLACE(REGEXEXTRACT(H1111, ""г\)\s*(.*)""), ""^\s*"", """")"),"#N/A")</f>
        <v>#N/A</v>
      </c>
      <c r="H1111" s="12"/>
    </row>
    <row r="1112" ht="15.75" customHeight="1">
      <c r="A1112" s="5" t="str">
        <f>IFERROR(__xludf.DUMMYFUNCTION("REGEXEXTRACT(H1112, ""s*(.*?)\s*а\)"")"),"Выберите в порядке увеличения прочности построек из блоков:")</f>
        <v>Выберите в порядке увеличения прочности построек из блоков:</v>
      </c>
      <c r="B1112" s="15">
        <v>3.0</v>
      </c>
      <c r="D1112" s="5" t="str">
        <f>IFERROR(__xludf.DUMMYFUNCTION("REGEXREPLACE(REGEXEXTRACT(H1112, ""а\)\s*(.*?)\s*б\)""), ""^\s*"", """")"),"Земляная хижина")</f>
        <v>Земляная хижина</v>
      </c>
      <c r="E1112" s="5" t="str">
        <f>IFERROR(__xludf.DUMMYFUNCTION("REGEXREPLACE(REGEXEXTRACT(H1112, ""б\)\s*(.*?)\s*в\)""), ""^\s*"", """")"),"Деревянный дом")</f>
        <v>Деревянный дом</v>
      </c>
      <c r="F1112" s="5" t="str">
        <f>IFERROR(__xludf.DUMMYFUNCTION("REGEXREPLACE(REGEXEXTRACT(H1112, ""в\)\s*(.*?)\s*г\)""), ""^\s*"", """")"),"Каменный замок")</f>
        <v>Каменный замок</v>
      </c>
      <c r="G1112" s="5" t="str">
        <f>IFERROR(__xludf.DUMMYFUNCTION("REGEXREPLACE(REGEXEXTRACT(H1112, ""г\)\s*(.*)""), ""^\s*"", """")"),"Бункер из обсидиана")</f>
        <v>Бункер из обсидиана</v>
      </c>
      <c r="H1112" s="12" t="s">
        <v>216</v>
      </c>
    </row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</sheetData>
  <autoFilter ref="$H$1:$H$1112">
    <filterColumn colId="0">
      <filters>
        <filter val="90. В каком обновлении были добавлены пещеры и скалы? а) 1.18 б) 1.17 в) 1.19 г) 1.16"/>
        <filter val="Кто это?  а) Черепаха б) Тортилла в) Медленная г) Морская"/>
        <filter val="Какой моб спаунится только в темноте? а) Зомби б) Овца в) Курица г) Свинья"/>
        <filter val="Какой моб является боссом в измерении “Край”? а) Эндер-дракон б) Иссушитель в) Страж г) Гаст"/>
        <filter val="Выберите в порядке увеличения скорости передвижения по льду:  а) Без ботинок б) Обычные ботинки в) Ботинки с “Ледоходом I” г) Ботинки с “Ледоходом II”"/>
        <filter val="Кто это?  а) Стражник б) Житель-охранник в) Деревенский воин г) Вооруженный крестьянин"/>
        <filter val="Кто это?  а) Попугай б) Говорун в) Пернатый г) Пиратский"/>
        <filter val="7. Какой моб плавает в воде и может атаковать игрока? а) Утопленник б) Овца в) Свинья г) Корова"/>
        <filter val="100. Как называется предмет, позволяющий убирать зачарования с предметов? а) Жернов б) Верстак в) Печь г) Сундук"/>
        <filter val="Выберите в порядке увеличения прочности инструментов:  а) Золотая кирка б) Деревянная лопата в) Каменная мотыга г) Железный топор"/>
        <filter val="97. Какой блок используется для создания красителей? а) Цветы б) Камни в) Дерево г) Земля"/>
        <filter val="Что нужно для создания динамита? а) Порох б) Уголь в) Редстоун г) Железо"/>
        <filter val="Какую еду любят панды? а) Бамбук б) Яблоки в) Торт г) Семена"/>
        <filter val="Какой блок используется для создания костра? а) Уголь б) Железо в) Золото г) Алмазы"/>
        <filter val="Для чего нужен компас? а) Что бы не заблудиться б) Для ориентирования во времени в) Для поиска сокровищ г) Для полёта"/>
        <filter val="Как зовут главного врага жителей деревни? а) Разбойник б) Зомби в) Крипер г) Скелет"/>
        <filter val="Кто это?  а) Зомби-житель б) Мертвый горожанин в) Инфицированный крестьянин г) Зомби-фермер"/>
        <filter val="Что необходимо для создания верстака? а) Деревянные доски б) Камень в) Железо г) Алмазы"/>
        <filter val="Выберите в порядке увеличения времени, необходимого для выплавки одного предмета в плавильной печи:  а) Табличка б) Уголь в)Блок сушоной ламинарии  г)Ведро лавы"/>
        <filter val="С помощью чего можно быстро вспахивать землю? а) Мотыга б) Лопата в) Кирка г) Топор"/>
        <filter val="Кто это?  а) Коза б) Бодалка в) Рогатая г) Горная"/>
        <filter val="Выберите в порядке увеличения дальности полёта стрелы:  а) Обычный лук б) Лук + сила I в) Арбалет г) Арбалет + фейерверк"/>
        <filter val="Выберите в порядке увеличения редкости нахождения структуры:  а) Деревня б) Заброшенная шахта в) Крепость г) Подводный монумент"/>
        <filter val="31. Какой блок передает редстоун сигнал? а) Рычаг б) Сундук в) Верстак г) Печь"/>
        <filter val="88. В каком обновлении был добавлен Варден? а) 1.19 б) 1.17 в) 1.16 г) 1.15"/>
        <filter val="Какой моб обладает способностью взбираться по стенам? а) Паук б) Зомби в) Скелет г) Крипер"/>
        <filter val="Какой эффект даёт золотое яблоко? а) Регенерация б) Скорость в) Сила г) Невидимость"/>
        <filter val="86. В каком обновлении были добавлены лисы? а) 1.14 б) 1.16 в) 1.17 г) 1.18"/>
        <filter val="96. Какой моб в Minecraft не имеет ног? а) Слизень б) Зомби в) Скелет г) Крипер"/>
        <filter val="28. Какое зачарование позволяет ходить по воде? а) Ледоход б) Починка в) Небесная кара г) Отдача"/>
        <filter val="Кто это?  а) Эндер-дракон б) Краевой дракон в) Финальный босс г) Летающий ящер"/>
        <filter val="Выберите в порядке увеличения времени, которое нужно для прохождения одного блока в плавании:  а) Без эффектов б) Зелье скорости I в) Течение дельфина г) Течение дельфина + зелье скорости II"/>
        <filter val="Кто это?  а) Слизень б) Зеленая жижа в) Прыгучий куб г) Желейный монстр"/>
        <filter val="58. Какой предмет используется для создания стрел? а) Кремний б) Уголь в) Железо г) Золото"/>
        <filter val="Что является основным ресурсом для создания строительных лесов? а) Бамбук б) Дерево в) Камень г) Железо"/>
        <filter val="Какой моб является символом Minecraft? а) Крипер б) Скелет в) Зомби г) Эндермен"/>
        <filter val="Кто это?  а) Пиглин б) Свин-бандит в) Житель ада г) Золотой любитель"/>
        <filter val="12. Какой предмет нужен для создания хлеба? а) Пшеница б) Камень в) Дерево г) Уголь"/>
        <filter val="Где можно найти элитры? а) В корабле Края б) В сокровищнице в) В шахте г) В пещере"/>
        <filter val="Какой инструмент позволяет быстро копать песок и гравий? а) Лопата б) Кирка в) Топор г) Мотыга"/>
        <filter val="Что едят кролики? а) Морковь б) Сено в) Яблоки г) Рыба"/>
        <filter val="26. Какой ингредиент нужен для создания зелья силы? а) Адский нарост б) Слеза гаста в) Красная пыль г) Золотая морковь"/>
        <filter val="Кто это?  а) Железный голем б) Механический защитник в) Ржавый силач г) Деревенский страж"/>
        <filter val="22. Какую структуру можно найти в океане? а) Морской монумент б) Храм джунглей в) Иглу г) Заброшенная шахта"/>
        <filter val="Какой ресурс позволяет создавать прочнейшую броню? а) Незерит б) Алмаз в) Железо г) Золото"/>
        <filter val="87. В каком обновлении были добавлены незеритовые предметы? а) 1.16 б) 1.14 в) 1.17 г) 1.18"/>
        <filter val="24. Какую структуру можно найти в Нижнем мире? а) Крепость Нижнего мира б) Деревня в) Иглу г) Шахта"/>
        <filter val="Кто это?  а) Пещерный паук б) Ядовитый паук в) Подземный г) Синий"/>
        <filter val="63. Какой блок используется для плавки руды? а) Печь б) Верстак в) Сундук г) Камень"/>
        <filter val="51. Как называется моб, который охраняет сокровищницу в лесном особняке? а) Разоритель б) Страж в) Эндермен г) Гаст"/>
        <filter val="83. Как называется режим игры, в котором нужно добывать ресурсы и выживать? а) Выживание б) Хардкор в) Креатив г) Приключение"/>
        <filter val="36. Какой предмет нужно использовать для создания брони? а) Кожа б) Земля в) Камень г) Песок"/>
        <filter val="Что используется для создания динамита? а) Порох б) Уголь в) Редстоун г) Железо"/>
        <filter val="Выберите в порядке увеличения силы взрыва:  а) Крипер б) Заряженный крипер в) Кровать в Нижнем мире г)Спавн Исушителя"/>
        <filter val="32. Какой блок используется для создания сложных механизмов? а) Поршень б) Дерево в) Камень г) Стекло"/>
        <filter val="11. Какой предмет используется для создания портала в Нижний мир? а) Обсидиан б) Алмаз в) Золото г) Железо"/>
        <filter val="С помощью чего можно приручить лошадь? а) Яблоко б) Семена в) Кость г) Рыба"/>
        <filter val="Что используется для создания музыкальных блоков? а) Дерево б) Камень в) Железо г) Алмаз"/>
        <filter val="Кто это?  а) Досаждатель б) Вредный дух в) Летающий вредитель г) Маленький злыдень"/>
        <filter val="54. Какой моб является боссом океанического монумента? а) Древний страж б) Страж в) Утопленник г) Гаст"/>
        <filter val="65. Какой блок используется для создания водяных лифтов? а) Песок душ б) Факел в) Камень г) Земля"/>
        <filter val="Кто это?  а) Лиса б) Рыжая плутовка в) Хитрая морда г) Лесной житель"/>
        <filter val="41. Какое достижение дается за вход в Нижний мир? а) “Огненные недра” б) “На дно” в) “Свободное падение” г) “Начать гонку”"/>
        <filter val="Кто это?  а) Дельфин б) Эхолокатор в)Морской друг г)Пловец"/>
        <filter val="Выберите в порядке увеличения частоты спавна моба:  а) Курица б) Зомби в) Эндермен г) Варден"/>
        <filter val="Кто это?  а) Хоблин б) Адский гоблин в) Маленький бандит г) Обитатель недр"/>
        <filter val="Кто это?  а) Варден б) Глубинный страж в) Тюремщик г) Слепой ужас"/>
        <filter val="Что нужно для создания костра? а) Дерево б) Камень в) Железо г) Алмазы"/>
        <filter val="94. Какой инструмент используется для сбора меда? а) Стеклянная бутылка б) Топор в) Кирка г) Лопата"/>
        <filter val="Кто это?  а) Корова б) Му-му в) Теленок г) Буренка"/>
        <filter val="Какой моб используется для передвижения в аду? а) Страйдер б) Зомби в) Крипер г) Скелет"/>
        <filter val="9. Какой моб можно найти в аду и он стреляет огненными шарами? а) Гаст б) Эндермен в) Зомби-свиночеловек г) Страж"/>
        <filter val="Кто это?  а) Утопленник б) Водный зомби в) Морской мертвец г) Затонувший"/>
        <filter val="30. Какой ингредиент используется для приготовления зелья невидимости? а) Золотая морковь б) Слеза гаста в) Адский нарост г) Красная пыль"/>
        <filter val="91. Какая механика используется для создания сложных механизмов? а) Редстоун б) Камень в) Дерево г) Песок"/>
        <filter val="Выберите в порядке увеличения скорости передвижения по воде:  а) Игрок б) Лодка в) Дельфин г) Игрок с зачарованными ботинками на “Ледоход”"/>
        <filter val="2. Как называется измерение, где обитает Эндер-дракон? а) Край б) Ад в) Верхний мир г) Измерение грибов"/>
        <filter val="Какой блок используется для передачи сигнала редстоуна на расстояние? а) Повторитель б) Компаратор в) Поршень г) Наблюдатель"/>
        <filter val="Кто это?  а) Курица б) Цыпа в) Петушок г) Наседка"/>
        <filter val="55. Какой моб является враждебной версией жителя деревни? а) Разбойник б) Зомби в) Скелет г) Крипер"/>
        <filter val="Какое животное можно найти в снежном биоме? а) Белый медведь б) Корова в) Овца г) Свинья"/>
        <filter val="Какой предмет необходим для создания зелья невидимости? а) Золотая морковь б) Слеза гаста в) Алмаз г) Лава"/>
        <filter val="Выберите в порядке увеличения количества сердец у мобов:  а) Курица б) Свинья в) Железный голем г) Иссушитель"/>
        <filter val="79. Какой блок можно использовать для создания портала в Нижний мир? а) Обсидиан б) Железо в) Золото г) Алмаз"/>
        <filter val="56. Какой инструмент используется для копания земли и песка? а) Лопата б) Кирка в) Топор г) Мотыга"/>
        <filter val="Что необходимо для создания портала в Нижний мир? а) Обсидиан б) Лава в) Вода г) Алмазы"/>
        <filter val="Какой предмет позволяет быстро передвигаться под водой? а) Трезубец б) Лодка в) Ведро г) Удочка"/>
        <filter val="Кто это?  а) Ведьма б) Зельеварка в) Колдунья г) Знахарка"/>
        <filter val="Какой блок нужен для разведения коров? а) Пшеница б) Камень в) Дерево г) Песок"/>
        <filter val="Что нужно для приручения попугая? а) Семена б) Кости в) Печенье г) Рыба"/>
        <filter val="Выберите в порядке увеличения высоты прыжка:  а) Лягушка б) Кролик в) Лошадь г) Игрок с зельем прыгучести II"/>
        <filter val="Какой инструмент используется для создания карты? а) Компас б) Кирка в) Топор г) Лопата"/>
        <filter val="Кто это?  а) Зомбированный пиглин б) Зомби-свинья в) Гнилой хряк г) Квази-кабан"/>
        <filter val="Кто это?  а) Фантом б) Ночной кошмар в) Летающий монстр г) Кожаный крылан"/>
        <filter val="Кто это?  а) Нюхач б) Древний в) Травоядный г) Искатель"/>
        <filter val="95. Какой блок позволяет игроку спать ночью? а) Кровать б) Верстак в) Сундук г) Печь"/>
        <filter val="Какой моб боится кошек? а) Крипер б) Зомби в) Скелет г) Эндермен"/>
        <filter val="Какой инструмент используется для посадки семян? а) Мотыга б) Лопата в) Топор г) Кирка"/>
        <filter val="Выберите в порядке увеличения количества лута в сундуках:  а) В деревне б) В заброшенной шахте в) В крепости г) В сокровищнице Древнего города"/>
        <filter val="74. Что является основной валютой для торговли с жителями деревни? а) Изумруды б) Золото в) Железо г) Алмазы"/>
        <filter val="Кто это?  а) Скелет б) Костяной лучник в) Сухой г) Дряхлый воитель"/>
        <filter val="Какой моб дает нитки? а) Паук б) Слизень в) Зомби г) Крипер"/>
        <filter val="Выберите в порядке увеличения сопротивляемости к взрыву:  а) Стекло б) Камень в) Обсидиан г) Коренная порода"/>
        <filter val="Кто это?  а) Снежный голем б) Снеговик в) Ледяной помощник г) Морковный нос"/>
        <filter val="Кто это?  а) Разбойник б) Грабитель в) Деревенский головорез г) Арбалетчик"/>
        <filter val="Кто это?  а) Кролик б) Заяц в) Пушистик г) Прыгун"/>
        <filter val="Какой моб появляется из яйца, брошенного игроком? а) Курица б) Свинья в) Овца г) Корова"/>
        <filter val="Выберите в порядке увеличения прочности брони:  а) Кожаный шлем б) Золотой нагрудник в) Железные поножи г) Алмазные ботинки"/>
        <filter val="10. Какой моб даёт шерсть? а) Овца б) Курица в) Свинья г) Корова"/>
        <filter val="Какой предмет можно использовать для телепортации? а) Жемчуг Края б) Камень Края в) Обсидиан г) Камень"/>
        <filter val="17. Какой биом содержит много воды и лилий? а) Болото б) Горы в) Равнина г) Саванна"/>
        <filter val="93. Как называется еда для приручения лошадей? а) Золотое яблоко б) Пшеница в) Морковь г) Сахар"/>
        <filter val="Выберите в порядке увеличения количества дней, необходимых для созревания урожая:  а) Пшеница б) Морковь в) Тыква г) Арбуз"/>
        <filter val="38. Какой блок нужен для создания зелья? а) Варочная стойка б) Верстак в) Печь г) Сундук"/>
        <filter val="Кто это?  а) Шалкер б) Парящая коробка в) Засадный куб г) Фиолетовый вредитель"/>
        <filter val="Кто это?  а) Мул б) Гибрид в) Работяга г) Ушастый"/>
        <filter val="Какой блок позволяет получить случайный предмет? а) Раздатчик б) Сундук в) Верстак г) Печь"/>
        <filter val="Выберите в порядке увеличения насыщения, восстанавливаемого при поедании:  а) Сырая курица б) Печёная картошка в) Стейк г) Золотая морковь"/>
        <filter val="Кто это?  а) Пчела б) Медоносная оса в) Насекомое г) Крылатый"/>
        <filter val="С помощью чего можно приручить волка? а) Кость б) Мясо в) Рыба г) Семена"/>
        <filter val="Какой моб всегда нападает группами? а) Волки б) Зомби в) Скелеты г) Криперы"/>
        <filter val="Кто это?   а) Лама б) Плюющаяся в)Горная г)Вьючная"/>
        <filter val="43. Какое достижение дается за создание алмазной брони? а) “Осыпь меня алмазами” б) “Отправиться на войну” в) “Мы богачи” г) “Железный человек”"/>
        <filter val="Кто это?  а) Магмовый куб б) Огненный слизень в) Лавовый прыгун г) Раскаленный кубик"/>
        <filter val="Выберите в порядке увеличения голода, восстанавливаемого при поедании:  а) Яблоко б) Хлеб в) Стейк г) Тушоный кролик"/>
        <filter val="Какой моб превращается в ведьму от удара молнии? а) Житель б) Зомби в) Скелет г) Крипер"/>
        <filter val="Выберите в порядке увеличения длительности нахождения под водой без ущерба:  а) Без всего б) С зачарованным шлемом “Дыхание I” в) С зельем дыхания г) С раковиной наутилуса"/>
        <filter val="Выберите в порядке увеличения уровня освещенности:  а) Земля б) Факел в) Лампа из редстоуна г) Маяк"/>
        <filter val="Что необходимо для создания хлеба? а) Пшеница б) Яблоки в) Морковь г) Картофель"/>
        <filter val="Какой моб плавает в воде и может атаковать игрока? а) Утопленник б) Скелет в) Зомби г) Крипер"/>
        <filter val="Кто это?  а) Эндермен б) Телепортер в) Длинноногий г) Теневой"/>
        <filter val="Кто это?  а) Аксолотль б) Водяной дракон в) Подводный питомец г) Нежный слизень"/>
        <filter val="8. Какого моба можно приручить с помощью костей? а) Волк б) Кошка в) Лошадь г) Попугай"/>
        <filter val="42. Какое достижение дается за попадание в Край? а) “Конец?” б) “Выйти за рамки” в) “Начать гонку” г) “Дикий”"/>
        <filter val="15. Какой предмет используется для создания факелов? а) Уголь б) Алмаз в) Золото г) Железо"/>
        <filter val="77. Какой предмет используется для создания лодки? а) Дерево б) Железо в) Алмазы г) Обсидиан"/>
        <filter val="Какой блок используется для приготовления зелий? а) Варочная стойка б) Печь в) Верстак г) Компостер"/>
        <filter val="4. Какой моб взрывается при приближении к игроку? а) Крипер б) Скелет в) Зомби г) Паук"/>
        <filter val="92. Как называется эффект от использования тотема бессмертия? а) Поглощение урона б) Скорость в) Ночное зрение г) Сила"/>
        <filter val="29. Какое зачарование позволяет дышать под водой? а) Подводное дыхание б) Невесомость в) Регенерация г) Отдача"/>
        <filter val="Кто это?  а) Зомби б) Живой мертвец в) Гниющий г) Бродяга"/>
        <filter val="62. Какой блок можно использовать для создания света? а) Факел б) Земля в) Камень г) Песок"/>
        <filter val="Кто это?  а) Пчела б) Жужжалка в) Медоносная г) Полосатая"/>
        <filter val="20. Какой биом содержит много грибов? а) Грибной остров б) Лес в) Пустыня г) Тайга"/>
        <filter val="Какой моб появляется в аду и стреляет огненными шарами? а) Гаст б) Зомби-свиночеловек в) Скелет г) Лавовый куб"/>
        <filter val="89. В каком обновлении были добавлены аксолотли? а) 1.17 б) 1.19 в) 1.16 г) 1.15"/>
        <filter val="53. Какой моб может телепортироваться и красть блоки? а) Эндермен б) Зомби в) Крипер г) Скелет"/>
        <filter val="Какой ресурс используется для создания стекла? а) Песок б) Камень в) Земля г) Гравий"/>
        <filter val="Кто это?  а) Волк б) Лесной пес в) Бродяга г) Серый охотник"/>
        <filter val="Кто это?  а) Скелет-иссушитель б) Черный скелет в) Костяной воин ада г) Угрюмый лучник"/>
        <filter val="С помощью чего можно добывать воду? а) Ведро б) Лопата в) Топор г) Кирка"/>
        <filter val="18. В каком биоме выпадает снег? а) Тундра б) Пустыня в) Джунгли г) Саванна"/>
        <filter val="Кто это?  а) Ифрит б) Огненный элементаль в) Летающий поджигатель г) Дымный дух"/>
        <filter val="1. Какой блок является основным строительным материалом в Minecraft? а) Камень б) Песок в) Земля г) Гравий"/>
        <filter val="Кто это?  а) Странствующий торговец б) Кочевник в) Путешественник г) Меняла с ламами"/>
        <filter val="Выберите в порядке увеличения дальности слышимости Вардена:  а) Шаг б) Бросок снежка в) Открытие сундука г) Падение на землю"/>
        <filter val="С помощью чего можно собирать мед из улья? а) Стеклянная бутылка б) Ведро в) Лопата г) Топор"/>
        <filter val="Кто это?  а) Крипер б) Зеленый взрыватель в) Шипящий монстр г) Шахтер-подрывник"/>
        <filter val="Кто это?  а) Древний страж б) Затопленный робот в) Охраник храма г) Подводный босс"/>
        <filter val="Выберите в порядке увеличения количества добываемого опыта при убийстве моба:  а) Курица б) Зомби в) Скелет г) Эндермен"/>
        <filter val="Кто это?  а) Спрут б) Кальмар в) Чернильник г) Морской житель"/>
        <filter val="23. В какой структуре можно найти сокровище? а) Сундук с сокровищами б) Дом деревенского жителя в) Верстак г) Печь"/>
        <filter val="Как называется блок, который может липнуть к другим блокам? а) Липкий поршень б) Обычный поршень в) Слизь г) Мед"/>
        <filter val="6. Какой моб сбрасывает стрелы? а) Скелет б) Зомби в) Крипер г) Паук"/>
        <filter val="Кто это?  а) Кошка б) Мурка в) Домашний питомец г) Царапка"/>
        <filter val="39. Какой блок нужен для хранения предметов? а) Сундук б) Верстак в) Печь г) Камень"/>
        <filter val="35. Какой блок может передавать редстоун сигнал без проводов? а) Наблюдатель б) Компаратор в) Повторитель г) Поршень"/>
        <filter val="Что позволяет быстро добывать листву? а) Ножницы б) Топор в) Кирка г) Лопата"/>
        <filter val="19. Какой биом известен своими высокими деревьями и лианами? а) Джунгли б) Равнина в) Горы г) Тундра"/>
        <filter val="Кто это?  а) Поборник б) Разбойник с топором в) Лесной головорез г) Темный воин"/>
        <filter val="Кто это?  а) Иссушитель б) Трехголовый скелет в) Костяной демон г) Владыка смерти"/>
        <filter val="Кто это?  а) Овца б) Барашек в) Шерстяной комок г) Кудряшка"/>
        <filter val="Какой моб нападает на жителей деревень? а) Зомби б) Скелет в) Крипер г) Паук"/>
        <filter val="Что нужно для создания стола картографа? а) Бумага б) Камень в) Листья г) Редстоун"/>
        <filter val="Какой блок является источником света, который можно разместить на стене? а) Факел б) Лампа в) Фонарь г) Светокамень"/>
        <filter val="Какой моб дает молоко? а) Корова б) Свинья в) Овца г) Курица"/>
        <filter val="С помощью чего можно быстро срубить огромное дерево? а) Топор б) Кирка в) Мотыга г) Лопата"/>
        <filter val="Каким образом можно усмирить оцелота? а) Рыбой б) Костью в) Семенами г) Яблоками"/>
        <filter val="76. Какое животное можно вырастить из яйца? а) Курица б) Овца в) Свинья г) Корова"/>
        <filter val="Выберите в порядке увеличения необходимого времени для приготовления пищи на костре:  а) Курица б) Свинина в) Баранина г) Крольчатина"/>
        <filter val="Кто это?  а) Белый медведь б) Умка в) Арктический г) Снежный"/>
        <filter val="Кто это?  а) Гаст б) Белый призрак в) Летающий крикун г) Огненный дух"/>
        <filter val="71. Как называется мир, который является “адом” в Minecraft? а) Нижний мир б) Край в) Верхний мир г) Измерение грибов"/>
        <filter val="57. Какой инструмент используется для рубки дерева? а) Топор б) Кирка в) Лопата г) Мотыга"/>
        <filter val="Кто это?  а) Осел б) Иа в) Упрямый г) Грузовик"/>
        <filter val="Какой биом состоит в основном из песка? а) Пустыня б) Саванна в) Тайга г) Джунгли"/>
        <filter val="Какой ресурс используется для создания фейерверков? а) Порох б) Уголь в) Редстоун г) Железо"/>
        <filter val="Кто это?  а) Вызыватель б) Заклинатель в) Маг-разбойник г) Темный чародей"/>
        <filter val="Кто это?  а) Разоритель б) Зверь-крушитель в) Голем-разрушитель г) Ездовой монстр разбойников"/>
        <filter val="Для чего нужно кострище? а) Для приготовления пищи б) Для украшения в) Для отпугивания мобов г) Для освещения территории"/>
        <filter val="Что можно получить из переплавленного песка? а) Стекло б) Камень в) Кирпич г) Глину"/>
        <filter val="Кто это?  а) Свинья б) Хрюшка в) Пятачок г) Землеройка"/>
        <filter val="Кто это?  а) Верблюд б) Плюющийся в) Пустынный г) Двугорбый"/>
        <filter val="16. В каком биоме растут кактусы? а) Пустыня б) Лес в) Тундра г) Джунгли"/>
        <filter val="37. Какой предмет позволяет быстро перемещаться по рельсам? а) Вагонетка б) Лодка в) Весло г) Лопата"/>
        <filter val="52. Какой предмет нужен для призыва Иссушителя? а) Песок душ б) Алмазный блок в) Железный слиток г) Золотой слиток"/>
        <filter val="Где можно найти глину? а) Возле водоёмов б) В шахтах в) В лесах г) В пустынях"/>
        <filter val="40. Какой предмет используется для зачарования? а) Зачаровальный стол б) Печь в) Верстак г) Сундук"/>
        <filter val="Выберите в порядке увеличения прочности построек из блоков:  а) Земляная хижина б) Деревянный дом в) Каменный замок г) Бункер из обсидиана"/>
        <filter val="82. Как называется режим игры, в котором у игрока есть только одна жизнь? а) Хардкор б) Выживание в) Приключение г) Креатив"/>
        <filter val="99. Какой предмет используется для создания фейерверков? а) Порох б) Алмазы в) Железо г) Золото"/>
        <filter val="Какое растение можно использовать для создания красителя? а) Маки б) Пшеница в) Сахарный тростник г) Бамбук"/>
        <filter val="84. Как называется режим игры, в котором нельзя ломать блоки? а) Приключение б) Хардкор в) Выживание г) Креатив"/>
        <filter val="60. Какой предмет используется для стрельбы стрелами? а) Лук б) Меч в) Топор г) Мотыга"/>
        <filter val="Кто это?  а) Лошадь б) Игого в) Жеребенок г) Скакун"/>
        <filter val="21. Какую структуру можно найти в пустыне? а) Пирамида б) Деревня в) Крепость г) Шахта"/>
        <filter val="Выберите в порядке уменьшенья количества блоков, разрушаемых динамитом:  а) Земля б) Камень в) Обсидиан г) Коренная порода"/>
        <filter val="Выберите в порядке увеличения времени роста растений:  а) Пшеница б) Морковь в) Картофель г) Свекла"/>
        <filter val="Кто это?  а) Торговец б) Коммивояжер в) Барыга г) Меняла"/>
      </filters>
    </filterColumn>
  </autoFilter>
  <dataValidations>
    <dataValidation type="list" allowBlank="1" showErrorMessage="1" sqref="H1002">
      <formula1>"Кто это? | а) Корова б) Му-му в) Теленок г) Буренка"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3" max="3" width="16.38"/>
    <col customWidth="1" min="4" max="7" width="23.25"/>
    <col customWidth="1" min="8" max="8" width="53.5"/>
  </cols>
  <sheetData>
    <row r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0" t="s">
        <v>7</v>
      </c>
    </row>
    <row r="2">
      <c r="A2" s="5" t="str">
        <f>IFERROR(__xludf.DUMMYFUNCTION("REGEXEXTRACT(H2, ""\d+\.\s*(.*?)\s*а\)"")"),"Какой блок является основным строительным материалом в Minecraft? ")</f>
        <v>Какой блок является основным строительным материалом в Minecraft? </v>
      </c>
      <c r="B2" s="5">
        <v>1.0</v>
      </c>
      <c r="C2" s="5"/>
      <c r="D2" s="5" t="str">
        <f>IFERROR(__xludf.DUMMYFUNCTION("REGEXREPLACE(REGEXEXTRACT(H2, ""а\)\s*(.*?)\s*б\)""), ""^\s*"", """")"),"Камень ")</f>
        <v>Камень </v>
      </c>
      <c r="E2" s="5" t="str">
        <f>IFERROR(__xludf.DUMMYFUNCTION("REGEXREPLACE(REGEXEXTRACT(H2, ""б\)\s*(.*?)\s*в\)""), ""^\s*"", """")"),"Песок")</f>
        <v>Песок</v>
      </c>
      <c r="F2" s="5" t="str">
        <f>IFERROR(__xludf.DUMMYFUNCTION("REGEXREPLACE(REGEXEXTRACT(H2, ""в\)\s*(.*?)\s*г\)""), ""^\s*"", """")"),"Земля")</f>
        <v>Земля</v>
      </c>
      <c r="G2" s="5" t="str">
        <f>IFERROR(__xludf.DUMMYFUNCTION("REGEXREPLACE(REGEXEXTRACT(H2, ""г\)\s*(.*)""), ""^\s*"", """")"),"Гравий")</f>
        <v>Гравий</v>
      </c>
      <c r="H2" s="6" t="s">
        <v>8</v>
      </c>
    </row>
    <row r="3">
      <c r="A3" s="5" t="str">
        <f>IFERROR(__xludf.DUMMYFUNCTION("REGEXEXTRACT(H3, ""\d+\.\s*(.*?)\s*а\)"")"),"Как называется измерение, где обитает Эндер-дракон? ")</f>
        <v>Как называется измерение, где обитает Эндер-дракон? </v>
      </c>
      <c r="B3" s="5">
        <v>1.0</v>
      </c>
      <c r="C3" s="5"/>
      <c r="D3" s="5" t="str">
        <f>IFERROR(__xludf.DUMMYFUNCTION("REGEXREPLACE(REGEXEXTRACT(H3, ""а\)\s*(.*?)\s*б\)""), ""^\s*"", """")"),"Край ")</f>
        <v>Край </v>
      </c>
      <c r="E3" s="5" t="str">
        <f>IFERROR(__xludf.DUMMYFUNCTION("REGEXREPLACE(REGEXEXTRACT(H3, ""б\)\s*(.*?)\s*в\)""), ""^\s*"", """")"),"Ад")</f>
        <v>Ад</v>
      </c>
      <c r="F3" s="5" t="str">
        <f>IFERROR(__xludf.DUMMYFUNCTION("REGEXREPLACE(REGEXEXTRACT(H3, ""в\)\s*(.*?)\s*г\)""), ""^\s*"", """")"),"Верхний мир")</f>
        <v>Верхний мир</v>
      </c>
      <c r="G3" s="5" t="str">
        <f>IFERROR(__xludf.DUMMYFUNCTION("REGEXREPLACE(REGEXEXTRACT(H3, ""г\)\s*(.*)""), ""^\s*"", """")"),"Измерение грибов")</f>
        <v>Измерение грибов</v>
      </c>
      <c r="H3" s="7" t="s">
        <v>9</v>
      </c>
    </row>
    <row r="4">
      <c r="A4" s="5" t="str">
        <f>IFERROR(__xludf.DUMMYFUNCTION("REGEXEXTRACT(H4, ""\d+\.\s*(.*?)\s*а\)"")"),"Какой моб взрывается при приближении к игроку? ")</f>
        <v>Какой моб взрывается при приближении к игроку? </v>
      </c>
      <c r="B4" s="5">
        <v>1.0</v>
      </c>
      <c r="C4" s="5"/>
      <c r="D4" s="5" t="str">
        <f>IFERROR(__xludf.DUMMYFUNCTION("REGEXREPLACE(REGEXEXTRACT(H4, ""а\)\s*(.*?)\s*б\)""), ""^\s*"", """")"),"Крипер ")</f>
        <v>Крипер </v>
      </c>
      <c r="E4" s="5" t="str">
        <f>IFERROR(__xludf.DUMMYFUNCTION("REGEXREPLACE(REGEXEXTRACT(H4, ""б\)\s*(.*?)\s*в\)""), ""^\s*"", """")"),"Скелет")</f>
        <v>Скелет</v>
      </c>
      <c r="F4" s="5" t="str">
        <f>IFERROR(__xludf.DUMMYFUNCTION("REGEXREPLACE(REGEXEXTRACT(H4, ""в\)\s*(.*?)\s*г\)""), ""^\s*"", """")"),"Зомби")</f>
        <v>Зомби</v>
      </c>
      <c r="G4" s="5" t="str">
        <f>IFERROR(__xludf.DUMMYFUNCTION("REGEXREPLACE(REGEXEXTRACT(H4, ""г\)\s*(.*)""), ""^\s*"", """")"),"Паук")</f>
        <v>Паук</v>
      </c>
      <c r="H4" s="6" t="s">
        <v>217</v>
      </c>
    </row>
    <row r="5">
      <c r="A5" s="5" t="str">
        <f>IFERROR(__xludf.DUMMYFUNCTION("REGEXEXTRACT(H5, ""\d+\.\s*(.*?)\s*а\)"")"),"Какой моб сбрасывает стрелы? ")</f>
        <v>Какой моб сбрасывает стрелы? </v>
      </c>
      <c r="B5" s="5">
        <v>1.0</v>
      </c>
      <c r="C5" s="10"/>
      <c r="D5" s="5" t="str">
        <f>IFERROR(__xludf.DUMMYFUNCTION("REGEXREPLACE(REGEXEXTRACT(H5, ""а\)\s*(.*?)\s*б\)""), ""^\s*"", """")"),"Скелет ")</f>
        <v>Скелет </v>
      </c>
      <c r="E5" s="5" t="str">
        <f>IFERROR(__xludf.DUMMYFUNCTION("REGEXREPLACE(REGEXEXTRACT(H5, ""б\)\s*(.*?)\s*в\)""), ""^\s*"", """")"),"Зомби")</f>
        <v>Зомби</v>
      </c>
      <c r="F5" s="5" t="str">
        <f>IFERROR(__xludf.DUMMYFUNCTION("REGEXREPLACE(REGEXEXTRACT(H5, ""в\)\s*(.*?)\s*г\)""), ""^\s*"", """")"),"Крипер")</f>
        <v>Крипер</v>
      </c>
      <c r="G5" s="5" t="str">
        <f>IFERROR(__xludf.DUMMYFUNCTION("REGEXREPLACE(REGEXEXTRACT(H5, ""г\)\s*(.*)""), ""^\s*"", """")"),"Паук")</f>
        <v>Паук</v>
      </c>
      <c r="H5" s="6" t="s">
        <v>218</v>
      </c>
    </row>
    <row r="6">
      <c r="A6" s="5" t="str">
        <f>IFERROR(__xludf.DUMMYFUNCTION("REGEXEXTRACT(H6, ""\d+\.\s*(.*?)\s*а\)"")"),"Какой моб плавает в воде и может атаковать игрока? ")</f>
        <v>Какой моб плавает в воде и может атаковать игрока? </v>
      </c>
      <c r="B6" s="5">
        <v>1.0</v>
      </c>
      <c r="C6" s="10"/>
      <c r="D6" s="5" t="str">
        <f>IFERROR(__xludf.DUMMYFUNCTION("REGEXREPLACE(REGEXEXTRACT(H6, ""а\)\s*(.*?)\s*б\)""), ""^\s*"", """")"),"Утопленник ")</f>
        <v>Утопленник </v>
      </c>
      <c r="E6" s="5" t="str">
        <f>IFERROR(__xludf.DUMMYFUNCTION("REGEXREPLACE(REGEXEXTRACT(H6, ""б\)\s*(.*?)\s*в\)""), ""^\s*"", """")"),"Овца")</f>
        <v>Овца</v>
      </c>
      <c r="F6" s="5" t="str">
        <f>IFERROR(__xludf.DUMMYFUNCTION("REGEXREPLACE(REGEXEXTRACT(H6, ""в\)\s*(.*?)\s*г\)""), ""^\s*"", """")"),"Свинья")</f>
        <v>Свинья</v>
      </c>
      <c r="G6" s="5" t="str">
        <f>IFERROR(__xludf.DUMMYFUNCTION("REGEXREPLACE(REGEXEXTRACT(H6, ""г\)\s*(.*)""), ""^\s*"", """")"),"Корова")</f>
        <v>Корова</v>
      </c>
      <c r="H6" s="6" t="s">
        <v>219</v>
      </c>
    </row>
    <row r="7">
      <c r="A7" s="5" t="str">
        <f>IFERROR(__xludf.DUMMYFUNCTION("REGEXEXTRACT(H7, ""\d+\.\s*(.*?)\s*а\)"")"),"Какого моба можно приручить с помощью костей? ")</f>
        <v>Какого моба можно приручить с помощью костей? </v>
      </c>
      <c r="B7" s="5">
        <v>1.0</v>
      </c>
      <c r="C7" s="10"/>
      <c r="D7" s="5" t="str">
        <f>IFERROR(__xludf.DUMMYFUNCTION("REGEXREPLACE(REGEXEXTRACT(H7, ""а\)\s*(.*?)\s*б\)""), ""^\s*"", """")"),"Волк ")</f>
        <v>Волк </v>
      </c>
      <c r="E7" s="5" t="str">
        <f>IFERROR(__xludf.DUMMYFUNCTION("REGEXREPLACE(REGEXEXTRACT(H7, ""б\)\s*(.*?)\s*в\)""), ""^\s*"", """")"),"Кошка")</f>
        <v>Кошка</v>
      </c>
      <c r="F7" s="5" t="str">
        <f>IFERROR(__xludf.DUMMYFUNCTION("REGEXREPLACE(REGEXEXTRACT(H7, ""в\)\s*(.*?)\s*г\)""), ""^\s*"", """")"),"Лошадь")</f>
        <v>Лошадь</v>
      </c>
      <c r="G7" s="5" t="str">
        <f>IFERROR(__xludf.DUMMYFUNCTION("REGEXREPLACE(REGEXEXTRACT(H7, ""г\)\s*(.*)""), ""^\s*"", """")"),"Попугай")</f>
        <v>Попугай</v>
      </c>
      <c r="H7" s="6" t="s">
        <v>220</v>
      </c>
    </row>
    <row r="8">
      <c r="A8" s="5" t="str">
        <f>IFERROR(__xludf.DUMMYFUNCTION("REGEXEXTRACT(H8, ""\d+\.\s*(.*?)\s*а\)"")"),"Какой моб можно найти в аду и он стреляет огненными шарами? ")</f>
        <v>Какой моб можно найти в аду и он стреляет огненными шарами? </v>
      </c>
      <c r="B8" s="5">
        <v>1.0</v>
      </c>
      <c r="C8" s="10"/>
      <c r="D8" s="5" t="str">
        <f>IFERROR(__xludf.DUMMYFUNCTION("REGEXREPLACE(REGEXEXTRACT(H8, ""а\)\s*(.*?)\s*б\)""), ""^\s*"", """")"),"Гаст ")</f>
        <v>Гаст </v>
      </c>
      <c r="E8" s="5" t="str">
        <f>IFERROR(__xludf.DUMMYFUNCTION("REGEXREPLACE(REGEXEXTRACT(H8, ""б\)\s*(.*?)\s*в\)""), ""^\s*"", """")"),"Эндермен")</f>
        <v>Эндермен</v>
      </c>
      <c r="F8" s="5" t="str">
        <f>IFERROR(__xludf.DUMMYFUNCTION("REGEXREPLACE(REGEXEXTRACT(H8, ""в\)\s*(.*?)\s*г\)""), ""^\s*"", """")"),"Зомби-свиночеловек")</f>
        <v>Зомби-свиночеловек</v>
      </c>
      <c r="G8" s="5" t="str">
        <f>IFERROR(__xludf.DUMMYFUNCTION("REGEXREPLACE(REGEXEXTRACT(H8, ""г\)\s*(.*)""), ""^\s*"", """")"),"Страж")</f>
        <v>Страж</v>
      </c>
      <c r="H8" s="6" t="s">
        <v>221</v>
      </c>
    </row>
    <row r="9">
      <c r="A9" s="5" t="str">
        <f>IFERROR(__xludf.DUMMYFUNCTION("REGEXEXTRACT(H9, ""\d+\.\s*(.*?)\s*а\)"")"),"Какой моб даёт шерсть? ")</f>
        <v>Какой моб даёт шерсть? </v>
      </c>
      <c r="B9" s="5">
        <v>1.0</v>
      </c>
      <c r="C9" s="10"/>
      <c r="D9" s="5" t="str">
        <f>IFERROR(__xludf.DUMMYFUNCTION("REGEXREPLACE(REGEXEXTRACT(H9, ""а\)\s*(.*?)\s*б\)""), ""^\s*"", """")"),"Овца ")</f>
        <v>Овца </v>
      </c>
      <c r="E9" s="5" t="str">
        <f>IFERROR(__xludf.DUMMYFUNCTION("REGEXREPLACE(REGEXEXTRACT(H9, ""б\)\s*(.*?)\s*в\)""), ""^\s*"", """")"),"Курица")</f>
        <v>Курица</v>
      </c>
      <c r="F9" s="5" t="str">
        <f>IFERROR(__xludf.DUMMYFUNCTION("REGEXREPLACE(REGEXEXTRACT(H9, ""в\)\s*(.*?)\s*г\)""), ""^\s*"", """")"),"Свинья")</f>
        <v>Свинья</v>
      </c>
      <c r="G9" s="5" t="str">
        <f>IFERROR(__xludf.DUMMYFUNCTION("REGEXREPLACE(REGEXEXTRACT(H9, ""г\)\s*(.*)""), ""^\s*"", """")"),"Корова")</f>
        <v>Корова</v>
      </c>
      <c r="H9" s="6" t="s">
        <v>222</v>
      </c>
    </row>
    <row r="10">
      <c r="A10" s="5" t="str">
        <f>IFERROR(__xludf.DUMMYFUNCTION("REGEXEXTRACT(H10, ""\d+\.\s*(.*?)\s*а\)"")"),"Какой предмет используется для создания портала в Нижний мир? ")</f>
        <v>Какой предмет используется для создания портала в Нижний мир? </v>
      </c>
      <c r="B10" s="5">
        <v>1.0</v>
      </c>
      <c r="C10" s="10"/>
      <c r="D10" s="5" t="str">
        <f>IFERROR(__xludf.DUMMYFUNCTION("REGEXREPLACE(REGEXEXTRACT(H10, ""а\)\s*(.*?)\s*б\)""), ""^\s*"", """")"),"Обсидиан ")</f>
        <v>Обсидиан </v>
      </c>
      <c r="E10" s="5" t="str">
        <f>IFERROR(__xludf.DUMMYFUNCTION("REGEXREPLACE(REGEXEXTRACT(H10, ""б\)\s*(.*?)\s*в\)""), ""^\s*"", """")"),"Алмаз")</f>
        <v>Алмаз</v>
      </c>
      <c r="F10" s="5" t="str">
        <f>IFERROR(__xludf.DUMMYFUNCTION("REGEXREPLACE(REGEXEXTRACT(H10, ""в\)\s*(.*?)\s*г\)""), ""^\s*"", """")"),"Золото")</f>
        <v>Золото</v>
      </c>
      <c r="G10" s="5" t="str">
        <f>IFERROR(__xludf.DUMMYFUNCTION("REGEXREPLACE(REGEXEXTRACT(H10, ""г\)\s*(.*)""), ""^\s*"", """")"),"Железо")</f>
        <v>Железо</v>
      </c>
      <c r="H10" s="6" t="s">
        <v>223</v>
      </c>
    </row>
    <row r="11">
      <c r="A11" s="5" t="str">
        <f>IFERROR(__xludf.DUMMYFUNCTION("REGEXEXTRACT(H11, ""\d+\.\s*(.*?)\s*а\)"")"),"Какой предмет нужен для создания хлеба? ")</f>
        <v>Какой предмет нужен для создания хлеба? </v>
      </c>
      <c r="B11" s="5">
        <v>1.0</v>
      </c>
      <c r="C11" s="10"/>
      <c r="D11" s="5" t="str">
        <f>IFERROR(__xludf.DUMMYFUNCTION("REGEXREPLACE(REGEXEXTRACT(H11, ""а\)\s*(.*?)\s*б\)""), ""^\s*"", """")"),"Пшеница ")</f>
        <v>Пшеница </v>
      </c>
      <c r="E11" s="5" t="str">
        <f>IFERROR(__xludf.DUMMYFUNCTION("REGEXREPLACE(REGEXEXTRACT(H11, ""б\)\s*(.*?)\s*в\)""), ""^\s*"", """")"),"Камень")</f>
        <v>Камень</v>
      </c>
      <c r="F11" s="5" t="str">
        <f>IFERROR(__xludf.DUMMYFUNCTION("REGEXREPLACE(REGEXEXTRACT(H11, ""в\)\s*(.*?)\s*г\)""), ""^\s*"", """")"),"Дерево")</f>
        <v>Дерево</v>
      </c>
      <c r="G11" s="5" t="str">
        <f>IFERROR(__xludf.DUMMYFUNCTION("REGEXREPLACE(REGEXEXTRACT(H11, ""г\)\s*(.*)""), ""^\s*"", """")"),"Уголь")</f>
        <v>Уголь</v>
      </c>
      <c r="H11" s="6" t="s">
        <v>224</v>
      </c>
    </row>
    <row r="12">
      <c r="A12" s="5" t="str">
        <f>IFERROR(__xludf.DUMMYFUNCTION("REGEXEXTRACT(H12, ""\d+\.\s*(.*?)\s*а\)"")"),"Какой предмет используется для создания факелов? ")</f>
        <v>Какой предмет используется для создания факелов? </v>
      </c>
      <c r="B12" s="5">
        <v>1.0</v>
      </c>
      <c r="C12" s="10"/>
      <c r="D12" s="5" t="str">
        <f>IFERROR(__xludf.DUMMYFUNCTION("REGEXREPLACE(REGEXEXTRACT(H12, ""а\)\s*(.*?)\s*б\)""), ""^\s*"", """")"),"Уголь ")</f>
        <v>Уголь </v>
      </c>
      <c r="E12" s="5" t="str">
        <f>IFERROR(__xludf.DUMMYFUNCTION("REGEXREPLACE(REGEXEXTRACT(H12, ""б\)\s*(.*?)\s*в\)""), ""^\s*"", """")"),"Алмаз")</f>
        <v>Алмаз</v>
      </c>
      <c r="F12" s="5" t="str">
        <f>IFERROR(__xludf.DUMMYFUNCTION("REGEXREPLACE(REGEXEXTRACT(H12, ""в\)\s*(.*?)\s*г\)""), ""^\s*"", """")"),"Золото")</f>
        <v>Золото</v>
      </c>
      <c r="G12" s="5" t="str">
        <f>IFERROR(__xludf.DUMMYFUNCTION("REGEXREPLACE(REGEXEXTRACT(H12, ""г\)\s*(.*)""), ""^\s*"", """")"),"Железо")</f>
        <v>Железо</v>
      </c>
      <c r="H12" s="6" t="s">
        <v>225</v>
      </c>
    </row>
    <row r="13">
      <c r="A13" s="5" t="str">
        <f>IFERROR(__xludf.DUMMYFUNCTION("REGEXEXTRACT(H13, ""\d+\.\s*(.*?)\s*а\)"")"),"В каком биоме растут кактусы? ")</f>
        <v>В каком биоме растут кактусы? </v>
      </c>
      <c r="B13" s="5">
        <v>1.0</v>
      </c>
      <c r="C13" s="10"/>
      <c r="D13" s="5" t="str">
        <f>IFERROR(__xludf.DUMMYFUNCTION("REGEXREPLACE(REGEXEXTRACT(H13, ""а\)\s*(.*?)\s*б\)""), ""^\s*"", """")"),"Пустыня ")</f>
        <v>Пустыня </v>
      </c>
      <c r="E13" s="5" t="str">
        <f>IFERROR(__xludf.DUMMYFUNCTION("REGEXREPLACE(REGEXEXTRACT(H13, ""б\)\s*(.*?)\s*в\)""), ""^\s*"", """")"),"Лес")</f>
        <v>Лес</v>
      </c>
      <c r="F13" s="5" t="str">
        <f>IFERROR(__xludf.DUMMYFUNCTION("REGEXREPLACE(REGEXEXTRACT(H13, ""в\)\s*(.*?)\s*г\)""), ""^\s*"", """")"),"Тундра")</f>
        <v>Тундра</v>
      </c>
      <c r="G13" s="5" t="str">
        <f>IFERROR(__xludf.DUMMYFUNCTION("REGEXREPLACE(REGEXEXTRACT(H13, ""г\)\s*(.*)""), ""^\s*"", """")"),"Джунгли")</f>
        <v>Джунгли</v>
      </c>
      <c r="H13" s="6" t="s">
        <v>226</v>
      </c>
    </row>
    <row r="14">
      <c r="A14" s="5" t="str">
        <f>IFERROR(__xludf.DUMMYFUNCTION("REGEXEXTRACT(H14, ""\d+\.\s*(.*?)\s*а\)"")"),"Какой биом содержит много воды и лилий? ")</f>
        <v>Какой биом содержит много воды и лилий? </v>
      </c>
      <c r="B14" s="5">
        <v>1.0</v>
      </c>
      <c r="C14" s="10"/>
      <c r="D14" s="5" t="str">
        <f>IFERROR(__xludf.DUMMYFUNCTION("REGEXREPLACE(REGEXEXTRACT(H14, ""а\)\s*(.*?)\s*б\)""), ""^\s*"", """")"),"Болото ")</f>
        <v>Болото </v>
      </c>
      <c r="E14" s="5" t="str">
        <f>IFERROR(__xludf.DUMMYFUNCTION("REGEXREPLACE(REGEXEXTRACT(H14, ""б\)\s*(.*?)\s*в\)""), ""^\s*"", """")"),"Горы")</f>
        <v>Горы</v>
      </c>
      <c r="F14" s="5" t="str">
        <f>IFERROR(__xludf.DUMMYFUNCTION("REGEXREPLACE(REGEXEXTRACT(H14, ""в\)\s*(.*?)\s*г\)""), ""^\s*"", """")"),"Равнина")</f>
        <v>Равнина</v>
      </c>
      <c r="G14" s="5" t="str">
        <f>IFERROR(__xludf.DUMMYFUNCTION("REGEXREPLACE(REGEXEXTRACT(H14, ""г\)\s*(.*)""), ""^\s*"", """")"),"Саванна")</f>
        <v>Саванна</v>
      </c>
      <c r="H14" s="6" t="s">
        <v>227</v>
      </c>
    </row>
    <row r="15">
      <c r="A15" s="5" t="str">
        <f>IFERROR(__xludf.DUMMYFUNCTION("REGEXEXTRACT(H15, ""\d+\.\s*(.*?)\s*а\)"")"),"В каком биоме выпадает снег? ")</f>
        <v>В каком биоме выпадает снег? </v>
      </c>
      <c r="B15" s="5">
        <v>1.0</v>
      </c>
      <c r="C15" s="10"/>
      <c r="D15" s="5" t="str">
        <f>IFERROR(__xludf.DUMMYFUNCTION("REGEXREPLACE(REGEXEXTRACT(H15, ""а\)\s*(.*?)\s*б\)""), ""^\s*"", """")"),"Тундра ")</f>
        <v>Тундра </v>
      </c>
      <c r="E15" s="5" t="str">
        <f>IFERROR(__xludf.DUMMYFUNCTION("REGEXREPLACE(REGEXEXTRACT(H15, ""б\)\s*(.*?)\s*в\)""), ""^\s*"", """")"),"Пустыня")</f>
        <v>Пустыня</v>
      </c>
      <c r="F15" s="5" t="str">
        <f>IFERROR(__xludf.DUMMYFUNCTION("REGEXREPLACE(REGEXEXTRACT(H15, ""в\)\s*(.*?)\s*г\)""), ""^\s*"", """")"),"Джунгли")</f>
        <v>Джунгли</v>
      </c>
      <c r="G15" s="5" t="str">
        <f>IFERROR(__xludf.DUMMYFUNCTION("REGEXREPLACE(REGEXEXTRACT(H15, ""г\)\s*(.*)""), ""^\s*"", """")"),"Саванна")</f>
        <v>Саванна</v>
      </c>
      <c r="H15" s="6" t="s">
        <v>228</v>
      </c>
    </row>
    <row r="16">
      <c r="A16" s="5" t="str">
        <f>IFERROR(__xludf.DUMMYFUNCTION("REGEXEXTRACT(H16, ""\d+\.\s*(.*?)\s*а\)"")"),"Какой биом известен своими высокими деревьями и лианами? ")</f>
        <v>Какой биом известен своими высокими деревьями и лианами? </v>
      </c>
      <c r="B16" s="5">
        <v>1.0</v>
      </c>
      <c r="C16" s="10"/>
      <c r="D16" s="5" t="str">
        <f>IFERROR(__xludf.DUMMYFUNCTION("REGEXREPLACE(REGEXEXTRACT(H16, ""а\)\s*(.*?)\s*б\)""), ""^\s*"", """")"),"Джунгли ")</f>
        <v>Джунгли </v>
      </c>
      <c r="E16" s="5" t="str">
        <f>IFERROR(__xludf.DUMMYFUNCTION("REGEXREPLACE(REGEXEXTRACT(H16, ""б\)\s*(.*?)\s*в\)""), ""^\s*"", """")"),"Равнина")</f>
        <v>Равнина</v>
      </c>
      <c r="F16" s="5" t="str">
        <f>IFERROR(__xludf.DUMMYFUNCTION("REGEXREPLACE(REGEXEXTRACT(H16, ""в\)\s*(.*?)\s*г\)""), ""^\s*"", """")"),"Горы")</f>
        <v>Горы</v>
      </c>
      <c r="G16" s="5" t="str">
        <f>IFERROR(__xludf.DUMMYFUNCTION("REGEXREPLACE(REGEXEXTRACT(H16, ""г\)\s*(.*)""), ""^\s*"", """")"),"Тундра")</f>
        <v>Тундра</v>
      </c>
      <c r="H16" s="6" t="s">
        <v>229</v>
      </c>
    </row>
    <row r="17">
      <c r="A17" s="5" t="str">
        <f>IFERROR(__xludf.DUMMYFUNCTION("REGEXEXTRACT(H17, ""\d+\.\s*(.*?)\s*а\)"")"),"Какой биом содержит много грибов? ")</f>
        <v>Какой биом содержит много грибов? </v>
      </c>
      <c r="B17" s="5">
        <v>1.0</v>
      </c>
      <c r="C17" s="10"/>
      <c r="D17" s="5" t="str">
        <f>IFERROR(__xludf.DUMMYFUNCTION("REGEXREPLACE(REGEXEXTRACT(H17, ""а\)\s*(.*?)\s*б\)""), ""^\s*"", """")"),"Грибной остров ")</f>
        <v>Грибной остров </v>
      </c>
      <c r="E17" s="5" t="str">
        <f>IFERROR(__xludf.DUMMYFUNCTION("REGEXREPLACE(REGEXEXTRACT(H17, ""б\)\s*(.*?)\s*в\)""), ""^\s*"", """")"),"Лес")</f>
        <v>Лес</v>
      </c>
      <c r="F17" s="5" t="str">
        <f>IFERROR(__xludf.DUMMYFUNCTION("REGEXREPLACE(REGEXEXTRACT(H17, ""в\)\s*(.*?)\s*г\)""), ""^\s*"", """")"),"Пустыня")</f>
        <v>Пустыня</v>
      </c>
      <c r="G17" s="5" t="str">
        <f>IFERROR(__xludf.DUMMYFUNCTION("REGEXREPLACE(REGEXEXTRACT(H17, ""г\)\s*(.*)""), ""^\s*"", """")"),"Тайга")</f>
        <v>Тайга</v>
      </c>
      <c r="H17" s="6" t="s">
        <v>230</v>
      </c>
    </row>
    <row r="18">
      <c r="A18" s="5" t="str">
        <f>IFERROR(__xludf.DUMMYFUNCTION("REGEXEXTRACT(H18, ""\d+\.\s*(.*?)\s*а\)"")"),"Какую структуру можно найти в пустыне? ")</f>
        <v>Какую структуру можно найти в пустыне? </v>
      </c>
      <c r="B18" s="5">
        <v>1.0</v>
      </c>
      <c r="C18" s="10"/>
      <c r="D18" s="5" t="str">
        <f>IFERROR(__xludf.DUMMYFUNCTION("REGEXREPLACE(REGEXEXTRACT(H18, ""а\)\s*(.*?)\s*б\)""), ""^\s*"", """")"),"Пирамида ")</f>
        <v>Пирамида </v>
      </c>
      <c r="E18" s="5" t="str">
        <f>IFERROR(__xludf.DUMMYFUNCTION("REGEXREPLACE(REGEXEXTRACT(H18, ""б\)\s*(.*?)\s*в\)""), ""^\s*"", """")"),"Деревня")</f>
        <v>Деревня</v>
      </c>
      <c r="F18" s="5" t="str">
        <f>IFERROR(__xludf.DUMMYFUNCTION("REGEXREPLACE(REGEXEXTRACT(H18, ""в\)\s*(.*?)\s*г\)""), ""^\s*"", """")"),"Крепость")</f>
        <v>Крепость</v>
      </c>
      <c r="G18" s="5" t="str">
        <f>IFERROR(__xludf.DUMMYFUNCTION("REGEXREPLACE(REGEXEXTRACT(H18, ""г\)\s*(.*)""), ""^\s*"", """")"),"Шахта")</f>
        <v>Шахта</v>
      </c>
      <c r="H18" s="6" t="s">
        <v>231</v>
      </c>
    </row>
    <row r="19">
      <c r="A19" s="5" t="str">
        <f>IFERROR(__xludf.DUMMYFUNCTION("REGEXEXTRACT(H19, ""\d+\.\s*(.*?)\s*а\)"")"),"Какую структуру можно найти в океане? ")</f>
        <v>Какую структуру можно найти в океане? </v>
      </c>
      <c r="B19" s="5">
        <v>1.0</v>
      </c>
      <c r="C19" s="10"/>
      <c r="D19" s="5" t="str">
        <f>IFERROR(__xludf.DUMMYFUNCTION("REGEXREPLACE(REGEXEXTRACT(H19, ""а\)\s*(.*?)\s*б\)""), ""^\s*"", """")"),"Морской монумент ")</f>
        <v>Морской монумент </v>
      </c>
      <c r="E19" s="5" t="str">
        <f>IFERROR(__xludf.DUMMYFUNCTION("REGEXREPLACE(REGEXEXTRACT(H19, ""б\)\s*(.*?)\s*в\)""), ""^\s*"", """")"),"Храм джунглей")</f>
        <v>Храм джунглей</v>
      </c>
      <c r="F19" s="5" t="str">
        <f>IFERROR(__xludf.DUMMYFUNCTION("REGEXREPLACE(REGEXEXTRACT(H19, ""в\)\s*(.*?)\s*г\)""), ""^\s*"", """")"),"Иглу")</f>
        <v>Иглу</v>
      </c>
      <c r="G19" s="5" t="str">
        <f>IFERROR(__xludf.DUMMYFUNCTION("REGEXREPLACE(REGEXEXTRACT(H19, ""г\)\s*(.*)""), ""^\s*"", """")"),"Заброшенная шахта")</f>
        <v>Заброшенная шахта</v>
      </c>
      <c r="H19" s="6" t="s">
        <v>232</v>
      </c>
    </row>
    <row r="20">
      <c r="A20" s="5" t="str">
        <f>IFERROR(__xludf.DUMMYFUNCTION("REGEXEXTRACT(H20, ""\d+\.\s*(.*?)\s*а\)"")"),"В какой структуре можно найти сокровище? ")</f>
        <v>В какой структуре можно найти сокровище? </v>
      </c>
      <c r="B20" s="5">
        <v>1.0</v>
      </c>
      <c r="C20" s="10"/>
      <c r="D20" s="5" t="str">
        <f>IFERROR(__xludf.DUMMYFUNCTION("REGEXREPLACE(REGEXEXTRACT(H20, ""а\)\s*(.*?)\s*б\)""), ""^\s*"", """")"),"Сундук с сокровищами ")</f>
        <v>Сундук с сокровищами </v>
      </c>
      <c r="E20" s="5" t="str">
        <f>IFERROR(__xludf.DUMMYFUNCTION("REGEXREPLACE(REGEXEXTRACT(H20, ""б\)\s*(.*?)\s*в\)""), ""^\s*"", """")"),"Дом деревенского жителя")</f>
        <v>Дом деревенского жителя</v>
      </c>
      <c r="F20" s="5" t="str">
        <f>IFERROR(__xludf.DUMMYFUNCTION("REGEXREPLACE(REGEXEXTRACT(H20, ""в\)\s*(.*?)\s*г\)""), ""^\s*"", """")"),"Верстак")</f>
        <v>Верстак</v>
      </c>
      <c r="G20" s="5" t="str">
        <f>IFERROR(__xludf.DUMMYFUNCTION("REGEXREPLACE(REGEXEXTRACT(H20, ""г\)\s*(.*)""), ""^\s*"", """")"),"Печь")</f>
        <v>Печь</v>
      </c>
      <c r="H20" s="6" t="s">
        <v>233</v>
      </c>
    </row>
    <row r="21">
      <c r="A21" s="5" t="str">
        <f>IFERROR(__xludf.DUMMYFUNCTION("REGEXEXTRACT(H21, ""\d+\.\s*(.*?)\s*а\)"")"),"Какую структуру можно найти в Нижнем мире? ")</f>
        <v>Какую структуру можно найти в Нижнем мире? </v>
      </c>
      <c r="B21" s="5">
        <v>1.0</v>
      </c>
      <c r="C21" s="10"/>
      <c r="D21" s="5" t="str">
        <f>IFERROR(__xludf.DUMMYFUNCTION("REGEXREPLACE(REGEXEXTRACT(H21, ""а\)\s*(.*?)\s*б\)""), ""^\s*"", """")"),"Крепость Нижнего мира ")</f>
        <v>Крепость Нижнего мира </v>
      </c>
      <c r="E21" s="5" t="str">
        <f>IFERROR(__xludf.DUMMYFUNCTION("REGEXREPLACE(REGEXEXTRACT(H21, ""б\)\s*(.*?)\s*в\)""), ""^\s*"", """")"),"Деревня")</f>
        <v>Деревня</v>
      </c>
      <c r="F21" s="5" t="str">
        <f>IFERROR(__xludf.DUMMYFUNCTION("REGEXREPLACE(REGEXEXTRACT(H21, ""в\)\s*(.*?)\s*г\)""), ""^\s*"", """")"),"Иглу")</f>
        <v>Иглу</v>
      </c>
      <c r="G21" s="5" t="str">
        <f>IFERROR(__xludf.DUMMYFUNCTION("REGEXREPLACE(REGEXEXTRACT(H21, ""г\)\s*(.*)""), ""^\s*"", """")"),"Шахта")</f>
        <v>Шахта</v>
      </c>
      <c r="H21" s="6" t="s">
        <v>234</v>
      </c>
    </row>
    <row r="22">
      <c r="A22" s="5" t="str">
        <f>IFERROR(__xludf.DUMMYFUNCTION("REGEXEXTRACT(H22, ""\d+\.\s*(.*?)\s*а\)"")"),"Какой ингредиент нужен для создания зелья силы? ")</f>
        <v>Какой ингредиент нужен для создания зелья силы? </v>
      </c>
      <c r="B22" s="5">
        <v>1.0</v>
      </c>
      <c r="C22" s="10"/>
      <c r="D22" s="5" t="str">
        <f>IFERROR(__xludf.DUMMYFUNCTION("REGEXREPLACE(REGEXEXTRACT(H22, ""а\)\s*(.*?)\s*б\)""), ""^\s*"", """")"),"Адский нарост ")</f>
        <v>Адский нарост </v>
      </c>
      <c r="E22" s="5" t="str">
        <f>IFERROR(__xludf.DUMMYFUNCTION("REGEXREPLACE(REGEXEXTRACT(H22, ""б\)\s*(.*?)\s*в\)""), ""^\s*"", """")"),"Слеза гаста")</f>
        <v>Слеза гаста</v>
      </c>
      <c r="F22" s="5" t="str">
        <f>IFERROR(__xludf.DUMMYFUNCTION("REGEXREPLACE(REGEXEXTRACT(H22, ""в\)\s*(.*?)\s*г\)""), ""^\s*"", """")"),"Красная пыль")</f>
        <v>Красная пыль</v>
      </c>
      <c r="G22" s="5" t="str">
        <f>IFERROR(__xludf.DUMMYFUNCTION("REGEXREPLACE(REGEXEXTRACT(H22, ""г\)\s*(.*)""), ""^\s*"", """")"),"Золотая морковь")</f>
        <v>Золотая морковь</v>
      </c>
      <c r="H22" s="6" t="s">
        <v>235</v>
      </c>
    </row>
    <row r="23">
      <c r="A23" s="5" t="str">
        <f>IFERROR(__xludf.DUMMYFUNCTION("REGEXEXTRACT(H23, ""\d+\.\s*(.*?)\s*а\)"")"),"Какое зачарование позволяет ходить по воде? ")</f>
        <v>Какое зачарование позволяет ходить по воде? </v>
      </c>
      <c r="B23" s="5">
        <v>1.0</v>
      </c>
      <c r="C23" s="10"/>
      <c r="D23" s="5" t="str">
        <f>IFERROR(__xludf.DUMMYFUNCTION("REGEXREPLACE(REGEXEXTRACT(H23, ""а\)\s*(.*?)\s*б\)""), ""^\s*"", """")"),"Ледоход ")</f>
        <v>Ледоход </v>
      </c>
      <c r="E23" s="5" t="str">
        <f>IFERROR(__xludf.DUMMYFUNCTION("REGEXREPLACE(REGEXEXTRACT(H23, ""б\)\s*(.*?)\s*в\)""), ""^\s*"", """")"),"Починка")</f>
        <v>Починка</v>
      </c>
      <c r="F23" s="5" t="str">
        <f>IFERROR(__xludf.DUMMYFUNCTION("REGEXREPLACE(REGEXEXTRACT(H23, ""в\)\s*(.*?)\s*г\)""), ""^\s*"", """")"),"Небесная кара")</f>
        <v>Небесная кара</v>
      </c>
      <c r="G23" s="5" t="str">
        <f>IFERROR(__xludf.DUMMYFUNCTION("REGEXREPLACE(REGEXEXTRACT(H23, ""г\)\s*(.*)""), ""^\s*"", """")"),"Отдача")</f>
        <v>Отдача</v>
      </c>
      <c r="H23" s="6" t="s">
        <v>236</v>
      </c>
    </row>
    <row r="24">
      <c r="A24" s="5" t="str">
        <f>IFERROR(__xludf.DUMMYFUNCTION("REGEXEXTRACT(H24, ""\d+\.\s*(.*?)\s*а\)"")"),"Какое зачарование позволяет дышать под водой? ")</f>
        <v>Какое зачарование позволяет дышать под водой? </v>
      </c>
      <c r="B24" s="5">
        <v>1.0</v>
      </c>
      <c r="C24" s="10"/>
      <c r="D24" s="5" t="str">
        <f>IFERROR(__xludf.DUMMYFUNCTION("REGEXREPLACE(REGEXEXTRACT(H24, ""а\)\s*(.*?)\s*б\)""), ""^\s*"", """")"),"Подводное дыхание ")</f>
        <v>Подводное дыхание </v>
      </c>
      <c r="E24" s="5" t="str">
        <f>IFERROR(__xludf.DUMMYFUNCTION("REGEXREPLACE(REGEXEXTRACT(H24, ""б\)\s*(.*?)\s*в\)""), ""^\s*"", """")"),"Невесомость")</f>
        <v>Невесомость</v>
      </c>
      <c r="F24" s="5" t="str">
        <f>IFERROR(__xludf.DUMMYFUNCTION("REGEXREPLACE(REGEXEXTRACT(H24, ""в\)\s*(.*?)\s*г\)""), ""^\s*"", """")"),"Регенерация")</f>
        <v>Регенерация</v>
      </c>
      <c r="G24" s="5" t="str">
        <f>IFERROR(__xludf.DUMMYFUNCTION("REGEXREPLACE(REGEXEXTRACT(H24, ""г\)\s*(.*)""), ""^\s*"", """")"),"Отдача")</f>
        <v>Отдача</v>
      </c>
      <c r="H24" s="6" t="s">
        <v>237</v>
      </c>
    </row>
    <row r="25">
      <c r="A25" s="5" t="str">
        <f>IFERROR(__xludf.DUMMYFUNCTION("REGEXEXTRACT(H25, ""\d+\.\s*(.*?)\s*а\)"")"),"Какой ингредиент используется для приготовления зелья невидимости? ")</f>
        <v>Какой ингредиент используется для приготовления зелья невидимости? </v>
      </c>
      <c r="B25" s="5">
        <v>1.0</v>
      </c>
      <c r="C25" s="10"/>
      <c r="D25" s="5" t="str">
        <f>IFERROR(__xludf.DUMMYFUNCTION("REGEXREPLACE(REGEXEXTRACT(H25, ""а\)\s*(.*?)\s*б\)""), ""^\s*"", """")"),"Золотая морковь ")</f>
        <v>Золотая морковь </v>
      </c>
      <c r="E25" s="5" t="str">
        <f>IFERROR(__xludf.DUMMYFUNCTION("REGEXREPLACE(REGEXEXTRACT(H25, ""б\)\s*(.*?)\s*в\)""), ""^\s*"", """")"),"Слеза гаста")</f>
        <v>Слеза гаста</v>
      </c>
      <c r="F25" s="5" t="str">
        <f>IFERROR(__xludf.DUMMYFUNCTION("REGEXREPLACE(REGEXEXTRACT(H25, ""в\)\s*(.*?)\s*г\)""), ""^\s*"", """")"),"Адский нарост")</f>
        <v>Адский нарост</v>
      </c>
      <c r="G25" s="5" t="str">
        <f>IFERROR(__xludf.DUMMYFUNCTION("REGEXREPLACE(REGEXEXTRACT(H25, ""г\)\s*(.*)""), ""^\s*"", """")"),"Красная пыль")</f>
        <v>Красная пыль</v>
      </c>
      <c r="H25" s="6" t="s">
        <v>238</v>
      </c>
    </row>
    <row r="26">
      <c r="A26" s="5" t="str">
        <f>IFERROR(__xludf.DUMMYFUNCTION("REGEXEXTRACT(H26, ""\d+\.\s*(.*?)\s*а\)"")"),"Какой блок передает редстоун сигнал? ")</f>
        <v>Какой блок передает редстоун сигнал? </v>
      </c>
      <c r="B26" s="5">
        <v>1.0</v>
      </c>
      <c r="C26" s="10"/>
      <c r="D26" s="5" t="str">
        <f>IFERROR(__xludf.DUMMYFUNCTION("REGEXREPLACE(REGEXEXTRACT(H26, ""а\)\s*(.*?)\s*б\)""), ""^\s*"", """")"),"Рычаг ")</f>
        <v>Рычаг </v>
      </c>
      <c r="E26" s="5" t="str">
        <f>IFERROR(__xludf.DUMMYFUNCTION("REGEXREPLACE(REGEXEXTRACT(H26, ""б\)\s*(.*?)\s*в\)""), ""^\s*"", """")"),"Сундук")</f>
        <v>Сундук</v>
      </c>
      <c r="F26" s="5" t="str">
        <f>IFERROR(__xludf.DUMMYFUNCTION("REGEXREPLACE(REGEXEXTRACT(H26, ""в\)\s*(.*?)\s*г\)""), ""^\s*"", """")"),"Верстак")</f>
        <v>Верстак</v>
      </c>
      <c r="G26" s="5" t="str">
        <f>IFERROR(__xludf.DUMMYFUNCTION("REGEXREPLACE(REGEXEXTRACT(H26, ""г\)\s*(.*)""), ""^\s*"", """")"),"Печь")</f>
        <v>Печь</v>
      </c>
      <c r="H26" s="6" t="s">
        <v>239</v>
      </c>
    </row>
    <row r="27">
      <c r="A27" s="5" t="str">
        <f>IFERROR(__xludf.DUMMYFUNCTION("REGEXEXTRACT(H27, ""\d+\.\s*(.*?)\s*а\)"")"),"Какой блок используется для создания сложных механизмов? ")</f>
        <v>Какой блок используется для создания сложных механизмов? </v>
      </c>
      <c r="B27" s="5">
        <v>1.0</v>
      </c>
      <c r="C27" s="10"/>
      <c r="D27" s="5" t="str">
        <f>IFERROR(__xludf.DUMMYFUNCTION("REGEXREPLACE(REGEXEXTRACT(H27, ""а\)\s*(.*?)\s*б\)""), ""^\s*"", """")"),"Поршень ")</f>
        <v>Поршень </v>
      </c>
      <c r="E27" s="5" t="str">
        <f>IFERROR(__xludf.DUMMYFUNCTION("REGEXREPLACE(REGEXEXTRACT(H27, ""б\)\s*(.*?)\s*в\)""), ""^\s*"", """")"),"Дерево")</f>
        <v>Дерево</v>
      </c>
      <c r="F27" s="5" t="str">
        <f>IFERROR(__xludf.DUMMYFUNCTION("REGEXREPLACE(REGEXEXTRACT(H27, ""в\)\s*(.*?)\s*г\)""), ""^\s*"", """")"),"Камень")</f>
        <v>Камень</v>
      </c>
      <c r="G27" s="5" t="str">
        <f>IFERROR(__xludf.DUMMYFUNCTION("REGEXREPLACE(REGEXEXTRACT(H27, ""г\)\s*(.*)""), ""^\s*"", """")"),"Стекло")</f>
        <v>Стекло</v>
      </c>
      <c r="H27" s="6" t="s">
        <v>240</v>
      </c>
    </row>
    <row r="28">
      <c r="A28" s="5" t="str">
        <f>IFERROR(__xludf.DUMMYFUNCTION("REGEXEXTRACT(H28, ""\d+\.\s*(.*?)\s*а\)"")"),"Какой блок может передавать редстоун сигнал без проводов? ")</f>
        <v>Какой блок может передавать редстоун сигнал без проводов? </v>
      </c>
      <c r="B28" s="5">
        <v>1.0</v>
      </c>
      <c r="C28" s="10"/>
      <c r="D28" s="5" t="str">
        <f>IFERROR(__xludf.DUMMYFUNCTION("REGEXREPLACE(REGEXEXTRACT(H28, ""а\)\s*(.*?)\s*б\)""), ""^\s*"", """")"),"Наблюдатель ")</f>
        <v>Наблюдатель </v>
      </c>
      <c r="E28" s="5" t="str">
        <f>IFERROR(__xludf.DUMMYFUNCTION("REGEXREPLACE(REGEXEXTRACT(H28, ""б\)\s*(.*?)\s*в\)""), ""^\s*"", """")"),"Компаратор")</f>
        <v>Компаратор</v>
      </c>
      <c r="F28" s="5" t="str">
        <f>IFERROR(__xludf.DUMMYFUNCTION("REGEXREPLACE(REGEXEXTRACT(H28, ""в\)\s*(.*?)\s*г\)""), ""^\s*"", """")"),"Повторитель")</f>
        <v>Повторитель</v>
      </c>
      <c r="G28" s="5" t="str">
        <f>IFERROR(__xludf.DUMMYFUNCTION("REGEXREPLACE(REGEXEXTRACT(H28, ""г\)\s*(.*)""), ""^\s*"", """")"),"Поршень")</f>
        <v>Поршень</v>
      </c>
      <c r="H28" s="6" t="s">
        <v>241</v>
      </c>
    </row>
    <row r="29">
      <c r="A29" s="5" t="str">
        <f>IFERROR(__xludf.DUMMYFUNCTION("REGEXEXTRACT(H29, ""\d+\.\s*(.*?)\s*а\)"")"),"Какой предмет нужно использовать для создания брони? ")</f>
        <v>Какой предмет нужно использовать для создания брони? </v>
      </c>
      <c r="B29" s="5">
        <v>1.0</v>
      </c>
      <c r="C29" s="10"/>
      <c r="D29" s="5" t="str">
        <f>IFERROR(__xludf.DUMMYFUNCTION("REGEXREPLACE(REGEXEXTRACT(H29, ""а\)\s*(.*?)\s*б\)""), ""^\s*"", """")"),"Кожа ")</f>
        <v>Кожа </v>
      </c>
      <c r="E29" s="5" t="str">
        <f>IFERROR(__xludf.DUMMYFUNCTION("REGEXREPLACE(REGEXEXTRACT(H29, ""б\)\s*(.*?)\s*в\)""), ""^\s*"", """")"),"Земля")</f>
        <v>Земля</v>
      </c>
      <c r="F29" s="5" t="str">
        <f>IFERROR(__xludf.DUMMYFUNCTION("REGEXREPLACE(REGEXEXTRACT(H29, ""в\)\s*(.*?)\s*г\)""), ""^\s*"", """")"),"Камень")</f>
        <v>Камень</v>
      </c>
      <c r="G29" s="5" t="str">
        <f>IFERROR(__xludf.DUMMYFUNCTION("REGEXREPLACE(REGEXEXTRACT(H29, ""г\)\s*(.*)""), ""^\s*"", """")"),"Песок")</f>
        <v>Песок</v>
      </c>
      <c r="H29" s="6" t="s">
        <v>242</v>
      </c>
    </row>
    <row r="30">
      <c r="A30" s="5" t="str">
        <f>IFERROR(__xludf.DUMMYFUNCTION("REGEXEXTRACT(H30, ""\d+\.\s*(.*?)\s*а\)"")"),"Какой предмет позволяет быстро перемещаться по рельсам? ")</f>
        <v>Какой предмет позволяет быстро перемещаться по рельсам? </v>
      </c>
      <c r="B30" s="5">
        <v>1.0</v>
      </c>
      <c r="C30" s="10"/>
      <c r="D30" s="5" t="str">
        <f>IFERROR(__xludf.DUMMYFUNCTION("REGEXREPLACE(REGEXEXTRACT(H30, ""а\)\s*(.*?)\s*б\)""), ""^\s*"", """")"),"Вагонетка ")</f>
        <v>Вагонетка </v>
      </c>
      <c r="E30" s="5" t="str">
        <f>IFERROR(__xludf.DUMMYFUNCTION("REGEXREPLACE(REGEXEXTRACT(H30, ""б\)\s*(.*?)\s*в\)""), ""^\s*"", """")"),"Лодка")</f>
        <v>Лодка</v>
      </c>
      <c r="F30" s="5" t="str">
        <f>IFERROR(__xludf.DUMMYFUNCTION("REGEXREPLACE(REGEXEXTRACT(H30, ""в\)\s*(.*?)\s*г\)""), ""^\s*"", """")"),"Весло")</f>
        <v>Весло</v>
      </c>
      <c r="G30" s="5" t="str">
        <f>IFERROR(__xludf.DUMMYFUNCTION("REGEXREPLACE(REGEXEXTRACT(H30, ""г\)\s*(.*)""), ""^\s*"", """")"),"Лопата")</f>
        <v>Лопата</v>
      </c>
      <c r="H30" s="6" t="s">
        <v>243</v>
      </c>
    </row>
    <row r="31">
      <c r="A31" s="5" t="str">
        <f>IFERROR(__xludf.DUMMYFUNCTION("REGEXEXTRACT(H31, ""\d+\.\s*(.*?)\s*а\)"")"),"Какой блок нужен для создания зелья? ")</f>
        <v>Какой блок нужен для создания зелья? </v>
      </c>
      <c r="B31" s="5">
        <v>1.0</v>
      </c>
      <c r="C31" s="10"/>
      <c r="D31" s="5" t="str">
        <f>IFERROR(__xludf.DUMMYFUNCTION("REGEXREPLACE(REGEXEXTRACT(H31, ""а\)\s*(.*?)\s*б\)""), ""^\s*"", """")"),"Варочная стойка ")</f>
        <v>Варочная стойка </v>
      </c>
      <c r="E31" s="5" t="str">
        <f>IFERROR(__xludf.DUMMYFUNCTION("REGEXREPLACE(REGEXEXTRACT(H31, ""б\)\s*(.*?)\s*в\)""), ""^\s*"", """")"),"Верстак")</f>
        <v>Верстак</v>
      </c>
      <c r="F31" s="5" t="str">
        <f>IFERROR(__xludf.DUMMYFUNCTION("REGEXREPLACE(REGEXEXTRACT(H31, ""в\)\s*(.*?)\s*г\)""), ""^\s*"", """")"),"Печь")</f>
        <v>Печь</v>
      </c>
      <c r="G31" s="5" t="str">
        <f>IFERROR(__xludf.DUMMYFUNCTION("REGEXREPLACE(REGEXEXTRACT(H31, ""г\)\s*(.*)""), ""^\s*"", """")"),"Сундук")</f>
        <v>Сундук</v>
      </c>
      <c r="H31" s="6" t="s">
        <v>244</v>
      </c>
    </row>
    <row r="32">
      <c r="A32" s="5" t="str">
        <f>IFERROR(__xludf.DUMMYFUNCTION("REGEXEXTRACT(H32, ""\d+\.\s*(.*?)\s*а\)"")"),"Какой блок нужен для хранения предметов? ")</f>
        <v>Какой блок нужен для хранения предметов? </v>
      </c>
      <c r="B32" s="5">
        <v>1.0</v>
      </c>
      <c r="C32" s="10"/>
      <c r="D32" s="5" t="str">
        <f>IFERROR(__xludf.DUMMYFUNCTION("REGEXREPLACE(REGEXEXTRACT(H32, ""а\)\s*(.*?)\s*б\)""), ""^\s*"", """")"),"Сундук ")</f>
        <v>Сундук </v>
      </c>
      <c r="E32" s="5" t="str">
        <f>IFERROR(__xludf.DUMMYFUNCTION("REGEXREPLACE(REGEXEXTRACT(H32, ""б\)\s*(.*?)\s*в\)""), ""^\s*"", """")"),"Верстак")</f>
        <v>Верстак</v>
      </c>
      <c r="F32" s="5" t="str">
        <f>IFERROR(__xludf.DUMMYFUNCTION("REGEXREPLACE(REGEXEXTRACT(H32, ""в\)\s*(.*?)\s*г\)""), ""^\s*"", """")"),"Печь")</f>
        <v>Печь</v>
      </c>
      <c r="G32" s="5" t="str">
        <f>IFERROR(__xludf.DUMMYFUNCTION("REGEXREPLACE(REGEXEXTRACT(H32, ""г\)\s*(.*)""), ""^\s*"", """")"),"Камень")</f>
        <v>Камень</v>
      </c>
      <c r="H32" s="6" t="s">
        <v>245</v>
      </c>
    </row>
    <row r="33">
      <c r="A33" s="5" t="str">
        <f>IFERROR(__xludf.DUMMYFUNCTION("REGEXEXTRACT(H33, ""\d+\.\s*(.*?)\s*а\)"")"),"Какой предмет используется для зачарования? ")</f>
        <v>Какой предмет используется для зачарования? </v>
      </c>
      <c r="B33" s="5">
        <v>1.0</v>
      </c>
      <c r="C33" s="10"/>
      <c r="D33" s="5" t="str">
        <f>IFERROR(__xludf.DUMMYFUNCTION("REGEXREPLACE(REGEXEXTRACT(H33, ""а\)\s*(.*?)\s*б\)""), ""^\s*"", """")"),"Зачаровальный стол ")</f>
        <v>Зачаровальный стол </v>
      </c>
      <c r="E33" s="5" t="str">
        <f>IFERROR(__xludf.DUMMYFUNCTION("REGEXREPLACE(REGEXEXTRACT(H33, ""б\)\s*(.*?)\s*в\)""), ""^\s*"", """")"),"Печь")</f>
        <v>Печь</v>
      </c>
      <c r="F33" s="5" t="str">
        <f>IFERROR(__xludf.DUMMYFUNCTION("REGEXREPLACE(REGEXEXTRACT(H33, ""в\)\s*(.*?)\s*г\)""), ""^\s*"", """")"),"Верстак")</f>
        <v>Верстак</v>
      </c>
      <c r="G33" s="5" t="str">
        <f>IFERROR(__xludf.DUMMYFUNCTION("REGEXREPLACE(REGEXEXTRACT(H33, ""г\)\s*(.*)""), ""^\s*"", """")"),"Сундук")</f>
        <v>Сундук</v>
      </c>
      <c r="H33" s="6" t="s">
        <v>246</v>
      </c>
    </row>
    <row r="34">
      <c r="A34" s="5" t="str">
        <f>IFERROR(__xludf.DUMMYFUNCTION("REGEXEXTRACT(H34, ""\d+\.\s*(.*?)\s*а\)"")"),"Какое достижение дается за вход в Нижний мир? ")</f>
        <v>Какое достижение дается за вход в Нижний мир? </v>
      </c>
      <c r="B34" s="5">
        <v>1.0</v>
      </c>
      <c r="C34" s="10"/>
      <c r="D34" s="5" t="str">
        <f>IFERROR(__xludf.DUMMYFUNCTION("REGEXREPLACE(REGEXEXTRACT(H34, ""а\)\s*(.*?)\s*б\)""), ""^\s*"", """")"),"“Огненные недра” ")</f>
        <v>“Огненные недра” </v>
      </c>
      <c r="E34" s="5" t="str">
        <f>IFERROR(__xludf.DUMMYFUNCTION("REGEXREPLACE(REGEXEXTRACT(H34, ""б\)\s*(.*?)\s*в\)""), ""^\s*"", """")"),"“На дно”")</f>
        <v>“На дно”</v>
      </c>
      <c r="F34" s="5" t="str">
        <f>IFERROR(__xludf.DUMMYFUNCTION("REGEXREPLACE(REGEXEXTRACT(H34, ""в\)\s*(.*?)\s*г\)""), ""^\s*"", """")"),"“Свободное падение”")</f>
        <v>“Свободное падение”</v>
      </c>
      <c r="G34" s="5" t="str">
        <f>IFERROR(__xludf.DUMMYFUNCTION("REGEXREPLACE(REGEXEXTRACT(H34, ""г\)\s*(.*)""), ""^\s*"", """")"),"“Начать гонку”")</f>
        <v>“Начать гонку”</v>
      </c>
      <c r="H34" s="6" t="s">
        <v>247</v>
      </c>
    </row>
    <row r="35">
      <c r="A35" s="5" t="str">
        <f>IFERROR(__xludf.DUMMYFUNCTION("REGEXEXTRACT(H35, ""\d+\.\s*(.*?)\s*а\)"")"),"Какое достижение дается за попадание в Край? ")</f>
        <v>Какое достижение дается за попадание в Край? </v>
      </c>
      <c r="B35" s="5">
        <v>1.0</v>
      </c>
      <c r="C35" s="11"/>
      <c r="D35" s="5" t="str">
        <f>IFERROR(__xludf.DUMMYFUNCTION("REGEXREPLACE(REGEXEXTRACT(H35, ""а\)\s*(.*?)\s*б\)""), ""^\s*"", """")"),"“Конец?” ")</f>
        <v>“Конец?” </v>
      </c>
      <c r="E35" s="5" t="str">
        <f>IFERROR(__xludf.DUMMYFUNCTION("REGEXREPLACE(REGEXEXTRACT(H35, ""б\)\s*(.*?)\s*в\)""), ""^\s*"", """")"),"“Выйти за рамки”")</f>
        <v>“Выйти за рамки”</v>
      </c>
      <c r="F35" s="5" t="str">
        <f>IFERROR(__xludf.DUMMYFUNCTION("REGEXREPLACE(REGEXEXTRACT(H35, ""в\)\s*(.*?)\s*г\)""), ""^\s*"", """")"),"“Начать гонку”")</f>
        <v>“Начать гонку”</v>
      </c>
      <c r="G35" s="5" t="str">
        <f>IFERROR(__xludf.DUMMYFUNCTION("REGEXREPLACE(REGEXEXTRACT(H35, ""г\)\s*(.*)""), ""^\s*"", """")"),"“Дикий”")</f>
        <v>“Дикий”</v>
      </c>
      <c r="H35" s="6" t="s">
        <v>248</v>
      </c>
    </row>
    <row r="36">
      <c r="A36" s="5" t="str">
        <f>IFERROR(__xludf.DUMMYFUNCTION("REGEXEXTRACT(H36, ""\d+\.\s*(.*?)\s*а\)"")"),"Какое достижение дается за создание алмазной брони? ")</f>
        <v>Какое достижение дается за создание алмазной брони? </v>
      </c>
      <c r="B36" s="5">
        <v>1.0</v>
      </c>
      <c r="C36" s="11"/>
      <c r="D36" s="5" t="str">
        <f>IFERROR(__xludf.DUMMYFUNCTION("REGEXREPLACE(REGEXEXTRACT(H36, ""а\)\s*(.*?)\s*б\)""), ""^\s*"", """")"),"“Осыпь меня алмазами” ")</f>
        <v>“Осыпь меня алмазами” </v>
      </c>
      <c r="E36" s="5" t="str">
        <f>IFERROR(__xludf.DUMMYFUNCTION("REGEXREPLACE(REGEXEXTRACT(H36, ""б\)\s*(.*?)\s*в\)""), ""^\s*"", """")"),"“Отправиться на войну”")</f>
        <v>“Отправиться на войну”</v>
      </c>
      <c r="F36" s="5" t="str">
        <f>IFERROR(__xludf.DUMMYFUNCTION("REGEXREPLACE(REGEXEXTRACT(H36, ""в\)\s*(.*?)\s*г\)""), ""^\s*"", """")"),"“Мы богачи”")</f>
        <v>“Мы богачи”</v>
      </c>
      <c r="G36" s="5" t="str">
        <f>IFERROR(__xludf.DUMMYFUNCTION("REGEXREPLACE(REGEXEXTRACT(H36, ""г\)\s*(.*)""), ""^\s*"", """")"),"“Железный человек”")</f>
        <v>“Железный человек”</v>
      </c>
      <c r="H36" s="6" t="s">
        <v>249</v>
      </c>
    </row>
    <row r="37">
      <c r="A37" s="5" t="str">
        <f>IFERROR(__xludf.DUMMYFUNCTION("REGEXEXTRACT(H37, ""\d+\.\s*(.*?)\s*а\)"")"),"Как называется моб, который охраняет сокровищницу в лесном особняке? ")</f>
        <v>Как называется моб, который охраняет сокровищницу в лесном особняке? </v>
      </c>
      <c r="B37" s="5">
        <v>1.0</v>
      </c>
      <c r="C37" s="11"/>
      <c r="D37" s="5" t="str">
        <f>IFERROR(__xludf.DUMMYFUNCTION("REGEXREPLACE(REGEXEXTRACT(H37, ""а\)\s*(.*?)\s*б\)""), ""^\s*"", """")"),"Разоритель ")</f>
        <v>Разоритель </v>
      </c>
      <c r="E37" s="5" t="str">
        <f>IFERROR(__xludf.DUMMYFUNCTION("REGEXREPLACE(REGEXEXTRACT(H37, ""б\)\s*(.*?)\s*в\)""), ""^\s*"", """")"),"Страж")</f>
        <v>Страж</v>
      </c>
      <c r="F37" s="5" t="str">
        <f>IFERROR(__xludf.DUMMYFUNCTION("REGEXREPLACE(REGEXEXTRACT(H37, ""в\)\s*(.*?)\s*г\)""), ""^\s*"", """")"),"Эндермен")</f>
        <v>Эндермен</v>
      </c>
      <c r="G37" s="5" t="str">
        <f>IFERROR(__xludf.DUMMYFUNCTION("REGEXREPLACE(REGEXEXTRACT(H37, ""г\)\s*(.*)""), ""^\s*"", """")"),"Гаст")</f>
        <v>Гаст</v>
      </c>
      <c r="H37" s="6" t="s">
        <v>250</v>
      </c>
    </row>
    <row r="38">
      <c r="A38" s="5" t="str">
        <f>IFERROR(__xludf.DUMMYFUNCTION("REGEXEXTRACT(H38, ""\d+\.\s*(.*?)\s*а\)"")"),"Какой предмет нужен для призыва Иссушителя? ")</f>
        <v>Какой предмет нужен для призыва Иссушителя? </v>
      </c>
      <c r="B38" s="5">
        <v>1.0</v>
      </c>
      <c r="C38" s="11"/>
      <c r="D38" s="5" t="str">
        <f>IFERROR(__xludf.DUMMYFUNCTION("REGEXREPLACE(REGEXEXTRACT(H38, ""а\)\s*(.*?)\s*б\)""), ""^\s*"", """")"),"Песок душ ")</f>
        <v>Песок душ </v>
      </c>
      <c r="E38" s="5" t="str">
        <f>IFERROR(__xludf.DUMMYFUNCTION("REGEXREPLACE(REGEXEXTRACT(H38, ""б\)\s*(.*?)\s*в\)""), ""^\s*"", """")"),"Алмазный блок")</f>
        <v>Алмазный блок</v>
      </c>
      <c r="F38" s="5" t="str">
        <f>IFERROR(__xludf.DUMMYFUNCTION("REGEXREPLACE(REGEXEXTRACT(H38, ""в\)\s*(.*?)\s*г\)""), ""^\s*"", """")"),"Железный слиток")</f>
        <v>Железный слиток</v>
      </c>
      <c r="G38" s="5" t="str">
        <f>IFERROR(__xludf.DUMMYFUNCTION("REGEXREPLACE(REGEXEXTRACT(H38, ""г\)\s*(.*)""), ""^\s*"", """")"),"Золотой слиток")</f>
        <v>Золотой слиток</v>
      </c>
      <c r="H38" s="6" t="s">
        <v>251</v>
      </c>
    </row>
    <row r="39">
      <c r="A39" s="5" t="str">
        <f>IFERROR(__xludf.DUMMYFUNCTION("REGEXEXTRACT(H39, ""\d+\.\s*(.*?)\s*а\)"")"),"Какой моб может телепортироваться и красть блоки? ")</f>
        <v>Какой моб может телепортироваться и красть блоки? </v>
      </c>
      <c r="B39" s="5">
        <v>1.0</v>
      </c>
      <c r="C39" s="11"/>
      <c r="D39" s="5" t="str">
        <f>IFERROR(__xludf.DUMMYFUNCTION("REGEXREPLACE(REGEXEXTRACT(H39, ""а\)\s*(.*?)\s*б\)""), ""^\s*"", """")"),"Эндермен ")</f>
        <v>Эндермен </v>
      </c>
      <c r="E39" s="5" t="str">
        <f>IFERROR(__xludf.DUMMYFUNCTION("REGEXREPLACE(REGEXEXTRACT(H39, ""б\)\s*(.*?)\s*в\)""), ""^\s*"", """")"),"Зомби")</f>
        <v>Зомби</v>
      </c>
      <c r="F39" s="5" t="str">
        <f>IFERROR(__xludf.DUMMYFUNCTION("REGEXREPLACE(REGEXEXTRACT(H39, ""в\)\s*(.*?)\s*г\)""), ""^\s*"", """")"),"Крипер")</f>
        <v>Крипер</v>
      </c>
      <c r="G39" s="5" t="str">
        <f>IFERROR(__xludf.DUMMYFUNCTION("REGEXREPLACE(REGEXEXTRACT(H39, ""г\)\s*(.*)""), ""^\s*"", """")"),"Скелет")</f>
        <v>Скелет</v>
      </c>
      <c r="H39" s="6" t="s">
        <v>252</v>
      </c>
    </row>
    <row r="40">
      <c r="A40" s="5" t="str">
        <f>IFERROR(__xludf.DUMMYFUNCTION("REGEXEXTRACT(H40, ""\d+\.\s*(.*?)\s*а\)"")"),"Какой моб является боссом океанического монумента? ")</f>
        <v>Какой моб является боссом океанического монумента? </v>
      </c>
      <c r="B40" s="5">
        <v>1.0</v>
      </c>
      <c r="C40" s="11"/>
      <c r="D40" s="5" t="str">
        <f>IFERROR(__xludf.DUMMYFUNCTION("REGEXREPLACE(REGEXEXTRACT(H40, ""а\)\s*(.*?)\s*б\)""), ""^\s*"", """")"),"Древний страж ")</f>
        <v>Древний страж </v>
      </c>
      <c r="E40" s="5" t="str">
        <f>IFERROR(__xludf.DUMMYFUNCTION("REGEXREPLACE(REGEXEXTRACT(H40, ""б\)\s*(.*?)\s*в\)""), ""^\s*"", """")"),"Страж")</f>
        <v>Страж</v>
      </c>
      <c r="F40" s="5" t="str">
        <f>IFERROR(__xludf.DUMMYFUNCTION("REGEXREPLACE(REGEXEXTRACT(H40, ""в\)\s*(.*?)\s*г\)""), ""^\s*"", """")"),"Утопленник")</f>
        <v>Утопленник</v>
      </c>
      <c r="G40" s="5" t="str">
        <f>IFERROR(__xludf.DUMMYFUNCTION("REGEXREPLACE(REGEXEXTRACT(H40, ""г\)\s*(.*)""), ""^\s*"", """")"),"Гаст")</f>
        <v>Гаст</v>
      </c>
      <c r="H40" s="6" t="s">
        <v>253</v>
      </c>
    </row>
    <row r="41">
      <c r="A41" s="5" t="str">
        <f>IFERROR(__xludf.DUMMYFUNCTION("REGEXEXTRACT(H41, ""\d+\.\s*(.*?)\s*а\)"")"),"Какой моб является враждебной версией жителя деревни? ")</f>
        <v>Какой моб является враждебной версией жителя деревни? </v>
      </c>
      <c r="B41" s="5">
        <v>1.0</v>
      </c>
      <c r="C41" s="11"/>
      <c r="D41" s="5" t="str">
        <f>IFERROR(__xludf.DUMMYFUNCTION("REGEXREPLACE(REGEXEXTRACT(H41, ""а\)\s*(.*?)\s*б\)""), ""^\s*"", """")"),"Разбойник ")</f>
        <v>Разбойник </v>
      </c>
      <c r="E41" s="5" t="str">
        <f>IFERROR(__xludf.DUMMYFUNCTION("REGEXREPLACE(REGEXEXTRACT(H41, ""б\)\s*(.*?)\s*в\)""), ""^\s*"", """")"),"Зомби")</f>
        <v>Зомби</v>
      </c>
      <c r="F41" s="5" t="str">
        <f>IFERROR(__xludf.DUMMYFUNCTION("REGEXREPLACE(REGEXEXTRACT(H41, ""в\)\s*(.*?)\s*г\)""), ""^\s*"", """")"),"Скелет")</f>
        <v>Скелет</v>
      </c>
      <c r="G41" s="5" t="str">
        <f>IFERROR(__xludf.DUMMYFUNCTION("REGEXREPLACE(REGEXEXTRACT(H41, ""г\)\s*(.*)""), ""^\s*"", """")"),"Крипер")</f>
        <v>Крипер</v>
      </c>
      <c r="H41" s="6" t="s">
        <v>254</v>
      </c>
    </row>
    <row r="42">
      <c r="A42" s="5" t="str">
        <f>IFERROR(__xludf.DUMMYFUNCTION("REGEXEXTRACT(H42, ""\d+\.\s*(.*?)\s*а\)"")"),"Какой инструмент используется для копания земли и песка? ")</f>
        <v>Какой инструмент используется для копания земли и песка? </v>
      </c>
      <c r="B42" s="5">
        <v>1.0</v>
      </c>
      <c r="C42" s="11"/>
      <c r="D42" s="5" t="str">
        <f>IFERROR(__xludf.DUMMYFUNCTION("REGEXREPLACE(REGEXEXTRACT(H42, ""а\)\s*(.*?)\s*б\)""), ""^\s*"", """")"),"Лопата ")</f>
        <v>Лопата </v>
      </c>
      <c r="E42" s="5" t="str">
        <f>IFERROR(__xludf.DUMMYFUNCTION("REGEXREPLACE(REGEXEXTRACT(H42, ""б\)\s*(.*?)\s*в\)""), ""^\s*"", """")"),"Кирка")</f>
        <v>Кирка</v>
      </c>
      <c r="F42" s="5" t="str">
        <f>IFERROR(__xludf.DUMMYFUNCTION("REGEXREPLACE(REGEXEXTRACT(H42, ""в\)\s*(.*?)\s*г\)""), ""^\s*"", """")"),"Топор")</f>
        <v>Топор</v>
      </c>
      <c r="G42" s="5" t="str">
        <f>IFERROR(__xludf.DUMMYFUNCTION("REGEXREPLACE(REGEXEXTRACT(H42, ""г\)\s*(.*)""), ""^\s*"", """")"),"Мотыга")</f>
        <v>Мотыга</v>
      </c>
      <c r="H42" s="6" t="s">
        <v>255</v>
      </c>
    </row>
    <row r="43">
      <c r="A43" s="5" t="str">
        <f>IFERROR(__xludf.DUMMYFUNCTION("REGEXEXTRACT(H43, ""\d+\.\s*(.*?)\s*а\)"")"),"Какой инструмент используется для рубки дерева? ")</f>
        <v>Какой инструмент используется для рубки дерева? </v>
      </c>
      <c r="B43" s="5">
        <v>1.0</v>
      </c>
      <c r="C43" s="11"/>
      <c r="D43" s="5" t="str">
        <f>IFERROR(__xludf.DUMMYFUNCTION("REGEXREPLACE(REGEXEXTRACT(H43, ""а\)\s*(.*?)\s*б\)""), ""^\s*"", """")"),"Топор ")</f>
        <v>Топор </v>
      </c>
      <c r="E43" s="5" t="str">
        <f>IFERROR(__xludf.DUMMYFUNCTION("REGEXREPLACE(REGEXEXTRACT(H43, ""б\)\s*(.*?)\s*в\)""), ""^\s*"", """")"),"Кирка")</f>
        <v>Кирка</v>
      </c>
      <c r="F43" s="5" t="str">
        <f>IFERROR(__xludf.DUMMYFUNCTION("REGEXREPLACE(REGEXEXTRACT(H43, ""в\)\s*(.*?)\s*г\)""), ""^\s*"", """")"),"Лопата")</f>
        <v>Лопата</v>
      </c>
      <c r="G43" s="5" t="str">
        <f>IFERROR(__xludf.DUMMYFUNCTION("REGEXREPLACE(REGEXEXTRACT(H43, ""г\)\s*(.*)""), ""^\s*"", """")"),"Мотыга")</f>
        <v>Мотыга</v>
      </c>
      <c r="H43" s="6" t="s">
        <v>256</v>
      </c>
    </row>
    <row r="44">
      <c r="A44" s="5" t="str">
        <f>IFERROR(__xludf.DUMMYFUNCTION("REGEXEXTRACT(H44, ""\d+\.\s*(.*?)\s*а\)"")"),"Какой предмет используется для создания стрел? ")</f>
        <v>Какой предмет используется для создания стрел? </v>
      </c>
      <c r="B44" s="5">
        <v>1.0</v>
      </c>
      <c r="C44" s="11"/>
      <c r="D44" s="5" t="str">
        <f>IFERROR(__xludf.DUMMYFUNCTION("REGEXREPLACE(REGEXEXTRACT(H44, ""а\)\s*(.*?)\s*б\)""), ""^\s*"", """")"),"Кремний ")</f>
        <v>Кремний </v>
      </c>
      <c r="E44" s="5" t="str">
        <f>IFERROR(__xludf.DUMMYFUNCTION("REGEXREPLACE(REGEXEXTRACT(H44, ""б\)\s*(.*?)\s*в\)""), ""^\s*"", """")"),"Уголь")</f>
        <v>Уголь</v>
      </c>
      <c r="F44" s="5" t="str">
        <f>IFERROR(__xludf.DUMMYFUNCTION("REGEXREPLACE(REGEXEXTRACT(H44, ""в\)\s*(.*?)\s*г\)""), ""^\s*"", """")"),"Железо")</f>
        <v>Железо</v>
      </c>
      <c r="G44" s="5" t="str">
        <f>IFERROR(__xludf.DUMMYFUNCTION("REGEXREPLACE(REGEXEXTRACT(H44, ""г\)\s*(.*)""), ""^\s*"", """")"),"Золото")</f>
        <v>Золото</v>
      </c>
      <c r="H44" s="6" t="s">
        <v>257</v>
      </c>
    </row>
    <row r="45">
      <c r="A45" s="5" t="str">
        <f>IFERROR(__xludf.DUMMYFUNCTION("REGEXEXTRACT(H45, ""\d+\.\s*(.*?)\s*а\)"")"),"Какой предмет используется для стрельбы стрелами? ")</f>
        <v>Какой предмет используется для стрельбы стрелами? </v>
      </c>
      <c r="B45" s="5">
        <v>1.0</v>
      </c>
      <c r="C45" s="11"/>
      <c r="D45" s="5" t="str">
        <f>IFERROR(__xludf.DUMMYFUNCTION("REGEXREPLACE(REGEXEXTRACT(H45, ""а\)\s*(.*?)\s*б\)""), ""^\s*"", """")"),"Лук ")</f>
        <v>Лук </v>
      </c>
      <c r="E45" s="5" t="str">
        <f>IFERROR(__xludf.DUMMYFUNCTION("REGEXREPLACE(REGEXEXTRACT(H45, ""б\)\s*(.*?)\s*в\)""), ""^\s*"", """")"),"Меч")</f>
        <v>Меч</v>
      </c>
      <c r="F45" s="5" t="str">
        <f>IFERROR(__xludf.DUMMYFUNCTION("REGEXREPLACE(REGEXEXTRACT(H45, ""в\)\s*(.*?)\s*г\)""), ""^\s*"", """")"),"Топор")</f>
        <v>Топор</v>
      </c>
      <c r="G45" s="5" t="str">
        <f>IFERROR(__xludf.DUMMYFUNCTION("REGEXREPLACE(REGEXEXTRACT(H45, ""г\)\s*(.*)""), ""^\s*"", """")"),"Мотыга")</f>
        <v>Мотыга</v>
      </c>
      <c r="H45" s="6" t="s">
        <v>258</v>
      </c>
    </row>
    <row r="46">
      <c r="A46" s="5" t="str">
        <f>IFERROR(__xludf.DUMMYFUNCTION("REGEXEXTRACT(H46, ""\d+\.\s*(.*?)\s*а\)"")"),"Какой блок можно использовать для создания света? ")</f>
        <v>Какой блок можно использовать для создания света? </v>
      </c>
      <c r="B46" s="5">
        <v>1.0</v>
      </c>
      <c r="C46" s="11"/>
      <c r="D46" s="5" t="str">
        <f>IFERROR(__xludf.DUMMYFUNCTION("REGEXREPLACE(REGEXEXTRACT(H46, ""а\)\s*(.*?)\s*б\)""), ""^\s*"", """")"),"Факел ")</f>
        <v>Факел </v>
      </c>
      <c r="E46" s="5" t="str">
        <f>IFERROR(__xludf.DUMMYFUNCTION("REGEXREPLACE(REGEXEXTRACT(H46, ""б\)\s*(.*?)\s*в\)""), ""^\s*"", """")"),"Земля")</f>
        <v>Земля</v>
      </c>
      <c r="F46" s="5" t="str">
        <f>IFERROR(__xludf.DUMMYFUNCTION("REGEXREPLACE(REGEXEXTRACT(H46, ""в\)\s*(.*?)\s*г\)""), ""^\s*"", """")"),"Камень")</f>
        <v>Камень</v>
      </c>
      <c r="G46" s="5" t="str">
        <f>IFERROR(__xludf.DUMMYFUNCTION("REGEXREPLACE(REGEXEXTRACT(H46, ""г\)\s*(.*)""), ""^\s*"", """")"),"Песок")</f>
        <v>Песок</v>
      </c>
      <c r="H46" s="6" t="s">
        <v>259</v>
      </c>
    </row>
    <row r="47">
      <c r="A47" s="5" t="str">
        <f>IFERROR(__xludf.DUMMYFUNCTION("REGEXEXTRACT(H47, ""\d+\.\s*(.*?)\s*а\)"")"),"Какой блок используется для плавки руды? ")</f>
        <v>Какой блок используется для плавки руды? </v>
      </c>
      <c r="B47" s="5">
        <v>1.0</v>
      </c>
      <c r="C47" s="11"/>
      <c r="D47" s="5" t="str">
        <f>IFERROR(__xludf.DUMMYFUNCTION("REGEXREPLACE(REGEXEXTRACT(H47, ""а\)\s*(.*?)\s*б\)""), ""^\s*"", """")"),"Печь ")</f>
        <v>Печь </v>
      </c>
      <c r="E47" s="5" t="str">
        <f>IFERROR(__xludf.DUMMYFUNCTION("REGEXREPLACE(REGEXEXTRACT(H47, ""б\)\s*(.*?)\s*в\)""), ""^\s*"", """")"),"Верстак")</f>
        <v>Верстак</v>
      </c>
      <c r="F47" s="5" t="str">
        <f>IFERROR(__xludf.DUMMYFUNCTION("REGEXREPLACE(REGEXEXTRACT(H47, ""в\)\s*(.*?)\s*г\)""), ""^\s*"", """")"),"Сундук")</f>
        <v>Сундук</v>
      </c>
      <c r="G47" s="5" t="str">
        <f>IFERROR(__xludf.DUMMYFUNCTION("REGEXREPLACE(REGEXEXTRACT(H47, ""г\)\s*(.*)""), ""^\s*"", """")"),"Камень")</f>
        <v>Камень</v>
      </c>
      <c r="H47" s="6" t="s">
        <v>260</v>
      </c>
    </row>
    <row r="48">
      <c r="A48" s="5" t="str">
        <f>IFERROR(__xludf.DUMMYFUNCTION("REGEXEXTRACT(H48, ""\d+\.\s*(.*?)\s*а\)"")"),"Какой блок используется для создания водяных лифтов? ")</f>
        <v>Какой блок используется для создания водяных лифтов? </v>
      </c>
      <c r="B48" s="5">
        <v>1.0</v>
      </c>
      <c r="C48" s="11"/>
      <c r="D48" s="5" t="str">
        <f>IFERROR(__xludf.DUMMYFUNCTION("REGEXREPLACE(REGEXEXTRACT(H48, ""а\)\s*(.*?)\s*б\)""), ""^\s*"", """")"),"Песок душ ")</f>
        <v>Песок душ </v>
      </c>
      <c r="E48" s="5" t="str">
        <f>IFERROR(__xludf.DUMMYFUNCTION("REGEXREPLACE(REGEXEXTRACT(H48, ""б\)\s*(.*?)\s*в\)""), ""^\s*"", """")"),"Факел")</f>
        <v>Факел</v>
      </c>
      <c r="F48" s="5" t="str">
        <f>IFERROR(__xludf.DUMMYFUNCTION("REGEXREPLACE(REGEXEXTRACT(H48, ""в\)\s*(.*?)\s*г\)""), ""^\s*"", """")"),"Камень")</f>
        <v>Камень</v>
      </c>
      <c r="G48" s="5" t="str">
        <f>IFERROR(__xludf.DUMMYFUNCTION("REGEXREPLACE(REGEXEXTRACT(H48, ""г\)\s*(.*)""), ""^\s*"", """")"),"Земля")</f>
        <v>Земля</v>
      </c>
      <c r="H48" s="6" t="s">
        <v>261</v>
      </c>
    </row>
    <row r="49">
      <c r="A49" s="5" t="str">
        <f>IFERROR(__xludf.DUMMYFUNCTION("REGEXEXTRACT(H49, ""\d+\.\s*(.*?)\s*а\)"")"),"Как называется мир, который является “адом” в Minecraft? ")</f>
        <v>Как называется мир, который является “адом” в Minecraft? </v>
      </c>
      <c r="B49" s="5">
        <v>1.0</v>
      </c>
      <c r="C49" s="11"/>
      <c r="D49" s="5" t="str">
        <f>IFERROR(__xludf.DUMMYFUNCTION("REGEXREPLACE(REGEXEXTRACT(H49, ""а\)\s*(.*?)\s*б\)""), ""^\s*"", """")"),"Нижний мир ")</f>
        <v>Нижний мир </v>
      </c>
      <c r="E49" s="5" t="str">
        <f>IFERROR(__xludf.DUMMYFUNCTION("REGEXREPLACE(REGEXEXTRACT(H49, ""б\)\s*(.*?)\s*в\)""), ""^\s*"", """")"),"Край")</f>
        <v>Край</v>
      </c>
      <c r="F49" s="5" t="str">
        <f>IFERROR(__xludf.DUMMYFUNCTION("REGEXREPLACE(REGEXEXTRACT(H49, ""в\)\s*(.*?)\s*г\)""), ""^\s*"", """")"),"Верхний мир")</f>
        <v>Верхний мир</v>
      </c>
      <c r="G49" s="5" t="str">
        <f>IFERROR(__xludf.DUMMYFUNCTION("REGEXREPLACE(REGEXEXTRACT(H49, ""г\)\s*(.*)""), ""^\s*"", """")"),"Измерение грибов")</f>
        <v>Измерение грибов</v>
      </c>
      <c r="H49" s="6" t="s">
        <v>262</v>
      </c>
    </row>
    <row r="50">
      <c r="A50" s="5" t="str">
        <f>IFERROR(__xludf.DUMMYFUNCTION("REGEXEXTRACT(H50, ""\d+\.\s*(.*?)\s*а\)"")"),"Что является основной валютой для торговли с жителями деревни? ")</f>
        <v>Что является основной валютой для торговли с жителями деревни? </v>
      </c>
      <c r="B50" s="5">
        <v>1.0</v>
      </c>
      <c r="C50" s="11"/>
      <c r="D50" s="5" t="str">
        <f>IFERROR(__xludf.DUMMYFUNCTION("REGEXREPLACE(REGEXEXTRACT(H50, ""а\)\s*(.*?)\s*б\)""), ""^\s*"", """")"),"Изумруды ")</f>
        <v>Изумруды </v>
      </c>
      <c r="E50" s="5" t="str">
        <f>IFERROR(__xludf.DUMMYFUNCTION("REGEXREPLACE(REGEXEXTRACT(H50, ""б\)\s*(.*?)\s*в\)""), ""^\s*"", """")"),"Золото")</f>
        <v>Золото</v>
      </c>
      <c r="F50" s="5" t="str">
        <f>IFERROR(__xludf.DUMMYFUNCTION("REGEXREPLACE(REGEXEXTRACT(H50, ""в\)\s*(.*?)\s*г\)""), ""^\s*"", """")"),"Железо")</f>
        <v>Железо</v>
      </c>
      <c r="G50" s="5" t="str">
        <f>IFERROR(__xludf.DUMMYFUNCTION("REGEXREPLACE(REGEXEXTRACT(H50, ""г\)\s*(.*)""), ""^\s*"", """")"),"Алмазы")</f>
        <v>Алмазы</v>
      </c>
      <c r="H50" s="6" t="s">
        <v>263</v>
      </c>
    </row>
    <row r="51">
      <c r="A51" s="5" t="str">
        <f>IFERROR(__xludf.DUMMYFUNCTION("REGEXEXTRACT(H51, ""\d+\.\s*(.*?)\s*а\)"")"),"Какое животное можно вырастить из яйца? ")</f>
        <v>Какое животное можно вырастить из яйца? </v>
      </c>
      <c r="B51" s="5">
        <v>1.0</v>
      </c>
      <c r="C51" s="11"/>
      <c r="D51" s="5" t="str">
        <f>IFERROR(__xludf.DUMMYFUNCTION("REGEXREPLACE(REGEXEXTRACT(H51, ""а\)\s*(.*?)\s*б\)""), ""^\s*"", """")"),"Курица ")</f>
        <v>Курица </v>
      </c>
      <c r="E51" s="5" t="str">
        <f>IFERROR(__xludf.DUMMYFUNCTION("REGEXREPLACE(REGEXEXTRACT(H51, ""б\)\s*(.*?)\s*в\)""), ""^\s*"", """")"),"Овца")</f>
        <v>Овца</v>
      </c>
      <c r="F51" s="5" t="str">
        <f>IFERROR(__xludf.DUMMYFUNCTION("REGEXREPLACE(REGEXEXTRACT(H51, ""в\)\s*(.*?)\s*г\)""), ""^\s*"", """")"),"Свинья")</f>
        <v>Свинья</v>
      </c>
      <c r="G51" s="5" t="str">
        <f>IFERROR(__xludf.DUMMYFUNCTION("REGEXREPLACE(REGEXEXTRACT(H51, ""г\)\s*(.*)""), ""^\s*"", """")"),"Корова")</f>
        <v>Корова</v>
      </c>
      <c r="H51" s="6" t="s">
        <v>264</v>
      </c>
    </row>
    <row r="52">
      <c r="A52" s="5" t="str">
        <f>IFERROR(__xludf.DUMMYFUNCTION("REGEXEXTRACT(H52, ""\d+\.\s*(.*?)\s*а\)"")"),"Какой предмет используется для создания лодки? ")</f>
        <v>Какой предмет используется для создания лодки? </v>
      </c>
      <c r="B52" s="5">
        <v>1.0</v>
      </c>
      <c r="C52" s="11"/>
      <c r="D52" s="5" t="str">
        <f>IFERROR(__xludf.DUMMYFUNCTION("REGEXREPLACE(REGEXEXTRACT(H52, ""а\)\s*(.*?)\s*б\)""), ""^\s*"", """")"),"Дерево ")</f>
        <v>Дерево </v>
      </c>
      <c r="E52" s="5" t="str">
        <f>IFERROR(__xludf.DUMMYFUNCTION("REGEXREPLACE(REGEXEXTRACT(H52, ""б\)\s*(.*?)\s*в\)""), ""^\s*"", """")"),"Железо")</f>
        <v>Железо</v>
      </c>
      <c r="F52" s="5" t="str">
        <f>IFERROR(__xludf.DUMMYFUNCTION("REGEXREPLACE(REGEXEXTRACT(H52, ""в\)\s*(.*?)\s*г\)""), ""^\s*"", """")"),"Алмазы")</f>
        <v>Алмазы</v>
      </c>
      <c r="G52" s="5" t="str">
        <f>IFERROR(__xludf.DUMMYFUNCTION("REGEXREPLACE(REGEXEXTRACT(H52, ""г\)\s*(.*)""), ""^\s*"", """")"),"Обсидиан")</f>
        <v>Обсидиан</v>
      </c>
      <c r="H52" s="6" t="s">
        <v>265</v>
      </c>
    </row>
    <row r="53">
      <c r="A53" s="5" t="str">
        <f>IFERROR(__xludf.DUMMYFUNCTION("REGEXEXTRACT(H53, ""\d+\.\s*(.*?)\s*а\)"")"),"Какой блок можно использовать для создания портала в Нижний мир? ")</f>
        <v>Какой блок можно использовать для создания портала в Нижний мир? </v>
      </c>
      <c r="B53" s="5">
        <v>1.0</v>
      </c>
      <c r="C53" s="11"/>
      <c r="D53" s="5" t="str">
        <f>IFERROR(__xludf.DUMMYFUNCTION("REGEXREPLACE(REGEXEXTRACT(H53, ""а\)\s*(.*?)\s*б\)""), ""^\s*"", """")"),"Обсидиан ")</f>
        <v>Обсидиан </v>
      </c>
      <c r="E53" s="5" t="str">
        <f>IFERROR(__xludf.DUMMYFUNCTION("REGEXREPLACE(REGEXEXTRACT(H53, ""б\)\s*(.*?)\s*в\)""), ""^\s*"", """")"),"Железо")</f>
        <v>Железо</v>
      </c>
      <c r="F53" s="5" t="str">
        <f>IFERROR(__xludf.DUMMYFUNCTION("REGEXREPLACE(REGEXEXTRACT(H53, ""в\)\s*(.*?)\s*г\)""), ""^\s*"", """")"),"Золото")</f>
        <v>Золото</v>
      </c>
      <c r="G53" s="5" t="str">
        <f>IFERROR(__xludf.DUMMYFUNCTION("REGEXREPLACE(REGEXEXTRACT(H53, ""г\)\s*(.*)""), ""^\s*"", """")"),"Алмаз")</f>
        <v>Алмаз</v>
      </c>
      <c r="H53" s="6" t="s">
        <v>266</v>
      </c>
    </row>
    <row r="54">
      <c r="A54" s="5" t="str">
        <f>IFERROR(__xludf.DUMMYFUNCTION("REGEXEXTRACT(H54, ""\d+\.\s*(.*?)\s*а\)"")"),"Как называется режим игры, в котором у игрока есть только одна жизнь? ")</f>
        <v>Как называется режим игры, в котором у игрока есть только одна жизнь? </v>
      </c>
      <c r="B54" s="5">
        <v>1.0</v>
      </c>
      <c r="C54" s="11"/>
      <c r="D54" s="5" t="str">
        <f>IFERROR(__xludf.DUMMYFUNCTION("REGEXREPLACE(REGEXEXTRACT(H54, ""а\)\s*(.*?)\s*б\)""), ""^\s*"", """")"),"Хардкор ")</f>
        <v>Хардкор </v>
      </c>
      <c r="E54" s="5" t="str">
        <f>IFERROR(__xludf.DUMMYFUNCTION("REGEXREPLACE(REGEXEXTRACT(H54, ""б\)\s*(.*?)\s*в\)""), ""^\s*"", """")"),"Выживание")</f>
        <v>Выживание</v>
      </c>
      <c r="F54" s="5" t="str">
        <f>IFERROR(__xludf.DUMMYFUNCTION("REGEXREPLACE(REGEXEXTRACT(H54, ""в\)\s*(.*?)\s*г\)""), ""^\s*"", """")"),"Приключение")</f>
        <v>Приключение</v>
      </c>
      <c r="G54" s="5" t="str">
        <f>IFERROR(__xludf.DUMMYFUNCTION("REGEXREPLACE(REGEXEXTRACT(H54, ""г\)\s*(.*)""), ""^\s*"", """")"),"Креатив")</f>
        <v>Креатив</v>
      </c>
      <c r="H54" s="6" t="s">
        <v>267</v>
      </c>
    </row>
    <row r="55">
      <c r="A55" s="5" t="str">
        <f>IFERROR(__xludf.DUMMYFUNCTION("REGEXEXTRACT(H55, ""\d+\.\s*(.*?)\s*а\)"")"),"Как называется режим игры, в котором нужно добывать ресурсы и выживать? ")</f>
        <v>Как называется режим игры, в котором нужно добывать ресурсы и выживать? </v>
      </c>
      <c r="B55" s="5">
        <v>1.0</v>
      </c>
      <c r="C55" s="11"/>
      <c r="D55" s="5" t="str">
        <f>IFERROR(__xludf.DUMMYFUNCTION("REGEXREPLACE(REGEXEXTRACT(H55, ""а\)\s*(.*?)\s*б\)""), ""^\s*"", """")"),"Выживание ")</f>
        <v>Выживание </v>
      </c>
      <c r="E55" s="5" t="str">
        <f>IFERROR(__xludf.DUMMYFUNCTION("REGEXREPLACE(REGEXEXTRACT(H55, ""б\)\s*(.*?)\s*в\)""), ""^\s*"", """")"),"Хардкор")</f>
        <v>Хардкор</v>
      </c>
      <c r="F55" s="5" t="str">
        <f>IFERROR(__xludf.DUMMYFUNCTION("REGEXREPLACE(REGEXEXTRACT(H55, ""в\)\s*(.*?)\s*г\)""), ""^\s*"", """")"),"Креатив")</f>
        <v>Креатив</v>
      </c>
      <c r="G55" s="5" t="str">
        <f>IFERROR(__xludf.DUMMYFUNCTION("REGEXREPLACE(REGEXEXTRACT(H55, ""г\)\s*(.*)""), ""^\s*"", """")"),"Приключение")</f>
        <v>Приключение</v>
      </c>
      <c r="H55" s="6" t="s">
        <v>268</v>
      </c>
    </row>
    <row r="56">
      <c r="A56" s="5" t="str">
        <f>IFERROR(__xludf.DUMMYFUNCTION("REGEXEXTRACT(H56, ""\d+\.\s*(.*?)\s*а\)"")"),"Как называется режим игры, в котором нельзя ломать блоки? ")</f>
        <v>Как называется режим игры, в котором нельзя ломать блоки? </v>
      </c>
      <c r="B56" s="5">
        <v>1.0</v>
      </c>
      <c r="C56" s="11"/>
      <c r="D56" s="5" t="str">
        <f>IFERROR(__xludf.DUMMYFUNCTION("REGEXREPLACE(REGEXEXTRACT(H56, ""а\)\s*(.*?)\s*б\)""), ""^\s*"", """")"),"Приключение ")</f>
        <v>Приключение </v>
      </c>
      <c r="E56" s="5" t="str">
        <f>IFERROR(__xludf.DUMMYFUNCTION("REGEXREPLACE(REGEXEXTRACT(H56, ""б\)\s*(.*?)\s*в\)""), ""^\s*"", """")"),"Хардкор")</f>
        <v>Хардкор</v>
      </c>
      <c r="F56" s="5" t="str">
        <f>IFERROR(__xludf.DUMMYFUNCTION("REGEXREPLACE(REGEXEXTRACT(H56, ""в\)\s*(.*?)\s*г\)""), ""^\s*"", """")"),"Выживание")</f>
        <v>Выживание</v>
      </c>
      <c r="G56" s="5" t="str">
        <f>IFERROR(__xludf.DUMMYFUNCTION("REGEXREPLACE(REGEXEXTRACT(H56, ""г\)\s*(.*)""), ""^\s*"", """")"),"Креатив")</f>
        <v>Креатив</v>
      </c>
      <c r="H56" s="6" t="s">
        <v>269</v>
      </c>
    </row>
    <row r="57">
      <c r="A57" s="5" t="str">
        <f>IFERROR(__xludf.DUMMYFUNCTION("REGEXEXTRACT(H57, ""\d+\.\s*(.*?)\s*а\)"")"),"В каком обновлении были добавлены лисы? ")</f>
        <v>В каком обновлении были добавлены лисы? </v>
      </c>
      <c r="B57" s="5">
        <v>1.0</v>
      </c>
      <c r="C57" s="11"/>
      <c r="D57" s="5" t="str">
        <f>IFERROR(__xludf.DUMMYFUNCTION("REGEXREPLACE(REGEXEXTRACT(H57, ""а\)\s*(.*?)\s*б\)""), ""^\s*"", """")"),"1.14 ")</f>
        <v>1.14 </v>
      </c>
      <c r="E57" s="5" t="str">
        <f>IFERROR(__xludf.DUMMYFUNCTION("REGEXREPLACE(REGEXEXTRACT(H57, ""б\)\s*(.*?)\s*в\)""), ""^\s*"", """")"),"1.16")</f>
        <v>1.16</v>
      </c>
      <c r="F57" s="5" t="str">
        <f>IFERROR(__xludf.DUMMYFUNCTION("REGEXREPLACE(REGEXEXTRACT(H57, ""в\)\s*(.*?)\s*г\)""), ""^\s*"", """")"),"1.17")</f>
        <v>1.17</v>
      </c>
      <c r="G57" s="5" t="str">
        <f>IFERROR(__xludf.DUMMYFUNCTION("REGEXREPLACE(REGEXEXTRACT(H57, ""г\)\s*(.*)""), ""^\s*"", """")"),"1.18")</f>
        <v>1.18</v>
      </c>
      <c r="H57" s="6" t="s">
        <v>270</v>
      </c>
    </row>
    <row r="58">
      <c r="A58" s="5" t="str">
        <f>IFERROR(__xludf.DUMMYFUNCTION("REGEXEXTRACT(H58, ""\d+\.\s*(.*?)\s*а\)"")"),"В каком обновлении были добавлены незеритовые предметы? ")</f>
        <v>В каком обновлении были добавлены незеритовые предметы? </v>
      </c>
      <c r="B58" s="5">
        <v>1.0</v>
      </c>
      <c r="C58" s="11"/>
      <c r="D58" s="5" t="str">
        <f>IFERROR(__xludf.DUMMYFUNCTION("REGEXREPLACE(REGEXEXTRACT(H58, ""а\)\s*(.*?)\s*б\)""), ""^\s*"", """")"),"1.16 ")</f>
        <v>1.16 </v>
      </c>
      <c r="E58" s="5" t="str">
        <f>IFERROR(__xludf.DUMMYFUNCTION("REGEXREPLACE(REGEXEXTRACT(H58, ""б\)\s*(.*?)\s*в\)""), ""^\s*"", """")"),"1.14")</f>
        <v>1.14</v>
      </c>
      <c r="F58" s="5" t="str">
        <f>IFERROR(__xludf.DUMMYFUNCTION("REGEXREPLACE(REGEXEXTRACT(H58, ""в\)\s*(.*?)\s*г\)""), ""^\s*"", """")"),"1.17")</f>
        <v>1.17</v>
      </c>
      <c r="G58" s="5" t="str">
        <f>IFERROR(__xludf.DUMMYFUNCTION("REGEXREPLACE(REGEXEXTRACT(H58, ""г\)\s*(.*)""), ""^\s*"", """")"),"1.18")</f>
        <v>1.18</v>
      </c>
      <c r="H58" s="6" t="s">
        <v>271</v>
      </c>
    </row>
    <row r="59">
      <c r="A59" s="5" t="str">
        <f>IFERROR(__xludf.DUMMYFUNCTION("REGEXEXTRACT(H59, ""\d+\.\s*(.*?)\s*а\)"")"),"В каком обновлении был добавлен Варден? ")</f>
        <v>В каком обновлении был добавлен Варден? </v>
      </c>
      <c r="B59" s="5">
        <v>1.0</v>
      </c>
      <c r="C59" s="11"/>
      <c r="D59" s="5" t="str">
        <f>IFERROR(__xludf.DUMMYFUNCTION("REGEXREPLACE(REGEXEXTRACT(H59, ""а\)\s*(.*?)\s*б\)""), ""^\s*"", """")"),"1.19 ")</f>
        <v>1.19 </v>
      </c>
      <c r="E59" s="5" t="str">
        <f>IFERROR(__xludf.DUMMYFUNCTION("REGEXREPLACE(REGEXEXTRACT(H59, ""б\)\s*(.*?)\s*в\)""), ""^\s*"", """")"),"1.17")</f>
        <v>1.17</v>
      </c>
      <c r="F59" s="5" t="str">
        <f>IFERROR(__xludf.DUMMYFUNCTION("REGEXREPLACE(REGEXEXTRACT(H59, ""в\)\s*(.*?)\s*г\)""), ""^\s*"", """")"),"1.16")</f>
        <v>1.16</v>
      </c>
      <c r="G59" s="5" t="str">
        <f>IFERROR(__xludf.DUMMYFUNCTION("REGEXREPLACE(REGEXEXTRACT(H59, ""г\)\s*(.*)""), ""^\s*"", """")"),"1.15")</f>
        <v>1.15</v>
      </c>
      <c r="H59" s="6" t="s">
        <v>272</v>
      </c>
    </row>
    <row r="60">
      <c r="A60" s="5" t="str">
        <f>IFERROR(__xludf.DUMMYFUNCTION("REGEXEXTRACT(H60, ""\d+\.\s*(.*?)\s*а\)"")"),"В каком обновлении были добавлены аксолотли? ")</f>
        <v>В каком обновлении были добавлены аксолотли? </v>
      </c>
      <c r="B60" s="5">
        <v>1.0</v>
      </c>
      <c r="C60" s="11"/>
      <c r="D60" s="5" t="str">
        <f>IFERROR(__xludf.DUMMYFUNCTION("REGEXREPLACE(REGEXEXTRACT(H60, ""а\)\s*(.*?)\s*б\)""), ""^\s*"", """")"),"1.17 ")</f>
        <v>1.17 </v>
      </c>
      <c r="E60" s="5" t="str">
        <f>IFERROR(__xludf.DUMMYFUNCTION("REGEXREPLACE(REGEXEXTRACT(H60, ""б\)\s*(.*?)\s*в\)""), ""^\s*"", """")"),"1.19")</f>
        <v>1.19</v>
      </c>
      <c r="F60" s="5" t="str">
        <f>IFERROR(__xludf.DUMMYFUNCTION("REGEXREPLACE(REGEXEXTRACT(H60, ""в\)\s*(.*?)\s*г\)""), ""^\s*"", """")"),"1.16")</f>
        <v>1.16</v>
      </c>
      <c r="G60" s="5" t="str">
        <f>IFERROR(__xludf.DUMMYFUNCTION("REGEXREPLACE(REGEXEXTRACT(H60, ""г\)\s*(.*)""), ""^\s*"", """")"),"1.15")</f>
        <v>1.15</v>
      </c>
      <c r="H60" s="6" t="s">
        <v>273</v>
      </c>
    </row>
    <row r="61">
      <c r="A61" s="5" t="str">
        <f>IFERROR(__xludf.DUMMYFUNCTION("REGEXEXTRACT(H61, ""\d+\.\s*(.*?)\s*а\)"")"),"В каком обновлении были добавлены пещеры и скалы? ")</f>
        <v>В каком обновлении были добавлены пещеры и скалы? </v>
      </c>
      <c r="B61" s="5">
        <v>1.0</v>
      </c>
      <c r="C61" s="11"/>
      <c r="D61" s="5" t="str">
        <f>IFERROR(__xludf.DUMMYFUNCTION("REGEXREPLACE(REGEXEXTRACT(H61, ""а\)\s*(.*?)\s*б\)""), ""^\s*"", """")"),"1.18 ")</f>
        <v>1.18 </v>
      </c>
      <c r="E61" s="5" t="str">
        <f>IFERROR(__xludf.DUMMYFUNCTION("REGEXREPLACE(REGEXEXTRACT(H61, ""б\)\s*(.*?)\s*в\)""), ""^\s*"", """")"),"1.17")</f>
        <v>1.17</v>
      </c>
      <c r="F61" s="5" t="str">
        <f>IFERROR(__xludf.DUMMYFUNCTION("REGEXREPLACE(REGEXEXTRACT(H61, ""в\)\s*(.*?)\s*г\)""), ""^\s*"", """")"),"1.19")</f>
        <v>1.19</v>
      </c>
      <c r="G61" s="5" t="str">
        <f>IFERROR(__xludf.DUMMYFUNCTION("REGEXREPLACE(REGEXEXTRACT(H61, ""г\)\s*(.*)""), ""^\s*"", """")"),"1.16")</f>
        <v>1.16</v>
      </c>
      <c r="H61" s="6" t="s">
        <v>274</v>
      </c>
    </row>
    <row r="62">
      <c r="A62" s="5" t="str">
        <f>IFERROR(__xludf.DUMMYFUNCTION("REGEXEXTRACT(H62, ""\d+\.\s*(.*?)\s*а\)"")"),"Какая механика используется для создания сложных механизмов? ")</f>
        <v>Какая механика используется для создания сложных механизмов? </v>
      </c>
      <c r="B62" s="5">
        <v>1.0</v>
      </c>
      <c r="C62" s="11"/>
      <c r="D62" s="5" t="str">
        <f>IFERROR(__xludf.DUMMYFUNCTION("REGEXREPLACE(REGEXEXTRACT(H62, ""а\)\s*(.*?)\s*б\)""), ""^\s*"", """")"),"Редстоун ")</f>
        <v>Редстоун </v>
      </c>
      <c r="E62" s="5" t="str">
        <f>IFERROR(__xludf.DUMMYFUNCTION("REGEXREPLACE(REGEXEXTRACT(H62, ""б\)\s*(.*?)\s*в\)""), ""^\s*"", """")"),"Камень")</f>
        <v>Камень</v>
      </c>
      <c r="F62" s="5" t="str">
        <f>IFERROR(__xludf.DUMMYFUNCTION("REGEXREPLACE(REGEXEXTRACT(H62, ""в\)\s*(.*?)\s*г\)""), ""^\s*"", """")"),"Дерево")</f>
        <v>Дерево</v>
      </c>
      <c r="G62" s="5" t="str">
        <f>IFERROR(__xludf.DUMMYFUNCTION("REGEXREPLACE(REGEXEXTRACT(H62, ""г\)\s*(.*)""), ""^\s*"", """")"),"Песок")</f>
        <v>Песок</v>
      </c>
      <c r="H62" s="6" t="s">
        <v>275</v>
      </c>
    </row>
    <row r="63">
      <c r="A63" s="5" t="str">
        <f>IFERROR(__xludf.DUMMYFUNCTION("REGEXEXTRACT(H63, ""\d+\.\s*(.*?)\s*а\)"")"),"Как называется эффект от использования тотема бессмертия? ")</f>
        <v>Как называется эффект от использования тотема бессмертия? </v>
      </c>
      <c r="B63" s="5">
        <v>1.0</v>
      </c>
      <c r="C63" s="11"/>
      <c r="D63" s="5" t="str">
        <f>IFERROR(__xludf.DUMMYFUNCTION("REGEXREPLACE(REGEXEXTRACT(H63, ""а\)\s*(.*?)\s*б\)""), ""^\s*"", """")"),"Поглощение урона ")</f>
        <v>Поглощение урона </v>
      </c>
      <c r="E63" s="5" t="str">
        <f>IFERROR(__xludf.DUMMYFUNCTION("REGEXREPLACE(REGEXEXTRACT(H63, ""б\)\s*(.*?)\s*в\)""), ""^\s*"", """")"),"Скорость")</f>
        <v>Скорость</v>
      </c>
      <c r="F63" s="5" t="str">
        <f>IFERROR(__xludf.DUMMYFUNCTION("REGEXREPLACE(REGEXEXTRACT(H63, ""в\)\s*(.*?)\s*г\)""), ""^\s*"", """")"),"Ночное зрение")</f>
        <v>Ночное зрение</v>
      </c>
      <c r="G63" s="5" t="str">
        <f>IFERROR(__xludf.DUMMYFUNCTION("REGEXREPLACE(REGEXEXTRACT(H63, ""г\)\s*(.*)""), ""^\s*"", """")"),"Сила")</f>
        <v>Сила</v>
      </c>
      <c r="H63" s="6" t="s">
        <v>276</v>
      </c>
    </row>
    <row r="64">
      <c r="A64" s="5" t="str">
        <f>IFERROR(__xludf.DUMMYFUNCTION("REGEXEXTRACT(H64, ""\d+\.\s*(.*?)\s*а\)"")"),"Как называется еда для приручения лошадей? ")</f>
        <v>Как называется еда для приручения лошадей? </v>
      </c>
      <c r="B64" s="5">
        <v>1.0</v>
      </c>
      <c r="C64" s="11"/>
      <c r="D64" s="5" t="str">
        <f>IFERROR(__xludf.DUMMYFUNCTION("REGEXREPLACE(REGEXEXTRACT(H64, ""а\)\s*(.*?)\s*б\)""), ""^\s*"", """")"),"Золотое яблоко ")</f>
        <v>Золотое яблоко </v>
      </c>
      <c r="E64" s="5" t="str">
        <f>IFERROR(__xludf.DUMMYFUNCTION("REGEXREPLACE(REGEXEXTRACT(H64, ""б\)\s*(.*?)\s*в\)""), ""^\s*"", """")"),"Пшеница")</f>
        <v>Пшеница</v>
      </c>
      <c r="F64" s="5" t="str">
        <f>IFERROR(__xludf.DUMMYFUNCTION("REGEXREPLACE(REGEXEXTRACT(H64, ""в\)\s*(.*?)\s*г\)""), ""^\s*"", """")"),"Морковь")</f>
        <v>Морковь</v>
      </c>
      <c r="G64" s="5" t="str">
        <f>IFERROR(__xludf.DUMMYFUNCTION("REGEXREPLACE(REGEXEXTRACT(H64, ""г\)\s*(.*)""), ""^\s*"", """")"),"Сахар")</f>
        <v>Сахар</v>
      </c>
      <c r="H64" s="6" t="s">
        <v>277</v>
      </c>
    </row>
    <row r="65">
      <c r="A65" s="5" t="str">
        <f>IFERROR(__xludf.DUMMYFUNCTION("REGEXEXTRACT(H65, ""\d+\.\s*(.*?)\s*а\)"")"),"Какой инструмент используется для сбора меда? ")</f>
        <v>Какой инструмент используется для сбора меда? </v>
      </c>
      <c r="B65" s="5">
        <v>1.0</v>
      </c>
      <c r="C65" s="11"/>
      <c r="D65" s="5" t="str">
        <f>IFERROR(__xludf.DUMMYFUNCTION("REGEXREPLACE(REGEXEXTRACT(H65, ""а\)\s*(.*?)\s*б\)""), ""^\s*"", """")"),"Стеклянная бутылка ")</f>
        <v>Стеклянная бутылка </v>
      </c>
      <c r="E65" s="5" t="str">
        <f>IFERROR(__xludf.DUMMYFUNCTION("REGEXREPLACE(REGEXEXTRACT(H65, ""б\)\s*(.*?)\s*в\)""), ""^\s*"", """")"),"Топор")</f>
        <v>Топор</v>
      </c>
      <c r="F65" s="5" t="str">
        <f>IFERROR(__xludf.DUMMYFUNCTION("REGEXREPLACE(REGEXEXTRACT(H65, ""в\)\s*(.*?)\s*г\)""), ""^\s*"", """")"),"Кирка")</f>
        <v>Кирка</v>
      </c>
      <c r="G65" s="5" t="str">
        <f>IFERROR(__xludf.DUMMYFUNCTION("REGEXREPLACE(REGEXEXTRACT(H65, ""г\)\s*(.*)""), ""^\s*"", """")"),"Лопата")</f>
        <v>Лопата</v>
      </c>
      <c r="H65" s="6" t="s">
        <v>278</v>
      </c>
    </row>
    <row r="66">
      <c r="A66" s="5" t="str">
        <f>IFERROR(__xludf.DUMMYFUNCTION("REGEXEXTRACT(H66, ""\d+\.\s*(.*?)\s*а\)"")"),"Какой блок позволяет игроку спать ночью? ")</f>
        <v>Какой блок позволяет игроку спать ночью? </v>
      </c>
      <c r="B66" s="5">
        <v>1.0</v>
      </c>
      <c r="C66" s="11"/>
      <c r="D66" s="5" t="str">
        <f>IFERROR(__xludf.DUMMYFUNCTION("REGEXREPLACE(REGEXEXTRACT(H66, ""а\)\s*(.*?)\s*б\)""), ""^\s*"", """")"),"Кровать ")</f>
        <v>Кровать </v>
      </c>
      <c r="E66" s="5" t="str">
        <f>IFERROR(__xludf.DUMMYFUNCTION("REGEXREPLACE(REGEXEXTRACT(H66, ""б\)\s*(.*?)\s*в\)""), ""^\s*"", """")"),"Верстак")</f>
        <v>Верстак</v>
      </c>
      <c r="F66" s="5" t="str">
        <f>IFERROR(__xludf.DUMMYFUNCTION("REGEXREPLACE(REGEXEXTRACT(H66, ""в\)\s*(.*?)\s*г\)""), ""^\s*"", """")"),"Сундук")</f>
        <v>Сундук</v>
      </c>
      <c r="G66" s="5" t="str">
        <f>IFERROR(__xludf.DUMMYFUNCTION("REGEXREPLACE(REGEXEXTRACT(H66, ""г\)\s*(.*)""), ""^\s*"", """")"),"Печь")</f>
        <v>Печь</v>
      </c>
      <c r="H66" s="6" t="s">
        <v>279</v>
      </c>
    </row>
    <row r="67">
      <c r="A67" s="5" t="str">
        <f>IFERROR(__xludf.DUMMYFUNCTION("REGEXEXTRACT(H67, ""\d+\.\s*(.*?)\s*а\)"")"),"Какой моб в Minecraft не имеет ног? ")</f>
        <v>Какой моб в Minecraft не имеет ног? </v>
      </c>
      <c r="B67" s="5">
        <v>1.0</v>
      </c>
      <c r="C67" s="11"/>
      <c r="D67" s="5" t="str">
        <f>IFERROR(__xludf.DUMMYFUNCTION("REGEXREPLACE(REGEXEXTRACT(H67, ""а\)\s*(.*?)\s*б\)""), ""^\s*"", """")"),"Слизень ")</f>
        <v>Слизень </v>
      </c>
      <c r="E67" s="5" t="str">
        <f>IFERROR(__xludf.DUMMYFUNCTION("REGEXREPLACE(REGEXEXTRACT(H67, ""б\)\s*(.*?)\s*в\)""), ""^\s*"", """")"),"Зомби")</f>
        <v>Зомби</v>
      </c>
      <c r="F67" s="5" t="str">
        <f>IFERROR(__xludf.DUMMYFUNCTION("REGEXREPLACE(REGEXEXTRACT(H67, ""в\)\s*(.*?)\s*г\)""), ""^\s*"", """")"),"Скелет")</f>
        <v>Скелет</v>
      </c>
      <c r="G67" s="5" t="str">
        <f>IFERROR(__xludf.DUMMYFUNCTION("REGEXREPLACE(REGEXEXTRACT(H67, ""г\)\s*(.*)""), ""^\s*"", """")"),"Крипер")</f>
        <v>Крипер</v>
      </c>
      <c r="H67" s="6" t="s">
        <v>280</v>
      </c>
    </row>
    <row r="68">
      <c r="A68" s="5" t="str">
        <f>IFERROR(__xludf.DUMMYFUNCTION("REGEXEXTRACT(H68, ""\d+\.\s*(.*?)\s*а\)"")"),"Какой блок используется для создания красителей? ")</f>
        <v>Какой блок используется для создания красителей? </v>
      </c>
      <c r="B68" s="5">
        <v>1.0</v>
      </c>
      <c r="C68" s="11"/>
      <c r="D68" s="5" t="str">
        <f>IFERROR(__xludf.DUMMYFUNCTION("REGEXREPLACE(REGEXEXTRACT(H68, ""а\)\s*(.*?)\s*б\)""), ""^\s*"", """")"),"Цветы ")</f>
        <v>Цветы </v>
      </c>
      <c r="E68" s="5" t="str">
        <f>IFERROR(__xludf.DUMMYFUNCTION("REGEXREPLACE(REGEXEXTRACT(H68, ""б\)\s*(.*?)\s*в\)""), ""^\s*"", """")"),"Камни")</f>
        <v>Камни</v>
      </c>
      <c r="F68" s="5" t="str">
        <f>IFERROR(__xludf.DUMMYFUNCTION("REGEXREPLACE(REGEXEXTRACT(H68, ""в\)\s*(.*?)\s*г\)""), ""^\s*"", """")"),"Дерево")</f>
        <v>Дерево</v>
      </c>
      <c r="G68" s="5" t="str">
        <f>IFERROR(__xludf.DUMMYFUNCTION("REGEXREPLACE(REGEXEXTRACT(H68, ""г\)\s*(.*)""), ""^\s*"", """")"),"Земля")</f>
        <v>Земля</v>
      </c>
      <c r="H68" s="6" t="s">
        <v>281</v>
      </c>
    </row>
    <row r="69">
      <c r="A69" s="5" t="str">
        <f>IFERROR(__xludf.DUMMYFUNCTION("REGEXEXTRACT(H69, ""\d+\.\s*(.*?)\s*а\)"")"),"Какой предмет используется для создания фейерверков? ")</f>
        <v>Какой предмет используется для создания фейерверков? </v>
      </c>
      <c r="B69" s="5">
        <v>1.0</v>
      </c>
      <c r="C69" s="11"/>
      <c r="D69" s="5" t="str">
        <f>IFERROR(__xludf.DUMMYFUNCTION("REGEXREPLACE(REGEXEXTRACT(H69, ""а\)\s*(.*?)\s*б\)""), ""^\s*"", """")"),"Порох ")</f>
        <v>Порох </v>
      </c>
      <c r="E69" s="5" t="str">
        <f>IFERROR(__xludf.DUMMYFUNCTION("REGEXREPLACE(REGEXEXTRACT(H69, ""б\)\s*(.*?)\s*в\)""), ""^\s*"", """")"),"Алмазы")</f>
        <v>Алмазы</v>
      </c>
      <c r="F69" s="5" t="str">
        <f>IFERROR(__xludf.DUMMYFUNCTION("REGEXREPLACE(REGEXEXTRACT(H69, ""в\)\s*(.*?)\s*г\)""), ""^\s*"", """")"),"Железо")</f>
        <v>Железо</v>
      </c>
      <c r="G69" s="5" t="str">
        <f>IFERROR(__xludf.DUMMYFUNCTION("REGEXREPLACE(REGEXEXTRACT(H69, ""г\)\s*(.*)""), ""^\s*"", """")"),"Золото")</f>
        <v>Золото</v>
      </c>
      <c r="H69" s="6" t="s">
        <v>282</v>
      </c>
    </row>
    <row r="70">
      <c r="A70" s="5" t="str">
        <f>IFERROR(__xludf.DUMMYFUNCTION("REGEXEXTRACT(H70, ""\d+\.\s*(.*?)\s*а\)"")"),"Как называется предмет, позволяющий убирать зачарования с предметов? ")</f>
        <v>Как называется предмет, позволяющий убирать зачарования с предметов? </v>
      </c>
      <c r="B70" s="5">
        <v>1.0</v>
      </c>
      <c r="C70" s="11"/>
      <c r="D70" s="5" t="str">
        <f>IFERROR(__xludf.DUMMYFUNCTION("REGEXREPLACE(REGEXEXTRACT(H70, ""а\)\s*(.*?)\s*б\)""), ""^\s*"", """")"),"Жернов ")</f>
        <v>Жернов </v>
      </c>
      <c r="E70" s="5" t="str">
        <f>IFERROR(__xludf.DUMMYFUNCTION("REGEXREPLACE(REGEXEXTRACT(H70, ""б\)\s*(.*?)\s*в\)""), ""^\s*"", """")"),"Верстак")</f>
        <v>Верстак</v>
      </c>
      <c r="F70" s="5" t="str">
        <f>IFERROR(__xludf.DUMMYFUNCTION("REGEXREPLACE(REGEXEXTRACT(H70, ""в\)\s*(.*?)\s*г\)""), ""^\s*"", """")"),"Печь")</f>
        <v>Печь</v>
      </c>
      <c r="G70" s="5" t="str">
        <f>IFERROR(__xludf.DUMMYFUNCTION("REGEXREPLACE(REGEXEXTRACT(H70, ""г\)\s*(.*)""), ""^\s*"", """")"),"Сундук")</f>
        <v>Сундук</v>
      </c>
      <c r="H70" s="6" t="s">
        <v>283</v>
      </c>
    </row>
    <row r="71">
      <c r="A71" s="5" t="str">
        <f>IFERROR(__xludf.DUMMYFUNCTION("REGEXEXTRACT(H71, ""s*(.*?)\s*а\)"")"),"Какой моб является символом Minecraft?")</f>
        <v>Какой моб является символом Minecraft?</v>
      </c>
      <c r="B71" s="5">
        <v>1.0</v>
      </c>
      <c r="D71" s="5" t="str">
        <f>IFERROR(__xludf.DUMMYFUNCTION("REGEXREPLACE(REGEXEXTRACT(H71, ""а\)\s*(.*?)\s*б\)""), ""^\s*"", """")"),"Крипер")</f>
        <v>Крипер</v>
      </c>
      <c r="E71" s="5" t="str">
        <f>IFERROR(__xludf.DUMMYFUNCTION("REGEXREPLACE(REGEXEXTRACT(H71, ""б\)\s*(.*?)\s*в\)""), ""^\s*"", """")"),"Скелет")</f>
        <v>Скелет</v>
      </c>
      <c r="F71" s="5" t="str">
        <f>IFERROR(__xludf.DUMMYFUNCTION("REGEXREPLACE(REGEXEXTRACT(H71, ""в\)\s*(.*?)\s*г\)""), ""^\s*"", """")"),"Зомби")</f>
        <v>Зомби</v>
      </c>
      <c r="G71" s="5" t="str">
        <f>IFERROR(__xludf.DUMMYFUNCTION("REGEXREPLACE(REGEXEXTRACT(H71, ""г\)\s*(.*)""), ""^\s*"", """")"),"Эндермен")</f>
        <v>Эндермен</v>
      </c>
      <c r="H71" s="21" t="s">
        <v>77</v>
      </c>
    </row>
    <row r="72">
      <c r="A72" s="5" t="str">
        <f>IFERROR(__xludf.DUMMYFUNCTION("REGEXEXTRACT(H72, ""s*(.*?)\s*а\)"")"),"Что необходимо для создания портала в Нижний мир?")</f>
        <v>Что необходимо для создания портала в Нижний мир?</v>
      </c>
      <c r="B72" s="5">
        <v>1.0</v>
      </c>
      <c r="D72" s="5" t="str">
        <f>IFERROR(__xludf.DUMMYFUNCTION("REGEXREPLACE(REGEXEXTRACT(H72, ""а\)\s*(.*?)\s*б\)""), ""^\s*"", """")"),"Обсидиан")</f>
        <v>Обсидиан</v>
      </c>
      <c r="E72" s="5" t="str">
        <f>IFERROR(__xludf.DUMMYFUNCTION("REGEXREPLACE(REGEXEXTRACT(H72, ""б\)\s*(.*?)\s*в\)""), ""^\s*"", """")"),"Лава")</f>
        <v>Лава</v>
      </c>
      <c r="F72" s="5" t="str">
        <f>IFERROR(__xludf.DUMMYFUNCTION("REGEXREPLACE(REGEXEXTRACT(H72, ""в\)\s*(.*?)\s*г\)""), ""^\s*"", """")"),"Вода")</f>
        <v>Вода</v>
      </c>
      <c r="G72" s="5" t="str">
        <f>IFERROR(__xludf.DUMMYFUNCTION("REGEXREPLACE(REGEXEXTRACT(H72, ""г\)\s*(.*)""), ""^\s*"", """")"),"Алмазы")</f>
        <v>Алмазы</v>
      </c>
      <c r="H72" s="21" t="s">
        <v>78</v>
      </c>
    </row>
    <row r="73">
      <c r="A73" s="5" t="str">
        <f>IFERROR(__xludf.DUMMYFUNCTION("REGEXEXTRACT(H73, ""s*(.*?)\s*а\)"")"),"Какой ресурс позволяет создавать прочнейшую броню?")</f>
        <v>Какой ресурс позволяет создавать прочнейшую броню?</v>
      </c>
      <c r="B73" s="5">
        <v>1.0</v>
      </c>
      <c r="D73" s="5" t="str">
        <f>IFERROR(__xludf.DUMMYFUNCTION("REGEXREPLACE(REGEXEXTRACT(H73, ""а\)\s*(.*?)\s*б\)""), ""^\s*"", """")"),"Незерит")</f>
        <v>Незерит</v>
      </c>
      <c r="E73" s="5" t="str">
        <f>IFERROR(__xludf.DUMMYFUNCTION("REGEXREPLACE(REGEXEXTRACT(H73, ""б\)\s*(.*?)\s*в\)""), ""^\s*"", """")"),"Алмаз")</f>
        <v>Алмаз</v>
      </c>
      <c r="F73" s="5" t="str">
        <f>IFERROR(__xludf.DUMMYFUNCTION("REGEXREPLACE(REGEXEXTRACT(H73, ""в\)\s*(.*?)\s*г\)""), ""^\s*"", """")"),"Железо")</f>
        <v>Железо</v>
      </c>
      <c r="G73" s="5" t="str">
        <f>IFERROR(__xludf.DUMMYFUNCTION("REGEXREPLACE(REGEXEXTRACT(H73, ""г\)\s*(.*)""), ""^\s*"", """")"),"Золото")</f>
        <v>Золото</v>
      </c>
      <c r="H73" s="21" t="s">
        <v>79</v>
      </c>
    </row>
    <row r="74">
      <c r="A74" s="5" t="str">
        <f>IFERROR(__xludf.DUMMYFUNCTION("REGEXEXTRACT(H74, ""s*(.*?)\s*а\)"")"),"Какой моб является боссом в измерении “Край”?")</f>
        <v>Какой моб является боссом в измерении “Край”?</v>
      </c>
      <c r="B74" s="5">
        <v>1.0</v>
      </c>
      <c r="D74" s="5" t="str">
        <f>IFERROR(__xludf.DUMMYFUNCTION("REGEXREPLACE(REGEXEXTRACT(H74, ""а\)\s*(.*?)\s*б\)""), ""^\s*"", """")"),"Эндер-дракон")</f>
        <v>Эндер-дракон</v>
      </c>
      <c r="E74" s="5" t="str">
        <f>IFERROR(__xludf.DUMMYFUNCTION("REGEXREPLACE(REGEXEXTRACT(H74, ""б\)\s*(.*?)\s*в\)""), ""^\s*"", """")"),"Иссушитель")</f>
        <v>Иссушитель</v>
      </c>
      <c r="F74" s="5" t="str">
        <f>IFERROR(__xludf.DUMMYFUNCTION("REGEXREPLACE(REGEXEXTRACT(H74, ""в\)\s*(.*?)\s*г\)""), ""^\s*"", """")"),"Страж")</f>
        <v>Страж</v>
      </c>
      <c r="G74" s="5" t="str">
        <f>IFERROR(__xludf.DUMMYFUNCTION("REGEXREPLACE(REGEXEXTRACT(H74, ""г\)\s*(.*)""), ""^\s*"", """")"),"Гаст")</f>
        <v>Гаст</v>
      </c>
      <c r="H74" s="21" t="s">
        <v>80</v>
      </c>
    </row>
    <row r="75">
      <c r="A75" s="5" t="str">
        <f>IFERROR(__xludf.DUMMYFUNCTION("REGEXEXTRACT(H75, ""s*(.*?)\s*а\)"")"),"Какой эффект даёт золотое яблоко?")</f>
        <v>Какой эффект даёт золотое яблоко?</v>
      </c>
      <c r="B75" s="5">
        <v>1.0</v>
      </c>
      <c r="D75" s="5" t="str">
        <f>IFERROR(__xludf.DUMMYFUNCTION("REGEXREPLACE(REGEXEXTRACT(H75, ""а\)\s*(.*?)\s*б\)""), ""^\s*"", """")"),"Регенерация")</f>
        <v>Регенерация</v>
      </c>
      <c r="E75" s="5" t="str">
        <f>IFERROR(__xludf.DUMMYFUNCTION("REGEXREPLACE(REGEXEXTRACT(H75, ""б\)\s*(.*?)\s*в\)""), ""^\s*"", """")"),"Скорость")</f>
        <v>Скорость</v>
      </c>
      <c r="F75" s="5" t="str">
        <f>IFERROR(__xludf.DUMMYFUNCTION("REGEXREPLACE(REGEXEXTRACT(H75, ""в\)\s*(.*?)\s*г\)""), ""^\s*"", """")"),"Сила")</f>
        <v>Сила</v>
      </c>
      <c r="G75" s="5" t="str">
        <f>IFERROR(__xludf.DUMMYFUNCTION("REGEXREPLACE(REGEXEXTRACT(H75, ""г\)\s*(.*)""), ""^\s*"", """")"),"Невидимость")</f>
        <v>Невидимость</v>
      </c>
      <c r="H75" s="21" t="s">
        <v>81</v>
      </c>
    </row>
    <row r="76">
      <c r="A76" s="5" t="str">
        <f>IFERROR(__xludf.DUMMYFUNCTION("REGEXEXTRACT(H76, ""s*(.*?)\s*а\)"")"),"Какой блок используется для приготовления зелий?")</f>
        <v>Какой блок используется для приготовления зелий?</v>
      </c>
      <c r="B76" s="5">
        <v>1.0</v>
      </c>
      <c r="D76" s="5" t="str">
        <f>IFERROR(__xludf.DUMMYFUNCTION("REGEXREPLACE(REGEXEXTRACT(H76, ""а\)\s*(.*?)\s*б\)""), ""^\s*"", """")"),"Варочная стойка")</f>
        <v>Варочная стойка</v>
      </c>
      <c r="E76" s="5" t="str">
        <f>IFERROR(__xludf.DUMMYFUNCTION("REGEXREPLACE(REGEXEXTRACT(H76, ""б\)\s*(.*?)\s*в\)""), ""^\s*"", """")"),"Печь")</f>
        <v>Печь</v>
      </c>
      <c r="F76" s="5" t="str">
        <f>IFERROR(__xludf.DUMMYFUNCTION("REGEXREPLACE(REGEXEXTRACT(H76, ""в\)\s*(.*?)\s*г\)""), ""^\s*"", """")"),"Верстак")</f>
        <v>Верстак</v>
      </c>
      <c r="G76" s="5" t="str">
        <f>IFERROR(__xludf.DUMMYFUNCTION("REGEXREPLACE(REGEXEXTRACT(H76, ""г\)\s*(.*)""), ""^\s*"", """")"),"Компостер")</f>
        <v>Компостер</v>
      </c>
      <c r="H76" s="21" t="s">
        <v>82</v>
      </c>
    </row>
    <row r="77">
      <c r="A77" s="5" t="str">
        <f>IFERROR(__xludf.DUMMYFUNCTION("REGEXEXTRACT(H77, ""s*(.*?)\s*а\)"")"),"Какой моб спаунится только в темноте?")</f>
        <v>Какой моб спаунится только в темноте?</v>
      </c>
      <c r="B77" s="5">
        <v>1.0</v>
      </c>
      <c r="D77" s="5" t="str">
        <f>IFERROR(__xludf.DUMMYFUNCTION("REGEXREPLACE(REGEXEXTRACT(H77, ""а\)\s*(.*?)\s*б\)""), ""^\s*"", """")"),"Зомби")</f>
        <v>Зомби</v>
      </c>
      <c r="E77" s="5" t="str">
        <f>IFERROR(__xludf.DUMMYFUNCTION("REGEXREPLACE(REGEXEXTRACT(H77, ""б\)\s*(.*?)\s*в\)""), ""^\s*"", """")"),"Овца")</f>
        <v>Овца</v>
      </c>
      <c r="F77" s="5" t="str">
        <f>IFERROR(__xludf.DUMMYFUNCTION("REGEXREPLACE(REGEXEXTRACT(H77, ""в\)\s*(.*?)\s*г\)""), ""^\s*"", """")"),"Курица")</f>
        <v>Курица</v>
      </c>
      <c r="G77" s="5" t="str">
        <f>IFERROR(__xludf.DUMMYFUNCTION("REGEXREPLACE(REGEXEXTRACT(H77, ""г\)\s*(.*)""), ""^\s*"", """")"),"Свинья")</f>
        <v>Свинья</v>
      </c>
      <c r="H77" s="21" t="s">
        <v>83</v>
      </c>
    </row>
    <row r="78">
      <c r="A78" s="5" t="str">
        <f>IFERROR(__xludf.DUMMYFUNCTION("REGEXEXTRACT(H78, ""s*(.*?)\s*а\)"")"),"Какой биом состоит в основном из песка?")</f>
        <v>Какой биом состоит в основном из песка?</v>
      </c>
      <c r="B78" s="5">
        <v>1.0</v>
      </c>
      <c r="D78" s="5" t="str">
        <f>IFERROR(__xludf.DUMMYFUNCTION("REGEXREPLACE(REGEXEXTRACT(H78, ""а\)\s*(.*?)\s*б\)""), ""^\s*"", """")"),"Пустыня")</f>
        <v>Пустыня</v>
      </c>
      <c r="E78" s="5" t="str">
        <f>IFERROR(__xludf.DUMMYFUNCTION("REGEXREPLACE(REGEXEXTRACT(H78, ""б\)\s*(.*?)\s*в\)""), ""^\s*"", """")"),"Саванна")</f>
        <v>Саванна</v>
      </c>
      <c r="F78" s="5" t="str">
        <f>IFERROR(__xludf.DUMMYFUNCTION("REGEXREPLACE(REGEXEXTRACT(H78, ""в\)\s*(.*?)\s*г\)""), ""^\s*"", """")"),"Тайга")</f>
        <v>Тайга</v>
      </c>
      <c r="G78" s="5" t="str">
        <f>IFERROR(__xludf.DUMMYFUNCTION("REGEXREPLACE(REGEXEXTRACT(H78, ""г\)\s*(.*)""), ""^\s*"", """")"),"Джунгли")</f>
        <v>Джунгли</v>
      </c>
      <c r="H78" s="21" t="s">
        <v>84</v>
      </c>
    </row>
    <row r="79">
      <c r="A79" s="5" t="str">
        <f>IFERROR(__xludf.DUMMYFUNCTION("REGEXEXTRACT(H79, ""s*(.*?)\s*а\)"")"),"Что необходимо для создания хлеба?")</f>
        <v>Что необходимо для создания хлеба?</v>
      </c>
      <c r="B79" s="5">
        <v>1.0</v>
      </c>
      <c r="D79" s="5" t="str">
        <f>IFERROR(__xludf.DUMMYFUNCTION("REGEXREPLACE(REGEXEXTRACT(H79, ""а\)\s*(.*?)\s*б\)""), ""^\s*"", """")"),"Пшеница")</f>
        <v>Пшеница</v>
      </c>
      <c r="E79" s="5" t="str">
        <f>IFERROR(__xludf.DUMMYFUNCTION("REGEXREPLACE(REGEXEXTRACT(H79, ""б\)\s*(.*?)\s*в\)""), ""^\s*"", """")"),"Яблоки")</f>
        <v>Яблоки</v>
      </c>
      <c r="F79" s="5" t="str">
        <f>IFERROR(__xludf.DUMMYFUNCTION("REGEXREPLACE(REGEXEXTRACT(H79, ""в\)\s*(.*?)\s*г\)""), ""^\s*"", """")"),"Морковь")</f>
        <v>Морковь</v>
      </c>
      <c r="G79" s="5" t="str">
        <f>IFERROR(__xludf.DUMMYFUNCTION("REGEXREPLACE(REGEXEXTRACT(H79, ""г\)\s*(.*)""), ""^\s*"", """")"),"Картофель")</f>
        <v>Картофель</v>
      </c>
      <c r="H79" s="21" t="s">
        <v>85</v>
      </c>
    </row>
    <row r="80">
      <c r="A80" s="5" t="str">
        <f>IFERROR(__xludf.DUMMYFUNCTION("REGEXEXTRACT(H80, ""s*(.*?)\s*а\)"")"),"Какой моб дает молоко?")</f>
        <v>Какой моб дает молоко?</v>
      </c>
      <c r="B80" s="5">
        <v>1.0</v>
      </c>
      <c r="D80" s="5" t="str">
        <f>IFERROR(__xludf.DUMMYFUNCTION("REGEXREPLACE(REGEXEXTRACT(H80, ""а\)\s*(.*?)\s*б\)""), ""^\s*"", """")"),"Корова")</f>
        <v>Корова</v>
      </c>
      <c r="E80" s="5" t="str">
        <f>IFERROR(__xludf.DUMMYFUNCTION("REGEXREPLACE(REGEXEXTRACT(H80, ""б\)\s*(.*?)\s*в\)""), ""^\s*"", """")"),"Свинья")</f>
        <v>Свинья</v>
      </c>
      <c r="F80" s="5" t="str">
        <f>IFERROR(__xludf.DUMMYFUNCTION("REGEXREPLACE(REGEXEXTRACT(H80, ""в\)\s*(.*?)\s*г\)""), ""^\s*"", """")"),"Овца")</f>
        <v>Овца</v>
      </c>
      <c r="G80" s="5" t="str">
        <f>IFERROR(__xludf.DUMMYFUNCTION("REGEXREPLACE(REGEXEXTRACT(H80, ""г\)\s*(.*)""), ""^\s*"", """")"),"Курица")</f>
        <v>Курица</v>
      </c>
      <c r="H80" s="21" t="s">
        <v>86</v>
      </c>
    </row>
    <row r="81">
      <c r="A81" s="5" t="str">
        <f>IFERROR(__xludf.DUMMYFUNCTION("REGEXEXTRACT(H81, ""s*(.*?)\s*а\)"")"),"С помощью чего можно приручить лошадь?")</f>
        <v>С помощью чего можно приручить лошадь?</v>
      </c>
      <c r="B81" s="5">
        <v>1.0</v>
      </c>
      <c r="D81" s="5" t="str">
        <f>IFERROR(__xludf.DUMMYFUNCTION("REGEXREPLACE(REGEXEXTRACT(H81, ""а\)\s*(.*?)\s*б\)""), ""^\s*"", """")"),"Яблоко")</f>
        <v>Яблоко</v>
      </c>
      <c r="E81" s="5" t="str">
        <f>IFERROR(__xludf.DUMMYFUNCTION("REGEXREPLACE(REGEXEXTRACT(H81, ""б\)\s*(.*?)\s*в\)""), ""^\s*"", """")"),"Семена")</f>
        <v>Семена</v>
      </c>
      <c r="F81" s="5" t="str">
        <f>IFERROR(__xludf.DUMMYFUNCTION("REGEXREPLACE(REGEXEXTRACT(H81, ""в\)\s*(.*?)\s*г\)""), ""^\s*"", """")"),"Кость")</f>
        <v>Кость</v>
      </c>
      <c r="G81" s="5" t="str">
        <f>IFERROR(__xludf.DUMMYFUNCTION("REGEXREPLACE(REGEXEXTRACT(H81, ""г\)\s*(.*)""), ""^\s*"", """")"),"Рыба")</f>
        <v>Рыба</v>
      </c>
      <c r="H81" s="21" t="s">
        <v>87</v>
      </c>
    </row>
    <row r="82">
      <c r="A82" s="5" t="str">
        <f>IFERROR(__xludf.DUMMYFUNCTION("REGEXEXTRACT(H82, ""s*(.*?)\s*а\)"")"),"Какой блок является источником света, который можно разместить на стене?")</f>
        <v>Какой блок является источником света, который можно разместить на стене?</v>
      </c>
      <c r="B82" s="5">
        <v>1.0</v>
      </c>
      <c r="D82" s="5" t="str">
        <f>IFERROR(__xludf.DUMMYFUNCTION("REGEXREPLACE(REGEXEXTRACT(H82, ""а\)\s*(.*?)\s*б\)""), ""^\s*"", """")"),"Факел")</f>
        <v>Факел</v>
      </c>
      <c r="E82" s="5" t="str">
        <f>IFERROR(__xludf.DUMMYFUNCTION("REGEXREPLACE(REGEXEXTRACT(H82, ""б\)\s*(.*?)\s*в\)""), ""^\s*"", """")"),"Лампа")</f>
        <v>Лампа</v>
      </c>
      <c r="F82" s="5" t="str">
        <f>IFERROR(__xludf.DUMMYFUNCTION("REGEXREPLACE(REGEXEXTRACT(H82, ""в\)\s*(.*?)\s*г\)""), ""^\s*"", """")"),"Фонарь")</f>
        <v>Фонарь</v>
      </c>
      <c r="G82" s="5" t="str">
        <f>IFERROR(__xludf.DUMMYFUNCTION("REGEXREPLACE(REGEXEXTRACT(H82, ""г\)\s*(.*)""), ""^\s*"", """")"),"Светокамень")</f>
        <v>Светокамень</v>
      </c>
      <c r="H82" s="21" t="s">
        <v>88</v>
      </c>
    </row>
    <row r="83">
      <c r="A83" s="5" t="str">
        <f>IFERROR(__xludf.DUMMYFUNCTION("REGEXEXTRACT(H83, ""s*(.*?)\s*а\)"")"),"Какой предмет позволяет быстро передвигаться под водой?")</f>
        <v>Какой предмет позволяет быстро передвигаться под водой?</v>
      </c>
      <c r="B83" s="5">
        <v>1.0</v>
      </c>
      <c r="D83" s="5" t="str">
        <f>IFERROR(__xludf.DUMMYFUNCTION("REGEXREPLACE(REGEXEXTRACT(H83, ""а\)\s*(.*?)\s*б\)""), ""^\s*"", """")"),"Трезубец")</f>
        <v>Трезубец</v>
      </c>
      <c r="E83" s="5" t="str">
        <f>IFERROR(__xludf.DUMMYFUNCTION("REGEXREPLACE(REGEXEXTRACT(H83, ""б\)\s*(.*?)\s*в\)""), ""^\s*"", """")"),"Лодка")</f>
        <v>Лодка</v>
      </c>
      <c r="F83" s="5" t="str">
        <f>IFERROR(__xludf.DUMMYFUNCTION("REGEXREPLACE(REGEXEXTRACT(H83, ""в\)\s*(.*?)\s*г\)""), ""^\s*"", """")"),"Ведро")</f>
        <v>Ведро</v>
      </c>
      <c r="G83" s="5" t="str">
        <f>IFERROR(__xludf.DUMMYFUNCTION("REGEXREPLACE(REGEXEXTRACT(H83, ""г\)\s*(.*)""), ""^\s*"", """")"),"Удочка")</f>
        <v>Удочка</v>
      </c>
      <c r="H83" s="21" t="s">
        <v>89</v>
      </c>
    </row>
    <row r="84">
      <c r="A84" s="5" t="str">
        <f>IFERROR(__xludf.DUMMYFUNCTION("REGEXEXTRACT(H84, ""s*(.*?)\s*а\)"")"),"Какой моб появляется из яйца, брошенного игроком?")</f>
        <v>Какой моб появляется из яйца, брошенного игроком?</v>
      </c>
      <c r="B84" s="5">
        <v>1.0</v>
      </c>
      <c r="D84" s="5" t="str">
        <f>IFERROR(__xludf.DUMMYFUNCTION("REGEXREPLACE(REGEXEXTRACT(H84, ""а\)\s*(.*?)\s*б\)""), ""^\s*"", """")"),"Курица")</f>
        <v>Курица</v>
      </c>
      <c r="E84" s="5" t="str">
        <f>IFERROR(__xludf.DUMMYFUNCTION("REGEXREPLACE(REGEXEXTRACT(H84, ""б\)\s*(.*?)\s*в\)""), ""^\s*"", """")"),"Свинья")</f>
        <v>Свинья</v>
      </c>
      <c r="F84" s="5" t="str">
        <f>IFERROR(__xludf.DUMMYFUNCTION("REGEXREPLACE(REGEXEXTRACT(H84, ""в\)\s*(.*?)\s*г\)""), ""^\s*"", """")"),"Овца")</f>
        <v>Овца</v>
      </c>
      <c r="G84" s="5" t="str">
        <f>IFERROR(__xludf.DUMMYFUNCTION("REGEXREPLACE(REGEXEXTRACT(H84, ""г\)\s*(.*)""), ""^\s*"", """")"),"Корова")</f>
        <v>Корова</v>
      </c>
      <c r="H84" s="21" t="s">
        <v>90</v>
      </c>
    </row>
    <row r="85">
      <c r="A85" s="5" t="str">
        <f>IFERROR(__xludf.DUMMYFUNCTION("REGEXEXTRACT(H85, ""s*(.*?)\s*а\)"")"),"Что позволяет быстро добывать листву?")</f>
        <v>Что позволяет быстро добывать листву?</v>
      </c>
      <c r="B85" s="5">
        <v>1.0</v>
      </c>
      <c r="D85" s="5" t="str">
        <f>IFERROR(__xludf.DUMMYFUNCTION("REGEXREPLACE(REGEXEXTRACT(H85, ""а\)\s*(.*?)\s*б\)""), ""^\s*"", """")"),"Ножницы")</f>
        <v>Ножницы</v>
      </c>
      <c r="E85" s="5" t="str">
        <f>IFERROR(__xludf.DUMMYFUNCTION("REGEXREPLACE(REGEXEXTRACT(H85, ""б\)\s*(.*?)\s*в\)""), ""^\s*"", """")"),"Топор")</f>
        <v>Топор</v>
      </c>
      <c r="F85" s="5" t="str">
        <f>IFERROR(__xludf.DUMMYFUNCTION("REGEXREPLACE(REGEXEXTRACT(H85, ""в\)\s*(.*?)\s*г\)""), ""^\s*"", """")"),"Кирка")</f>
        <v>Кирка</v>
      </c>
      <c r="G85" s="5" t="str">
        <f>IFERROR(__xludf.DUMMYFUNCTION("REGEXREPLACE(REGEXEXTRACT(H85, ""г\)\s*(.*)""), ""^\s*"", """")"),"Лопата")</f>
        <v>Лопата</v>
      </c>
      <c r="H85" s="21" t="s">
        <v>91</v>
      </c>
    </row>
    <row r="86">
      <c r="A86" s="5" t="str">
        <f>IFERROR(__xludf.DUMMYFUNCTION("REGEXEXTRACT(H86, ""s*(.*?)\s*а\)"")"),"С помощью чего можно приручить волка?")</f>
        <v>С помощью чего можно приручить волка?</v>
      </c>
      <c r="B86" s="5">
        <v>1.0</v>
      </c>
      <c r="D86" s="5" t="str">
        <f>IFERROR(__xludf.DUMMYFUNCTION("REGEXREPLACE(REGEXEXTRACT(H86, ""а\)\s*(.*?)\s*б\)""), ""^\s*"", """")"),"Кость")</f>
        <v>Кость</v>
      </c>
      <c r="E86" s="5" t="str">
        <f>IFERROR(__xludf.DUMMYFUNCTION("REGEXREPLACE(REGEXEXTRACT(H86, ""б\)\s*(.*?)\s*в\)""), ""^\s*"", """")"),"Мясо")</f>
        <v>Мясо</v>
      </c>
      <c r="F86" s="5" t="str">
        <f>IFERROR(__xludf.DUMMYFUNCTION("REGEXREPLACE(REGEXEXTRACT(H86, ""в\)\s*(.*?)\s*г\)""), ""^\s*"", """")"),"Рыба")</f>
        <v>Рыба</v>
      </c>
      <c r="G86" s="5" t="str">
        <f>IFERROR(__xludf.DUMMYFUNCTION("REGEXREPLACE(REGEXEXTRACT(H86, ""г\)\s*(.*)""), ""^\s*"", """")"),"Семена")</f>
        <v>Семена</v>
      </c>
      <c r="H86" s="21" t="s">
        <v>92</v>
      </c>
    </row>
    <row r="87">
      <c r="A87" s="5" t="str">
        <f>IFERROR(__xludf.DUMMYFUNCTION("REGEXEXTRACT(H87, ""s*(.*?)\s*а\)"")"),"Какой блок используется для передачи сигнала редстоуна на расстояние?")</f>
        <v>Какой блок используется для передачи сигнала редстоуна на расстояние?</v>
      </c>
      <c r="B87" s="5">
        <v>1.0</v>
      </c>
      <c r="D87" s="5" t="str">
        <f>IFERROR(__xludf.DUMMYFUNCTION("REGEXREPLACE(REGEXEXTRACT(H87, ""а\)\s*(.*?)\s*б\)""), ""^\s*"", """")"),"Повторитель")</f>
        <v>Повторитель</v>
      </c>
      <c r="E87" s="5" t="str">
        <f>IFERROR(__xludf.DUMMYFUNCTION("REGEXREPLACE(REGEXEXTRACT(H87, ""б\)\s*(.*?)\s*в\)""), ""^\s*"", """")"),"Компаратор")</f>
        <v>Компаратор</v>
      </c>
      <c r="F87" s="5" t="str">
        <f>IFERROR(__xludf.DUMMYFUNCTION("REGEXREPLACE(REGEXEXTRACT(H87, ""в\)\s*(.*?)\s*г\)""), ""^\s*"", """")"),"Поршень")</f>
        <v>Поршень</v>
      </c>
      <c r="G87" s="5" t="str">
        <f>IFERROR(__xludf.DUMMYFUNCTION("REGEXREPLACE(REGEXEXTRACT(H87, ""г\)\s*(.*)""), ""^\s*"", """")"),"Наблюдатель")</f>
        <v>Наблюдатель</v>
      </c>
      <c r="H87" s="21" t="s">
        <v>93</v>
      </c>
    </row>
    <row r="88">
      <c r="A88" s="5" t="str">
        <f>IFERROR(__xludf.DUMMYFUNCTION("REGEXEXTRACT(H88, ""s*(.*?)\s*а\)"")"),"Какой моб обладает способностью взбираться по стенам?")</f>
        <v>Какой моб обладает способностью взбираться по стенам?</v>
      </c>
      <c r="B88" s="5">
        <v>1.0</v>
      </c>
      <c r="D88" s="5" t="str">
        <f>IFERROR(__xludf.DUMMYFUNCTION("REGEXREPLACE(REGEXEXTRACT(H88, ""а\)\s*(.*?)\s*б\)""), ""^\s*"", """")"),"Паук")</f>
        <v>Паук</v>
      </c>
      <c r="E88" s="5" t="str">
        <f>IFERROR(__xludf.DUMMYFUNCTION("REGEXREPLACE(REGEXEXTRACT(H88, ""б\)\s*(.*?)\s*в\)""), ""^\s*"", """")"),"Зомби")</f>
        <v>Зомби</v>
      </c>
      <c r="F88" s="5" t="str">
        <f>IFERROR(__xludf.DUMMYFUNCTION("REGEXREPLACE(REGEXEXTRACT(H88, ""в\)\s*(.*?)\s*г\)""), ""^\s*"", """")"),"Скелет")</f>
        <v>Скелет</v>
      </c>
      <c r="G88" s="5" t="str">
        <f>IFERROR(__xludf.DUMMYFUNCTION("REGEXREPLACE(REGEXEXTRACT(H88, ""г\)\s*(.*)""), ""^\s*"", """")"),"Крипер")</f>
        <v>Крипер</v>
      </c>
      <c r="H88" s="21" t="s">
        <v>94</v>
      </c>
    </row>
    <row r="89">
      <c r="A89" s="5" t="str">
        <f>IFERROR(__xludf.DUMMYFUNCTION("REGEXEXTRACT(H89, ""s*(.*?)\s*а\)"")"),"Какой моб появляется в аду и стреляет огненными шарами?")</f>
        <v>Какой моб появляется в аду и стреляет огненными шарами?</v>
      </c>
      <c r="B89" s="5">
        <v>1.0</v>
      </c>
      <c r="D89" s="5" t="str">
        <f>IFERROR(__xludf.DUMMYFUNCTION("REGEXREPLACE(REGEXEXTRACT(H89, ""а\)\s*(.*?)\s*б\)""), ""^\s*"", """")"),"Гаст")</f>
        <v>Гаст</v>
      </c>
      <c r="E89" s="5" t="str">
        <f>IFERROR(__xludf.DUMMYFUNCTION("REGEXREPLACE(REGEXEXTRACT(H89, ""б\)\s*(.*?)\s*в\)""), ""^\s*"", """")"),"Зомби-свиночеловек")</f>
        <v>Зомби-свиночеловек</v>
      </c>
      <c r="F89" s="5" t="str">
        <f>IFERROR(__xludf.DUMMYFUNCTION("REGEXREPLACE(REGEXEXTRACT(H89, ""в\)\s*(.*?)\s*г\)""), ""^\s*"", """")"),"Скелет")</f>
        <v>Скелет</v>
      </c>
      <c r="G89" s="5" t="str">
        <f>IFERROR(__xludf.DUMMYFUNCTION("REGEXREPLACE(REGEXEXTRACT(H89, ""г\)\s*(.*)""), ""^\s*"", """")"),"Лавовый куб")</f>
        <v>Лавовый куб</v>
      </c>
      <c r="H89" s="21" t="s">
        <v>95</v>
      </c>
    </row>
    <row r="90">
      <c r="A90" s="5" t="str">
        <f>IFERROR(__xludf.DUMMYFUNCTION("REGEXEXTRACT(H90, ""s*(.*?)\s*а\)"")"),"Что является основным ресурсом для создания строительных лесов?")</f>
        <v>Что является основным ресурсом для создания строительных лесов?</v>
      </c>
      <c r="B90" s="5">
        <v>1.0</v>
      </c>
      <c r="D90" s="5" t="str">
        <f>IFERROR(__xludf.DUMMYFUNCTION("REGEXREPLACE(REGEXEXTRACT(H90, ""а\)\s*(.*?)\s*б\)""), ""^\s*"", """")"),"Бамбук")</f>
        <v>Бамбук</v>
      </c>
      <c r="E90" s="5" t="str">
        <f>IFERROR(__xludf.DUMMYFUNCTION("REGEXREPLACE(REGEXEXTRACT(H90, ""б\)\s*(.*?)\s*в\)""), ""^\s*"", """")"),"Дерево")</f>
        <v>Дерево</v>
      </c>
      <c r="F90" s="5" t="str">
        <f>IFERROR(__xludf.DUMMYFUNCTION("REGEXREPLACE(REGEXEXTRACT(H90, ""в\)\s*(.*?)\s*г\)""), ""^\s*"", """")"),"Камень")</f>
        <v>Камень</v>
      </c>
      <c r="G90" s="5" t="str">
        <f>IFERROR(__xludf.DUMMYFUNCTION("REGEXREPLACE(REGEXEXTRACT(H90, ""г\)\s*(.*)""), ""^\s*"", """")"),"Железо")</f>
        <v>Железо</v>
      </c>
      <c r="H90" s="21" t="s">
        <v>96</v>
      </c>
    </row>
    <row r="91">
      <c r="A91" s="5" t="str">
        <f>IFERROR(__xludf.DUMMYFUNCTION("REGEXEXTRACT(H91, ""s*(.*?)\s*а\)"")"),"С помощью чего можно быстро вспахивать землю?")</f>
        <v>С помощью чего можно быстро вспахивать землю?</v>
      </c>
      <c r="B91" s="5">
        <v>1.0</v>
      </c>
      <c r="D91" s="5" t="str">
        <f>IFERROR(__xludf.DUMMYFUNCTION("REGEXREPLACE(REGEXEXTRACT(H91, ""а\)\s*(.*?)\s*б\)""), ""^\s*"", """")"),"Мотыга")</f>
        <v>Мотыга</v>
      </c>
      <c r="E91" s="5" t="str">
        <f>IFERROR(__xludf.DUMMYFUNCTION("REGEXREPLACE(REGEXEXTRACT(H91, ""б\)\s*(.*?)\s*в\)""), ""^\s*"", """")"),"Лопата")</f>
        <v>Лопата</v>
      </c>
      <c r="F91" s="5" t="str">
        <f>IFERROR(__xludf.DUMMYFUNCTION("REGEXREPLACE(REGEXEXTRACT(H91, ""в\)\s*(.*?)\s*г\)""), ""^\s*"", """")"),"Кирка")</f>
        <v>Кирка</v>
      </c>
      <c r="G91" s="5" t="str">
        <f>IFERROR(__xludf.DUMMYFUNCTION("REGEXREPLACE(REGEXEXTRACT(H91, ""г\)\s*(.*)""), ""^\s*"", """")"),"Топор")</f>
        <v>Топор</v>
      </c>
      <c r="H91" s="21" t="s">
        <v>97</v>
      </c>
    </row>
    <row r="92">
      <c r="A92" s="5" t="str">
        <f>IFERROR(__xludf.DUMMYFUNCTION("REGEXEXTRACT(H92, ""s*(.*?)\s*а\)"")"),"Какой моб нападает на жителей деревень?")</f>
        <v>Какой моб нападает на жителей деревень?</v>
      </c>
      <c r="B92" s="5">
        <v>1.0</v>
      </c>
      <c r="D92" s="5" t="str">
        <f>IFERROR(__xludf.DUMMYFUNCTION("REGEXREPLACE(REGEXEXTRACT(H92, ""а\)\s*(.*?)\s*б\)""), ""^\s*"", """")"),"Зомби")</f>
        <v>Зомби</v>
      </c>
      <c r="E92" s="5" t="str">
        <f>IFERROR(__xludf.DUMMYFUNCTION("REGEXREPLACE(REGEXEXTRACT(H92, ""б\)\s*(.*?)\s*в\)""), ""^\s*"", """")"),"Скелет")</f>
        <v>Скелет</v>
      </c>
      <c r="F92" s="5" t="str">
        <f>IFERROR(__xludf.DUMMYFUNCTION("REGEXREPLACE(REGEXEXTRACT(H92, ""в\)\s*(.*?)\s*г\)""), ""^\s*"", """")"),"Крипер")</f>
        <v>Крипер</v>
      </c>
      <c r="G92" s="5" t="str">
        <f>IFERROR(__xludf.DUMMYFUNCTION("REGEXREPLACE(REGEXEXTRACT(H92, ""г\)\s*(.*)""), ""^\s*"", """")"),"Паук")</f>
        <v>Паук</v>
      </c>
      <c r="H92" s="21" t="s">
        <v>98</v>
      </c>
    </row>
    <row r="93">
      <c r="A93" s="5" t="str">
        <f>IFERROR(__xludf.DUMMYFUNCTION("REGEXEXTRACT(H93, ""s*(.*?)\s*а\)"")"),"С помощью чего можно собирать мед из улья?")</f>
        <v>С помощью чего можно собирать мед из улья?</v>
      </c>
      <c r="B93" s="5">
        <v>1.0</v>
      </c>
      <c r="D93" s="5" t="str">
        <f>IFERROR(__xludf.DUMMYFUNCTION("REGEXREPLACE(REGEXEXTRACT(H93, ""а\)\s*(.*?)\s*б\)""), ""^\s*"", """")"),"Стеклянная бутылка")</f>
        <v>Стеклянная бутылка</v>
      </c>
      <c r="E93" s="5" t="str">
        <f>IFERROR(__xludf.DUMMYFUNCTION("REGEXREPLACE(REGEXEXTRACT(H93, ""б\)\s*(.*?)\s*в\)""), ""^\s*"", """")"),"Ведро")</f>
        <v>Ведро</v>
      </c>
      <c r="F93" s="5" t="str">
        <f>IFERROR(__xludf.DUMMYFUNCTION("REGEXREPLACE(REGEXEXTRACT(H93, ""в\)\s*(.*?)\s*г\)""), ""^\s*"", """")"),"Лопата")</f>
        <v>Лопата</v>
      </c>
      <c r="G93" s="5" t="str">
        <f>IFERROR(__xludf.DUMMYFUNCTION("REGEXREPLACE(REGEXEXTRACT(H93, ""г\)\s*(.*)""), ""^\s*"", """")"),"Топор")</f>
        <v>Топор</v>
      </c>
      <c r="H93" s="21" t="s">
        <v>99</v>
      </c>
    </row>
    <row r="94">
      <c r="A94" s="5" t="str">
        <f>IFERROR(__xludf.DUMMYFUNCTION("REGEXEXTRACT(H94, ""s*(.*?)\s*а\)"")"),"Какой предмет необходим для создания зелья невидимости?")</f>
        <v>Какой предмет необходим для создания зелья невидимости?</v>
      </c>
      <c r="B94" s="5">
        <v>1.0</v>
      </c>
      <c r="D94" s="5" t="str">
        <f>IFERROR(__xludf.DUMMYFUNCTION("REGEXREPLACE(REGEXEXTRACT(H94, ""а\)\s*(.*?)\s*б\)""), ""^\s*"", """")"),"Золотая морковь")</f>
        <v>Золотая морковь</v>
      </c>
      <c r="E94" s="5" t="str">
        <f>IFERROR(__xludf.DUMMYFUNCTION("REGEXREPLACE(REGEXEXTRACT(H94, ""б\)\s*(.*?)\s*в\)""), ""^\s*"", """")"),"Слеза гаста")</f>
        <v>Слеза гаста</v>
      </c>
      <c r="F94" s="5" t="str">
        <f>IFERROR(__xludf.DUMMYFUNCTION("REGEXREPLACE(REGEXEXTRACT(H94, ""в\)\s*(.*?)\s*г\)""), ""^\s*"", """")"),"Алмаз")</f>
        <v>Алмаз</v>
      </c>
      <c r="G94" s="5" t="str">
        <f>IFERROR(__xludf.DUMMYFUNCTION("REGEXREPLACE(REGEXEXTRACT(H94, ""г\)\s*(.*)""), ""^\s*"", """")"),"Лава")</f>
        <v>Лава</v>
      </c>
      <c r="H94" s="21" t="s">
        <v>100</v>
      </c>
    </row>
    <row r="95">
      <c r="A95" s="5" t="str">
        <f>IFERROR(__xludf.DUMMYFUNCTION("REGEXEXTRACT(H95, ""s*(.*?)\s*а\)"")"),"Что используется для создания музыкальных блоков?")</f>
        <v>Что используется для создания музыкальных блоков?</v>
      </c>
      <c r="B95" s="5">
        <v>1.0</v>
      </c>
      <c r="D95" s="5" t="str">
        <f>IFERROR(__xludf.DUMMYFUNCTION("REGEXREPLACE(REGEXEXTRACT(H95, ""а\)\s*(.*?)\s*б\)""), ""^\s*"", """")"),"Дерево")</f>
        <v>Дерево</v>
      </c>
      <c r="E95" s="5" t="str">
        <f>IFERROR(__xludf.DUMMYFUNCTION("REGEXREPLACE(REGEXEXTRACT(H95, ""б\)\s*(.*?)\s*в\)""), ""^\s*"", """")"),"Камень")</f>
        <v>Камень</v>
      </c>
      <c r="F95" s="5" t="str">
        <f>IFERROR(__xludf.DUMMYFUNCTION("REGEXREPLACE(REGEXEXTRACT(H95, ""в\)\s*(.*?)\s*г\)""), ""^\s*"", """")"),"Железо")</f>
        <v>Железо</v>
      </c>
      <c r="G95" s="5" t="str">
        <f>IFERROR(__xludf.DUMMYFUNCTION("REGEXREPLACE(REGEXEXTRACT(H95, ""г\)\s*(.*)""), ""^\s*"", """")"),"Алмаз")</f>
        <v>Алмаз</v>
      </c>
      <c r="H95" s="21" t="s">
        <v>101</v>
      </c>
    </row>
    <row r="96">
      <c r="A96" s="5" t="str">
        <f>IFERROR(__xludf.DUMMYFUNCTION("REGEXEXTRACT(H96, ""s*(.*?)\s*а\)"")"),"Какой моб плавает в воде и может атаковать игрока?")</f>
        <v>Какой моб плавает в воде и может атаковать игрока?</v>
      </c>
      <c r="B96" s="5">
        <v>1.0</v>
      </c>
      <c r="D96" s="5" t="str">
        <f>IFERROR(__xludf.DUMMYFUNCTION("REGEXREPLACE(REGEXEXTRACT(H96, ""а\)\s*(.*?)\s*б\)""), ""^\s*"", """")"),"Утопленник")</f>
        <v>Утопленник</v>
      </c>
      <c r="E96" s="5" t="str">
        <f>IFERROR(__xludf.DUMMYFUNCTION("REGEXREPLACE(REGEXEXTRACT(H96, ""б\)\s*(.*?)\s*в\)""), ""^\s*"", """")"),"Скелет")</f>
        <v>Скелет</v>
      </c>
      <c r="F96" s="5" t="str">
        <f>IFERROR(__xludf.DUMMYFUNCTION("REGEXREPLACE(REGEXEXTRACT(H96, ""в\)\s*(.*?)\s*г\)""), ""^\s*"", """")"),"Зомби")</f>
        <v>Зомби</v>
      </c>
      <c r="G96" s="5" t="str">
        <f>IFERROR(__xludf.DUMMYFUNCTION("REGEXREPLACE(REGEXEXTRACT(H96, ""г\)\s*(.*)""), ""^\s*"", """")"),"Крипер")</f>
        <v>Крипер</v>
      </c>
      <c r="H96" s="21" t="s">
        <v>102</v>
      </c>
    </row>
    <row r="97">
      <c r="A97" s="5" t="str">
        <f>IFERROR(__xludf.DUMMYFUNCTION("REGEXEXTRACT(H97, ""s*(.*?)\s*а\)"")"),"Для чего нужно кострище?")</f>
        <v>Для чего нужно кострище?</v>
      </c>
      <c r="B97" s="5">
        <v>1.0</v>
      </c>
      <c r="D97" s="5" t="str">
        <f>IFERROR(__xludf.DUMMYFUNCTION("REGEXREPLACE(REGEXEXTRACT(H97, ""а\)\s*(.*?)\s*б\)""), ""^\s*"", """")"),"Для приготовления пищи")</f>
        <v>Для приготовления пищи</v>
      </c>
      <c r="E97" s="5" t="str">
        <f>IFERROR(__xludf.DUMMYFUNCTION("REGEXREPLACE(REGEXEXTRACT(H97, ""б\)\s*(.*?)\s*в\)""), ""^\s*"", """")"),"Для украшения")</f>
        <v>Для украшения</v>
      </c>
      <c r="F97" s="5" t="str">
        <f>IFERROR(__xludf.DUMMYFUNCTION("REGEXREPLACE(REGEXEXTRACT(H97, ""в\)\s*(.*?)\s*г\)""), ""^\s*"", """")"),"Для отпугивания мобов")</f>
        <v>Для отпугивания мобов</v>
      </c>
      <c r="G97" s="5" t="str">
        <f>IFERROR(__xludf.DUMMYFUNCTION("REGEXREPLACE(REGEXEXTRACT(H97, ""г\)\s*(.*)""), ""^\s*"", """")"),"Для освещения территории")</f>
        <v>Для освещения территории</v>
      </c>
      <c r="H97" s="21" t="s">
        <v>103</v>
      </c>
    </row>
    <row r="98">
      <c r="A98" s="5" t="str">
        <f>IFERROR(__xludf.DUMMYFUNCTION("REGEXEXTRACT(H98, ""s*(.*?)\s*а\)"")"),"С помощью чего можно быстро срубить огромное дерево?")</f>
        <v>С помощью чего можно быстро срубить огромное дерево?</v>
      </c>
      <c r="B98" s="5">
        <v>1.0</v>
      </c>
      <c r="D98" s="5" t="str">
        <f>IFERROR(__xludf.DUMMYFUNCTION("REGEXREPLACE(REGEXEXTRACT(H98, ""а\)\s*(.*?)\s*б\)""), ""^\s*"", """")"),"Топор")</f>
        <v>Топор</v>
      </c>
      <c r="E98" s="5" t="str">
        <f>IFERROR(__xludf.DUMMYFUNCTION("REGEXREPLACE(REGEXEXTRACT(H98, ""б\)\s*(.*?)\s*в\)""), ""^\s*"", """")"),"Кирка")</f>
        <v>Кирка</v>
      </c>
      <c r="F98" s="5" t="str">
        <f>IFERROR(__xludf.DUMMYFUNCTION("REGEXREPLACE(REGEXEXTRACT(H98, ""в\)\s*(.*?)\s*г\)""), ""^\s*"", """")"),"Мотыга")</f>
        <v>Мотыга</v>
      </c>
      <c r="G98" s="5" t="str">
        <f>IFERROR(__xludf.DUMMYFUNCTION("REGEXREPLACE(REGEXEXTRACT(H98, ""г\)\s*(.*)""), ""^\s*"", """")"),"Лопата")</f>
        <v>Лопата</v>
      </c>
      <c r="H98" s="21" t="s">
        <v>104</v>
      </c>
    </row>
    <row r="99">
      <c r="A99" s="5" t="str">
        <f>IFERROR(__xludf.DUMMYFUNCTION("REGEXEXTRACT(H99, ""s*(.*?)\s*а\)"")"),"Что нужно для создания стола картографа?")</f>
        <v>Что нужно для создания стола картографа?</v>
      </c>
      <c r="B99" s="5">
        <v>1.0</v>
      </c>
      <c r="D99" s="5" t="str">
        <f>IFERROR(__xludf.DUMMYFUNCTION("REGEXREPLACE(REGEXEXTRACT(H99, ""а\)\s*(.*?)\s*б\)""), ""^\s*"", """")"),"Бумага")</f>
        <v>Бумага</v>
      </c>
      <c r="E99" s="5" t="str">
        <f>IFERROR(__xludf.DUMMYFUNCTION("REGEXREPLACE(REGEXEXTRACT(H99, ""б\)\s*(.*?)\s*в\)""), ""^\s*"", """")"),"Камень")</f>
        <v>Камень</v>
      </c>
      <c r="F99" s="5" t="str">
        <f>IFERROR(__xludf.DUMMYFUNCTION("REGEXREPLACE(REGEXEXTRACT(H99, ""в\)\s*(.*?)\s*г\)""), ""^\s*"", """")"),"Листья")</f>
        <v>Листья</v>
      </c>
      <c r="G99" s="5" t="str">
        <f>IFERROR(__xludf.DUMMYFUNCTION("REGEXREPLACE(REGEXEXTRACT(H99, ""г\)\s*(.*)""), ""^\s*"", """")"),"Редстоун")</f>
        <v>Редстоун</v>
      </c>
      <c r="H99" s="21" t="s">
        <v>105</v>
      </c>
    </row>
    <row r="100">
      <c r="A100" s="5" t="str">
        <f>IFERROR(__xludf.DUMMYFUNCTION("REGEXEXTRACT(H100, ""s*(.*?)\s*а\)"")"),"Для чего нужен компас?")</f>
        <v>Для чего нужен компас?</v>
      </c>
      <c r="B100" s="5">
        <v>1.0</v>
      </c>
      <c r="D100" s="5" t="str">
        <f>IFERROR(__xludf.DUMMYFUNCTION("REGEXREPLACE(REGEXEXTRACT(H100, ""а\)\s*(.*?)\s*б\)""), ""^\s*"", """")"),"Что бы не заблудиться")</f>
        <v>Что бы не заблудиться</v>
      </c>
      <c r="E100" s="5" t="str">
        <f>IFERROR(__xludf.DUMMYFUNCTION("REGEXREPLACE(REGEXEXTRACT(H100, ""б\)\s*(.*?)\s*в\)""), ""^\s*"", """")"),"Для ориентирования во времени")</f>
        <v>Для ориентирования во времени</v>
      </c>
      <c r="F100" s="5" t="str">
        <f>IFERROR(__xludf.DUMMYFUNCTION("REGEXREPLACE(REGEXEXTRACT(H100, ""в\)\s*(.*?)\s*г\)""), ""^\s*"", """")"),"Для поиска сокровищ")</f>
        <v>Для поиска сокровищ</v>
      </c>
      <c r="G100" s="5" t="str">
        <f>IFERROR(__xludf.DUMMYFUNCTION("REGEXREPLACE(REGEXEXTRACT(H100, ""г\)\s*(.*)""), ""^\s*"", """")"),"Для полёта")</f>
        <v>Для полёта</v>
      </c>
      <c r="H100" s="21" t="s">
        <v>106</v>
      </c>
    </row>
    <row r="101">
      <c r="A101" s="5" t="str">
        <f>IFERROR(__xludf.DUMMYFUNCTION("REGEXEXTRACT(H101, ""s*(.*?)\s*а\)"")"),"Что нужно для создания динамита?")</f>
        <v>Что нужно для создания динамита?</v>
      </c>
      <c r="B101" s="5">
        <v>1.0</v>
      </c>
      <c r="D101" s="5" t="str">
        <f>IFERROR(__xludf.DUMMYFUNCTION("REGEXREPLACE(REGEXEXTRACT(H101, ""а\)\s*(.*?)\s*б\)""), ""^\s*"", """")"),"Порох")</f>
        <v>Порох</v>
      </c>
      <c r="E101" s="5" t="str">
        <f>IFERROR(__xludf.DUMMYFUNCTION("REGEXREPLACE(REGEXEXTRACT(H101, ""б\)\s*(.*?)\s*в\)""), ""^\s*"", """")"),"Уголь")</f>
        <v>Уголь</v>
      </c>
      <c r="F101" s="5" t="str">
        <f>IFERROR(__xludf.DUMMYFUNCTION("REGEXREPLACE(REGEXEXTRACT(H101, ""в\)\s*(.*?)\s*г\)""), ""^\s*"", """")"),"Редстоун")</f>
        <v>Редстоун</v>
      </c>
      <c r="G101" s="5" t="str">
        <f>IFERROR(__xludf.DUMMYFUNCTION("REGEXREPLACE(REGEXEXTRACT(H101, ""г\)\s*(.*)""), ""^\s*"", """")"),"Железо")</f>
        <v>Железо</v>
      </c>
      <c r="H101" s="21" t="s">
        <v>107</v>
      </c>
    </row>
    <row r="102">
      <c r="A102" s="5" t="str">
        <f>IFERROR(__xludf.DUMMYFUNCTION("REGEXEXTRACT(H102, ""s*(.*?)\s*а\)"")"),"Какой предмет можно использовать для телепортации?")</f>
        <v>Какой предмет можно использовать для телепортации?</v>
      </c>
      <c r="B102" s="5">
        <v>1.0</v>
      </c>
      <c r="D102" s="5" t="str">
        <f>IFERROR(__xludf.DUMMYFUNCTION("REGEXREPLACE(REGEXEXTRACT(H102, ""а\)\s*(.*?)\s*б\)""), ""^\s*"", """")"),"Жемчуг Края")</f>
        <v>Жемчуг Края</v>
      </c>
      <c r="E102" s="5" t="str">
        <f>IFERROR(__xludf.DUMMYFUNCTION("REGEXREPLACE(REGEXEXTRACT(H102, ""б\)\s*(.*?)\s*в\)""), ""^\s*"", """")"),"Камень Края")</f>
        <v>Камень Края</v>
      </c>
      <c r="F102" s="5" t="str">
        <f>IFERROR(__xludf.DUMMYFUNCTION("REGEXREPLACE(REGEXEXTRACT(H102, ""в\)\s*(.*?)\s*г\)""), ""^\s*"", """")"),"Обсидиан")</f>
        <v>Обсидиан</v>
      </c>
      <c r="G102" s="5" t="str">
        <f>IFERROR(__xludf.DUMMYFUNCTION("REGEXREPLACE(REGEXEXTRACT(H102, ""г\)\s*(.*)""), ""^\s*"", """")"),"Камень")</f>
        <v>Камень</v>
      </c>
      <c r="H102" s="21" t="s">
        <v>108</v>
      </c>
    </row>
    <row r="103">
      <c r="A103" s="5" t="str">
        <f>IFERROR(__xludf.DUMMYFUNCTION("REGEXEXTRACT(H103, ""s*(.*?)\s*а\)"")"),"Как называется блок, который может липнуть к другим блокам?")</f>
        <v>Как называется блок, который может липнуть к другим блокам?</v>
      </c>
      <c r="B103" s="5">
        <v>1.0</v>
      </c>
      <c r="D103" s="5" t="str">
        <f>IFERROR(__xludf.DUMMYFUNCTION("REGEXREPLACE(REGEXEXTRACT(H103, ""а\)\s*(.*?)\s*б\)""), ""^\s*"", """")"),"Липкий поршень")</f>
        <v>Липкий поршень</v>
      </c>
      <c r="E103" s="5" t="str">
        <f>IFERROR(__xludf.DUMMYFUNCTION("REGEXREPLACE(REGEXEXTRACT(H103, ""б\)\s*(.*?)\s*в\)""), ""^\s*"", """")"),"Обычный поршень")</f>
        <v>Обычный поршень</v>
      </c>
      <c r="F103" s="5" t="str">
        <f>IFERROR(__xludf.DUMMYFUNCTION("REGEXREPLACE(REGEXEXTRACT(H103, ""в\)\s*(.*?)\s*г\)""), ""^\s*"", """")"),"Слизь")</f>
        <v>Слизь</v>
      </c>
      <c r="G103" s="5" t="str">
        <f>IFERROR(__xludf.DUMMYFUNCTION("REGEXREPLACE(REGEXEXTRACT(H103, ""г\)\s*(.*)""), ""^\s*"", """")"),"Мед")</f>
        <v>Мед</v>
      </c>
      <c r="H103" s="21" t="s">
        <v>109</v>
      </c>
    </row>
    <row r="104">
      <c r="A104" s="5" t="str">
        <f>IFERROR(__xludf.DUMMYFUNCTION("REGEXEXTRACT(H104, ""s*(.*?)\s*а\)"")"),"Какую еду любят панды?")</f>
        <v>Какую еду любят панды?</v>
      </c>
      <c r="B104" s="5">
        <v>1.0</v>
      </c>
      <c r="D104" s="5" t="str">
        <f>IFERROR(__xludf.DUMMYFUNCTION("REGEXREPLACE(REGEXEXTRACT(H104, ""а\)\s*(.*?)\s*б\)""), ""^\s*"", """")"),"Бамбук")</f>
        <v>Бамбук</v>
      </c>
      <c r="E104" s="5" t="str">
        <f>IFERROR(__xludf.DUMMYFUNCTION("REGEXREPLACE(REGEXEXTRACT(H104, ""б\)\s*(.*?)\s*в\)""), ""^\s*"", """")"),"Яблоки")</f>
        <v>Яблоки</v>
      </c>
      <c r="F104" s="5" t="str">
        <f>IFERROR(__xludf.DUMMYFUNCTION("REGEXREPLACE(REGEXEXTRACT(H104, ""в\)\s*(.*?)\s*г\)""), ""^\s*"", """")"),"Торт")</f>
        <v>Торт</v>
      </c>
      <c r="G104" s="5" t="str">
        <f>IFERROR(__xludf.DUMMYFUNCTION("REGEXREPLACE(REGEXEXTRACT(H104, ""г\)\s*(.*)""), ""^\s*"", """")"),"Семена")</f>
        <v>Семена</v>
      </c>
      <c r="H104" s="21" t="s">
        <v>110</v>
      </c>
    </row>
    <row r="105">
      <c r="A105" s="5" t="str">
        <f>IFERROR(__xludf.DUMMYFUNCTION("REGEXEXTRACT(H105, ""s*(.*?)\s*а\)"")"),"Какой инструмент позволяет быстро копать песок и гравий?")</f>
        <v>Какой инструмент позволяет быстро копать песок и гравий?</v>
      </c>
      <c r="B105" s="5">
        <v>1.0</v>
      </c>
      <c r="D105" s="5" t="str">
        <f>IFERROR(__xludf.DUMMYFUNCTION("REGEXREPLACE(REGEXEXTRACT(H105, ""а\)\s*(.*?)\s*б\)""), ""^\s*"", """")"),"Лопата")</f>
        <v>Лопата</v>
      </c>
      <c r="E105" s="5" t="str">
        <f>IFERROR(__xludf.DUMMYFUNCTION("REGEXREPLACE(REGEXEXTRACT(H105, ""б\)\s*(.*?)\s*в\)""), ""^\s*"", """")"),"Кирка")</f>
        <v>Кирка</v>
      </c>
      <c r="F105" s="5" t="str">
        <f>IFERROR(__xludf.DUMMYFUNCTION("REGEXREPLACE(REGEXEXTRACT(H105, ""в\)\s*(.*?)\s*г\)""), ""^\s*"", """")"),"Топор")</f>
        <v>Топор</v>
      </c>
      <c r="G105" s="5" t="str">
        <f>IFERROR(__xludf.DUMMYFUNCTION("REGEXREPLACE(REGEXEXTRACT(H105, ""г\)\s*(.*)""), ""^\s*"", """")"),"Мотыга")</f>
        <v>Мотыга</v>
      </c>
      <c r="H105" s="21" t="s">
        <v>111</v>
      </c>
    </row>
    <row r="106">
      <c r="A106" s="5" t="str">
        <f>IFERROR(__xludf.DUMMYFUNCTION("REGEXEXTRACT(H106, ""s*(.*?)\s*а\)"")"),"Какой моб превращается в ведьму от удара молнии?")</f>
        <v>Какой моб превращается в ведьму от удара молнии?</v>
      </c>
      <c r="B106" s="5">
        <v>1.0</v>
      </c>
      <c r="D106" s="5" t="str">
        <f>IFERROR(__xludf.DUMMYFUNCTION("REGEXREPLACE(REGEXEXTRACT(H106, ""а\)\s*(.*?)\s*б\)""), ""^\s*"", """")"),"Житель")</f>
        <v>Житель</v>
      </c>
      <c r="E106" s="5" t="str">
        <f>IFERROR(__xludf.DUMMYFUNCTION("REGEXREPLACE(REGEXEXTRACT(H106, ""б\)\s*(.*?)\s*в\)""), ""^\s*"", """")"),"Зомби")</f>
        <v>Зомби</v>
      </c>
      <c r="F106" s="5" t="str">
        <f>IFERROR(__xludf.DUMMYFUNCTION("REGEXREPLACE(REGEXEXTRACT(H106, ""в\)\s*(.*?)\s*г\)""), ""^\s*"", """")"),"Скелет")</f>
        <v>Скелет</v>
      </c>
      <c r="G106" s="5" t="str">
        <f>IFERROR(__xludf.DUMMYFUNCTION("REGEXREPLACE(REGEXEXTRACT(H106, ""г\)\s*(.*)""), ""^\s*"", """")"),"Крипер")</f>
        <v>Крипер</v>
      </c>
      <c r="H106" s="21" t="s">
        <v>112</v>
      </c>
    </row>
    <row r="107">
      <c r="A107" s="5" t="str">
        <f>IFERROR(__xludf.DUMMYFUNCTION("REGEXEXTRACT(H107, ""s*(.*?)\s*а\)"")"),"Какой ресурс используется для создания стекла?")</f>
        <v>Какой ресурс используется для создания стекла?</v>
      </c>
      <c r="B107" s="5">
        <v>1.0</v>
      </c>
      <c r="D107" s="5" t="str">
        <f>IFERROR(__xludf.DUMMYFUNCTION("REGEXREPLACE(REGEXEXTRACT(H107, ""а\)\s*(.*?)\s*б\)""), ""^\s*"", """")"),"Песок")</f>
        <v>Песок</v>
      </c>
      <c r="E107" s="5" t="str">
        <f>IFERROR(__xludf.DUMMYFUNCTION("REGEXREPLACE(REGEXEXTRACT(H107, ""б\)\s*(.*?)\s*в\)""), ""^\s*"", """")"),"Камень")</f>
        <v>Камень</v>
      </c>
      <c r="F107" s="5" t="str">
        <f>IFERROR(__xludf.DUMMYFUNCTION("REGEXREPLACE(REGEXEXTRACT(H107, ""в\)\s*(.*?)\s*г\)""), ""^\s*"", """")"),"Земля")</f>
        <v>Земля</v>
      </c>
      <c r="G107" s="5" t="str">
        <f>IFERROR(__xludf.DUMMYFUNCTION("REGEXREPLACE(REGEXEXTRACT(H107, ""г\)\s*(.*)""), ""^\s*"", """")"),"Гравий")</f>
        <v>Гравий</v>
      </c>
      <c r="H107" s="21" t="s">
        <v>113</v>
      </c>
    </row>
    <row r="108">
      <c r="A108" s="5" t="str">
        <f>IFERROR(__xludf.DUMMYFUNCTION("REGEXEXTRACT(H108, ""s*(.*?)\s*а\)"")"),"Какой блок используется для создания костра?")</f>
        <v>Какой блок используется для создания костра?</v>
      </c>
      <c r="B108" s="5">
        <v>1.0</v>
      </c>
      <c r="D108" s="5" t="str">
        <f>IFERROR(__xludf.DUMMYFUNCTION("REGEXREPLACE(REGEXEXTRACT(H108, ""а\)\s*(.*?)\s*б\)""), ""^\s*"", """")"),"Уголь")</f>
        <v>Уголь</v>
      </c>
      <c r="E108" s="5" t="str">
        <f>IFERROR(__xludf.DUMMYFUNCTION("REGEXREPLACE(REGEXEXTRACT(H108, ""б\)\s*(.*?)\s*в\)""), ""^\s*"", """")"),"Железо")</f>
        <v>Железо</v>
      </c>
      <c r="F108" s="5" t="str">
        <f>IFERROR(__xludf.DUMMYFUNCTION("REGEXREPLACE(REGEXEXTRACT(H108, ""в\)\s*(.*?)\s*г\)""), ""^\s*"", """")"),"Золото")</f>
        <v>Золото</v>
      </c>
      <c r="G108" s="5" t="str">
        <f>IFERROR(__xludf.DUMMYFUNCTION("REGEXREPLACE(REGEXEXTRACT(H108, ""г\)\s*(.*)""), ""^\s*"", """")"),"Алмазы")</f>
        <v>Алмазы</v>
      </c>
      <c r="H108" s="21" t="s">
        <v>114</v>
      </c>
    </row>
    <row r="109">
      <c r="A109" s="5" t="str">
        <f>IFERROR(__xludf.DUMMYFUNCTION("REGEXEXTRACT(H109, ""s*(.*?)\s*а\)"")"),"Где можно найти элитры?")</f>
        <v>Где можно найти элитры?</v>
      </c>
      <c r="B109" s="5">
        <v>1.0</v>
      </c>
      <c r="D109" s="5" t="str">
        <f>IFERROR(__xludf.DUMMYFUNCTION("REGEXREPLACE(REGEXEXTRACT(H109, ""а\)\s*(.*?)\s*б\)""), ""^\s*"", """")"),"В корабле Края")</f>
        <v>В корабле Края</v>
      </c>
      <c r="E109" s="5" t="str">
        <f>IFERROR(__xludf.DUMMYFUNCTION("REGEXREPLACE(REGEXEXTRACT(H109, ""б\)\s*(.*?)\s*в\)""), ""^\s*"", """")"),"В сокровищнице")</f>
        <v>В сокровищнице</v>
      </c>
      <c r="F109" s="5" t="str">
        <f>IFERROR(__xludf.DUMMYFUNCTION("REGEXREPLACE(REGEXEXTRACT(H109, ""в\)\s*(.*?)\s*г\)""), ""^\s*"", """")"),"В шахте")</f>
        <v>В шахте</v>
      </c>
      <c r="G109" s="5" t="str">
        <f>IFERROR(__xludf.DUMMYFUNCTION("REGEXREPLACE(REGEXEXTRACT(H109, ""г\)\s*(.*)""), ""^\s*"", """")"),"В пещере")</f>
        <v>В пещере</v>
      </c>
      <c r="H109" s="21" t="s">
        <v>115</v>
      </c>
    </row>
    <row r="110">
      <c r="A110" s="5" t="str">
        <f>IFERROR(__xludf.DUMMYFUNCTION("REGEXEXTRACT(H110, ""s*(.*?)\s*а\)"")"),"Что используется для создания динамита?")</f>
        <v>Что используется для создания динамита?</v>
      </c>
      <c r="B110" s="5">
        <v>1.0</v>
      </c>
      <c r="D110" s="5" t="str">
        <f>IFERROR(__xludf.DUMMYFUNCTION("REGEXREPLACE(REGEXEXTRACT(H110, ""а\)\s*(.*?)\s*б\)""), ""^\s*"", """")"),"Порох")</f>
        <v>Порох</v>
      </c>
      <c r="E110" s="5" t="str">
        <f>IFERROR(__xludf.DUMMYFUNCTION("REGEXREPLACE(REGEXEXTRACT(H110, ""б\)\s*(.*?)\s*в\)""), ""^\s*"", """")"),"Уголь")</f>
        <v>Уголь</v>
      </c>
      <c r="F110" s="5" t="str">
        <f>IFERROR(__xludf.DUMMYFUNCTION("REGEXREPLACE(REGEXEXTRACT(H110, ""в\)\s*(.*?)\s*г\)""), ""^\s*"", """")"),"Редстоун")</f>
        <v>Редстоун</v>
      </c>
      <c r="G110" s="5" t="str">
        <f>IFERROR(__xludf.DUMMYFUNCTION("REGEXREPLACE(REGEXEXTRACT(H110, ""г\)\s*(.*)""), ""^\s*"", """")"),"Железо")</f>
        <v>Железо</v>
      </c>
      <c r="H110" s="21" t="s">
        <v>116</v>
      </c>
    </row>
    <row r="111">
      <c r="A111" s="5" t="str">
        <f>IFERROR(__xludf.DUMMYFUNCTION("REGEXEXTRACT(H111, ""s*(.*?)\s*а\)"")"),"Какой ресурс используется для создания фейерверков?")</f>
        <v>Какой ресурс используется для создания фейерверков?</v>
      </c>
      <c r="B111" s="5">
        <v>1.0</v>
      </c>
      <c r="D111" s="5" t="str">
        <f>IFERROR(__xludf.DUMMYFUNCTION("REGEXREPLACE(REGEXEXTRACT(H111, ""а\)\s*(.*?)\s*б\)""), ""^\s*"", """")"),"Порох")</f>
        <v>Порох</v>
      </c>
      <c r="E111" s="5" t="str">
        <f>IFERROR(__xludf.DUMMYFUNCTION("REGEXREPLACE(REGEXEXTRACT(H111, ""б\)\s*(.*?)\s*в\)""), ""^\s*"", """")"),"Уголь")</f>
        <v>Уголь</v>
      </c>
      <c r="F111" s="5" t="str">
        <f>IFERROR(__xludf.DUMMYFUNCTION("REGEXREPLACE(REGEXEXTRACT(H111, ""в\)\s*(.*?)\s*г\)""), ""^\s*"", """")"),"Редстоун")</f>
        <v>Редстоун</v>
      </c>
      <c r="G111" s="5" t="str">
        <f>IFERROR(__xludf.DUMMYFUNCTION("REGEXREPLACE(REGEXEXTRACT(H111, ""г\)\s*(.*)""), ""^\s*"", """")"),"Железо")</f>
        <v>Железо</v>
      </c>
      <c r="H111" s="21" t="s">
        <v>117</v>
      </c>
    </row>
    <row r="112">
      <c r="A112" s="5" t="str">
        <f>IFERROR(__xludf.DUMMYFUNCTION("REGEXEXTRACT(H112, ""s*(.*?)\s*а\)"")"),"Какое животное можно найти в снежном биоме?")</f>
        <v>Какое животное можно найти в снежном биоме?</v>
      </c>
      <c r="B112" s="5">
        <v>1.0</v>
      </c>
      <c r="D112" s="5" t="str">
        <f>IFERROR(__xludf.DUMMYFUNCTION("REGEXREPLACE(REGEXEXTRACT(H112, ""а\)\s*(.*?)\s*б\)""), ""^\s*"", """")"),"Белый медведь")</f>
        <v>Белый медведь</v>
      </c>
      <c r="E112" s="5" t="str">
        <f>IFERROR(__xludf.DUMMYFUNCTION("REGEXREPLACE(REGEXEXTRACT(H112, ""б\)\s*(.*?)\s*в\)""), ""^\s*"", """")"),"Корова")</f>
        <v>Корова</v>
      </c>
      <c r="F112" s="5" t="str">
        <f>IFERROR(__xludf.DUMMYFUNCTION("REGEXREPLACE(REGEXEXTRACT(H112, ""в\)\s*(.*?)\s*г\)""), ""^\s*"", """")"),"Овца")</f>
        <v>Овца</v>
      </c>
      <c r="G112" s="5" t="str">
        <f>IFERROR(__xludf.DUMMYFUNCTION("REGEXREPLACE(REGEXEXTRACT(H112, ""г\)\s*(.*)""), ""^\s*"", """")"),"Свинья")</f>
        <v>Свинья</v>
      </c>
      <c r="H112" s="21" t="s">
        <v>118</v>
      </c>
    </row>
    <row r="113">
      <c r="A113" s="5" t="str">
        <f>IFERROR(__xludf.DUMMYFUNCTION("REGEXEXTRACT(H113, ""s*(.*?)\s*а\)"")"),"Какой инструмент используется для создания карты?")</f>
        <v>Какой инструмент используется для создания карты?</v>
      </c>
      <c r="B113" s="5">
        <v>1.0</v>
      </c>
      <c r="D113" s="5" t="str">
        <f>IFERROR(__xludf.DUMMYFUNCTION("REGEXREPLACE(REGEXEXTRACT(H113, ""а\)\s*(.*?)\s*б\)""), ""^\s*"", """")"),"Компас")</f>
        <v>Компас</v>
      </c>
      <c r="E113" s="5" t="str">
        <f>IFERROR(__xludf.DUMMYFUNCTION("REGEXREPLACE(REGEXEXTRACT(H113, ""б\)\s*(.*?)\s*в\)""), ""^\s*"", """")"),"Кирка")</f>
        <v>Кирка</v>
      </c>
      <c r="F113" s="5" t="str">
        <f>IFERROR(__xludf.DUMMYFUNCTION("REGEXREPLACE(REGEXEXTRACT(H113, ""в\)\s*(.*?)\s*г\)""), ""^\s*"", """")"),"Топор")</f>
        <v>Топор</v>
      </c>
      <c r="G113" s="5" t="str">
        <f>IFERROR(__xludf.DUMMYFUNCTION("REGEXREPLACE(REGEXEXTRACT(H113, ""г\)\s*(.*)""), ""^\s*"", """")"),"Лопата")</f>
        <v>Лопата</v>
      </c>
      <c r="H113" s="21" t="s">
        <v>119</v>
      </c>
    </row>
    <row r="114">
      <c r="A114" s="5" t="str">
        <f>IFERROR(__xludf.DUMMYFUNCTION("REGEXEXTRACT(H114, ""s*(.*?)\s*а\)"")"),"Какой блок позволяет получить случайный предмет?")</f>
        <v>Какой блок позволяет получить случайный предмет?</v>
      </c>
      <c r="B114" s="5">
        <v>1.0</v>
      </c>
      <c r="D114" s="5" t="str">
        <f>IFERROR(__xludf.DUMMYFUNCTION("REGEXREPLACE(REGEXEXTRACT(H114, ""а\)\s*(.*?)\s*б\)""), ""^\s*"", """")"),"Раздатчик")</f>
        <v>Раздатчик</v>
      </c>
      <c r="E114" s="5" t="str">
        <f>IFERROR(__xludf.DUMMYFUNCTION("REGEXREPLACE(REGEXEXTRACT(H114, ""б\)\s*(.*?)\s*в\)""), ""^\s*"", """")"),"Сундук")</f>
        <v>Сундук</v>
      </c>
      <c r="F114" s="5" t="str">
        <f>IFERROR(__xludf.DUMMYFUNCTION("REGEXREPLACE(REGEXEXTRACT(H114, ""в\)\s*(.*?)\s*г\)""), ""^\s*"", """")"),"Верстак")</f>
        <v>Верстак</v>
      </c>
      <c r="G114" s="5" t="str">
        <f>IFERROR(__xludf.DUMMYFUNCTION("REGEXREPLACE(REGEXEXTRACT(H114, ""г\)\s*(.*)""), ""^\s*"", """")"),"Печь")</f>
        <v>Печь</v>
      </c>
      <c r="H114" s="21" t="s">
        <v>120</v>
      </c>
    </row>
    <row r="115">
      <c r="A115" s="5" t="str">
        <f>IFERROR(__xludf.DUMMYFUNCTION("REGEXEXTRACT(H115, ""s*(.*?)\s*а\)"")"),"Какой моб используется для передвижения в аду?")</f>
        <v>Какой моб используется для передвижения в аду?</v>
      </c>
      <c r="B115" s="5">
        <v>1.0</v>
      </c>
      <c r="D115" s="5" t="str">
        <f>IFERROR(__xludf.DUMMYFUNCTION("REGEXREPLACE(REGEXEXTRACT(H115, ""а\)\s*(.*?)\s*б\)""), ""^\s*"", """")"),"Страйдер")</f>
        <v>Страйдер</v>
      </c>
      <c r="E115" s="5" t="str">
        <f>IFERROR(__xludf.DUMMYFUNCTION("REGEXREPLACE(REGEXEXTRACT(H115, ""б\)\s*(.*?)\s*в\)""), ""^\s*"", """")"),"Зомби")</f>
        <v>Зомби</v>
      </c>
      <c r="F115" s="5" t="str">
        <f>IFERROR(__xludf.DUMMYFUNCTION("REGEXREPLACE(REGEXEXTRACT(H115, ""в\)\s*(.*?)\s*г\)""), ""^\s*"", """")"),"Крипер")</f>
        <v>Крипер</v>
      </c>
      <c r="G115" s="5" t="str">
        <f>IFERROR(__xludf.DUMMYFUNCTION("REGEXREPLACE(REGEXEXTRACT(H115, ""г\)\s*(.*)""), ""^\s*"", """")"),"Скелет")</f>
        <v>Скелет</v>
      </c>
      <c r="H115" s="21" t="s">
        <v>121</v>
      </c>
    </row>
    <row r="116">
      <c r="A116" s="5" t="str">
        <f>IFERROR(__xludf.DUMMYFUNCTION("REGEXEXTRACT(H116, ""s*(.*?)\s*а\)"")"),"Что нужно для создания костра?")</f>
        <v>Что нужно для создания костра?</v>
      </c>
      <c r="B116" s="5">
        <v>1.0</v>
      </c>
      <c r="D116" s="5" t="str">
        <f>IFERROR(__xludf.DUMMYFUNCTION("REGEXREPLACE(REGEXEXTRACT(H116, ""а\)\s*(.*?)\s*б\)""), ""^\s*"", """")"),"Дерево")</f>
        <v>Дерево</v>
      </c>
      <c r="E116" s="5" t="str">
        <f>IFERROR(__xludf.DUMMYFUNCTION("REGEXREPLACE(REGEXEXTRACT(H116, ""б\)\s*(.*?)\s*в\)""), ""^\s*"", """")"),"Камень")</f>
        <v>Камень</v>
      </c>
      <c r="F116" s="5" t="str">
        <f>IFERROR(__xludf.DUMMYFUNCTION("REGEXREPLACE(REGEXEXTRACT(H116, ""в\)\s*(.*?)\s*г\)""), ""^\s*"", """")"),"Железо")</f>
        <v>Железо</v>
      </c>
      <c r="G116" s="5" t="str">
        <f>IFERROR(__xludf.DUMMYFUNCTION("REGEXREPLACE(REGEXEXTRACT(H116, ""г\)\s*(.*)""), ""^\s*"", """")"),"Алмазы")</f>
        <v>Алмазы</v>
      </c>
      <c r="H116" s="21" t="s">
        <v>122</v>
      </c>
    </row>
    <row r="117">
      <c r="A117" s="5" t="str">
        <f>IFERROR(__xludf.DUMMYFUNCTION("REGEXEXTRACT(H117, ""s*(.*?)\s*а\)"")"),"Какое растение можно использовать для создания красителя?")</f>
        <v>Какое растение можно использовать для создания красителя?</v>
      </c>
      <c r="B117" s="5">
        <v>1.0</v>
      </c>
      <c r="D117" s="5" t="str">
        <f>IFERROR(__xludf.DUMMYFUNCTION("REGEXREPLACE(REGEXEXTRACT(H117, ""а\)\s*(.*?)\s*б\)""), ""^\s*"", """")"),"Маки")</f>
        <v>Маки</v>
      </c>
      <c r="E117" s="5" t="str">
        <f>IFERROR(__xludf.DUMMYFUNCTION("REGEXREPLACE(REGEXEXTRACT(H117, ""б\)\s*(.*?)\s*в\)""), ""^\s*"", """")"),"Пшеница")</f>
        <v>Пшеница</v>
      </c>
      <c r="F117" s="5" t="str">
        <f>IFERROR(__xludf.DUMMYFUNCTION("REGEXREPLACE(REGEXEXTRACT(H117, ""в\)\s*(.*?)\s*г\)""), ""^\s*"", """")"),"Сахарный тростник")</f>
        <v>Сахарный тростник</v>
      </c>
      <c r="G117" s="5" t="str">
        <f>IFERROR(__xludf.DUMMYFUNCTION("REGEXREPLACE(REGEXEXTRACT(H117, ""г\)\s*(.*)""), ""^\s*"", """")"),"Бамбук")</f>
        <v>Бамбук</v>
      </c>
      <c r="H117" s="21" t="s">
        <v>123</v>
      </c>
    </row>
    <row r="118">
      <c r="A118" s="5" t="str">
        <f>IFERROR(__xludf.DUMMYFUNCTION("REGEXEXTRACT(H118, ""s*(.*?)\s*а\)"")"),"Как зовут главного врага жителей деревни?")</f>
        <v>Как зовут главного врага жителей деревни?</v>
      </c>
      <c r="B118" s="5">
        <v>1.0</v>
      </c>
      <c r="D118" s="5" t="str">
        <f>IFERROR(__xludf.DUMMYFUNCTION("REGEXREPLACE(REGEXEXTRACT(H118, ""а\)\s*(.*?)\s*б\)""), ""^\s*"", """")"),"Разбойник")</f>
        <v>Разбойник</v>
      </c>
      <c r="E118" s="5" t="str">
        <f>IFERROR(__xludf.DUMMYFUNCTION("REGEXREPLACE(REGEXEXTRACT(H118, ""б\)\s*(.*?)\s*в\)""), ""^\s*"", """")"),"Зомби")</f>
        <v>Зомби</v>
      </c>
      <c r="F118" s="5" t="str">
        <f>IFERROR(__xludf.DUMMYFUNCTION("REGEXREPLACE(REGEXEXTRACT(H118, ""в\)\s*(.*?)\s*г\)""), ""^\s*"", """")"),"Крипер")</f>
        <v>Крипер</v>
      </c>
      <c r="G118" s="5" t="str">
        <f>IFERROR(__xludf.DUMMYFUNCTION("REGEXREPLACE(REGEXEXTRACT(H118, ""г\)\s*(.*)""), ""^\s*"", """")"),"Скелет")</f>
        <v>Скелет</v>
      </c>
      <c r="H118" s="21" t="s">
        <v>124</v>
      </c>
    </row>
    <row r="119">
      <c r="A119" s="5" t="str">
        <f>IFERROR(__xludf.DUMMYFUNCTION("REGEXEXTRACT(H119, ""s*(.*?)\s*а\)"")"),"Что необходимо для создания верстака?")</f>
        <v>Что необходимо для создания верстака?</v>
      </c>
      <c r="B119" s="5">
        <v>1.0</v>
      </c>
      <c r="D119" s="5" t="str">
        <f>IFERROR(__xludf.DUMMYFUNCTION("REGEXREPLACE(REGEXEXTRACT(H119, ""а\)\s*(.*?)\s*б\)""), ""^\s*"", """")"),"Деревянные доски")</f>
        <v>Деревянные доски</v>
      </c>
      <c r="E119" s="5" t="str">
        <f>IFERROR(__xludf.DUMMYFUNCTION("REGEXREPLACE(REGEXEXTRACT(H119, ""б\)\s*(.*?)\s*в\)""), ""^\s*"", """")"),"Камень")</f>
        <v>Камень</v>
      </c>
      <c r="F119" s="5" t="str">
        <f>IFERROR(__xludf.DUMMYFUNCTION("REGEXREPLACE(REGEXEXTRACT(H119, ""в\)\s*(.*?)\s*г\)""), ""^\s*"", """")"),"Железо")</f>
        <v>Железо</v>
      </c>
      <c r="G119" s="5" t="str">
        <f>IFERROR(__xludf.DUMMYFUNCTION("REGEXREPLACE(REGEXEXTRACT(H119, ""г\)\s*(.*)""), ""^\s*"", """")"),"Алмазы")</f>
        <v>Алмазы</v>
      </c>
      <c r="H119" s="21" t="s">
        <v>125</v>
      </c>
    </row>
    <row r="120">
      <c r="A120" s="5" t="str">
        <f>IFERROR(__xludf.DUMMYFUNCTION("REGEXEXTRACT(H120, ""s*(.*?)\s*а\)"")"),"Какой моб боится кошек?")</f>
        <v>Какой моб боится кошек?</v>
      </c>
      <c r="B120" s="5">
        <v>1.0</v>
      </c>
      <c r="D120" s="5" t="str">
        <f>IFERROR(__xludf.DUMMYFUNCTION("REGEXREPLACE(REGEXEXTRACT(H120, ""а\)\s*(.*?)\s*б\)""), ""^\s*"", """")"),"Крипер")</f>
        <v>Крипер</v>
      </c>
      <c r="E120" s="5" t="str">
        <f>IFERROR(__xludf.DUMMYFUNCTION("REGEXREPLACE(REGEXEXTRACT(H120, ""б\)\s*(.*?)\s*в\)""), ""^\s*"", """")"),"Зомби")</f>
        <v>Зомби</v>
      </c>
      <c r="F120" s="5" t="str">
        <f>IFERROR(__xludf.DUMMYFUNCTION("REGEXREPLACE(REGEXEXTRACT(H120, ""в\)\s*(.*?)\s*г\)""), ""^\s*"", """")"),"Скелет")</f>
        <v>Скелет</v>
      </c>
      <c r="G120" s="5" t="str">
        <f>IFERROR(__xludf.DUMMYFUNCTION("REGEXREPLACE(REGEXEXTRACT(H120, ""г\)\s*(.*)""), ""^\s*"", """")"),"Эндермен")</f>
        <v>Эндермен</v>
      </c>
      <c r="H120" s="21" t="s">
        <v>126</v>
      </c>
    </row>
    <row r="121">
      <c r="A121" s="5" t="str">
        <f>IFERROR(__xludf.DUMMYFUNCTION("REGEXEXTRACT(H121, ""s*(.*?)\s*а\)"")"),"Каким образом можно усмирить оцелота?")</f>
        <v>Каким образом можно усмирить оцелота?</v>
      </c>
      <c r="B121" s="5">
        <v>1.0</v>
      </c>
      <c r="D121" s="5" t="str">
        <f>IFERROR(__xludf.DUMMYFUNCTION("REGEXREPLACE(REGEXEXTRACT(H121, ""а\)\s*(.*?)\s*б\)""), ""^\s*"", """")"),"Рыбой")</f>
        <v>Рыбой</v>
      </c>
      <c r="E121" s="5" t="str">
        <f>IFERROR(__xludf.DUMMYFUNCTION("REGEXREPLACE(REGEXEXTRACT(H121, ""б\)\s*(.*?)\s*в\)""), ""^\s*"", """")"),"Костью")</f>
        <v>Костью</v>
      </c>
      <c r="F121" s="5" t="str">
        <f>IFERROR(__xludf.DUMMYFUNCTION("REGEXREPLACE(REGEXEXTRACT(H121, ""в\)\s*(.*?)\s*г\)""), ""^\s*"", """")"),"Семенами")</f>
        <v>Семенами</v>
      </c>
      <c r="G121" s="5" t="str">
        <f>IFERROR(__xludf.DUMMYFUNCTION("REGEXREPLACE(REGEXEXTRACT(H121, ""г\)\s*(.*)""), ""^\s*"", """")"),"Яблоками")</f>
        <v>Яблоками</v>
      </c>
      <c r="H121" s="21" t="s">
        <v>127</v>
      </c>
    </row>
    <row r="122">
      <c r="A122" s="5" t="str">
        <f>IFERROR(__xludf.DUMMYFUNCTION("REGEXEXTRACT(H122, ""s*(.*?)\s*а\)"")"),"С помощью чего можно добывать воду?")</f>
        <v>С помощью чего можно добывать воду?</v>
      </c>
      <c r="B122" s="5">
        <v>1.0</v>
      </c>
      <c r="D122" s="5" t="str">
        <f>IFERROR(__xludf.DUMMYFUNCTION("REGEXREPLACE(REGEXEXTRACT(H122, ""а\)\s*(.*?)\s*б\)""), ""^\s*"", """")"),"Ведро")</f>
        <v>Ведро</v>
      </c>
      <c r="E122" s="5" t="str">
        <f>IFERROR(__xludf.DUMMYFUNCTION("REGEXREPLACE(REGEXEXTRACT(H122, ""б\)\s*(.*?)\s*в\)""), ""^\s*"", """")"),"Лопата")</f>
        <v>Лопата</v>
      </c>
      <c r="F122" s="5" t="str">
        <f>IFERROR(__xludf.DUMMYFUNCTION("REGEXREPLACE(REGEXEXTRACT(H122, ""в\)\s*(.*?)\s*г\)""), ""^\s*"", """")"),"Топор")</f>
        <v>Топор</v>
      </c>
      <c r="G122" s="5" t="str">
        <f>IFERROR(__xludf.DUMMYFUNCTION("REGEXREPLACE(REGEXEXTRACT(H122, ""г\)\s*(.*)""), ""^\s*"", """")"),"Кирка")</f>
        <v>Кирка</v>
      </c>
      <c r="H122" s="21" t="s">
        <v>128</v>
      </c>
    </row>
    <row r="123">
      <c r="A123" s="5" t="str">
        <f>IFERROR(__xludf.DUMMYFUNCTION("REGEXEXTRACT(H123, ""s*(.*?)\s*а\)"")"),"Какой блок нужен для разведения коров?")</f>
        <v>Какой блок нужен для разведения коров?</v>
      </c>
      <c r="B123" s="5">
        <v>1.0</v>
      </c>
      <c r="D123" s="5" t="str">
        <f>IFERROR(__xludf.DUMMYFUNCTION("REGEXREPLACE(REGEXEXTRACT(H123, ""а\)\s*(.*?)\s*б\)""), ""^\s*"", """")"),"Пшеница")</f>
        <v>Пшеница</v>
      </c>
      <c r="E123" s="5" t="str">
        <f>IFERROR(__xludf.DUMMYFUNCTION("REGEXREPLACE(REGEXEXTRACT(H123, ""б\)\s*(.*?)\s*в\)""), ""^\s*"", """")"),"Камень")</f>
        <v>Камень</v>
      </c>
      <c r="F123" s="5" t="str">
        <f>IFERROR(__xludf.DUMMYFUNCTION("REGEXREPLACE(REGEXEXTRACT(H123, ""в\)\s*(.*?)\s*г\)""), ""^\s*"", """")"),"Дерево")</f>
        <v>Дерево</v>
      </c>
      <c r="G123" s="5" t="str">
        <f>IFERROR(__xludf.DUMMYFUNCTION("REGEXREPLACE(REGEXEXTRACT(H123, ""г\)\s*(.*)""), ""^\s*"", """")"),"Песок")</f>
        <v>Песок</v>
      </c>
      <c r="H123" s="21" t="s">
        <v>129</v>
      </c>
    </row>
    <row r="124">
      <c r="A124" s="5" t="str">
        <f>IFERROR(__xludf.DUMMYFUNCTION("REGEXEXTRACT(H124, ""s*(.*?)\s*а\)"")"),"Какой моб дает нитки?")</f>
        <v>Какой моб дает нитки?</v>
      </c>
      <c r="B124" s="5">
        <v>1.0</v>
      </c>
      <c r="D124" s="5" t="str">
        <f>IFERROR(__xludf.DUMMYFUNCTION("REGEXREPLACE(REGEXEXTRACT(H124, ""а\)\s*(.*?)\s*б\)""), ""^\s*"", """")"),"Паук")</f>
        <v>Паук</v>
      </c>
      <c r="E124" s="5" t="str">
        <f>IFERROR(__xludf.DUMMYFUNCTION("REGEXREPLACE(REGEXEXTRACT(H124, ""б\)\s*(.*?)\s*в\)""), ""^\s*"", """")"),"Слизень")</f>
        <v>Слизень</v>
      </c>
      <c r="F124" s="5" t="str">
        <f>IFERROR(__xludf.DUMMYFUNCTION("REGEXREPLACE(REGEXEXTRACT(H124, ""в\)\s*(.*?)\s*г\)""), ""^\s*"", """")"),"Зомби")</f>
        <v>Зомби</v>
      </c>
      <c r="G124" s="5" t="str">
        <f>IFERROR(__xludf.DUMMYFUNCTION("REGEXREPLACE(REGEXEXTRACT(H124, ""г\)\s*(.*)""), ""^\s*"", """")"),"Крипер")</f>
        <v>Крипер</v>
      </c>
      <c r="H124" s="21" t="s">
        <v>130</v>
      </c>
    </row>
    <row r="125">
      <c r="A125" s="5" t="str">
        <f>IFERROR(__xludf.DUMMYFUNCTION("REGEXEXTRACT(H125, ""s*(.*?)\s*а\)"")"),"Какой инструмент используется для посадки семян?")</f>
        <v>Какой инструмент используется для посадки семян?</v>
      </c>
      <c r="B125" s="5">
        <v>1.0</v>
      </c>
      <c r="D125" s="5" t="str">
        <f>IFERROR(__xludf.DUMMYFUNCTION("REGEXREPLACE(REGEXEXTRACT(H125, ""а\)\s*(.*?)\s*б\)""), ""^\s*"", """")"),"Мотыга")</f>
        <v>Мотыга</v>
      </c>
      <c r="E125" s="5" t="str">
        <f>IFERROR(__xludf.DUMMYFUNCTION("REGEXREPLACE(REGEXEXTRACT(H125, ""б\)\s*(.*?)\s*в\)""), ""^\s*"", """")"),"Лопата")</f>
        <v>Лопата</v>
      </c>
      <c r="F125" s="5" t="str">
        <f>IFERROR(__xludf.DUMMYFUNCTION("REGEXREPLACE(REGEXEXTRACT(H125, ""в\)\s*(.*?)\s*г\)""), ""^\s*"", """")"),"Топор")</f>
        <v>Топор</v>
      </c>
      <c r="G125" s="5" t="str">
        <f>IFERROR(__xludf.DUMMYFUNCTION("REGEXREPLACE(REGEXEXTRACT(H125, ""г\)\s*(.*)""), ""^\s*"", """")"),"Кирка")</f>
        <v>Кирка</v>
      </c>
      <c r="H125" s="21" t="s">
        <v>131</v>
      </c>
    </row>
    <row r="126">
      <c r="A126" s="5" t="str">
        <f>IFERROR(__xludf.DUMMYFUNCTION("REGEXEXTRACT(H126, ""s*(.*?)\s*а\)"")"),"Что нужно для приручения попугая?")</f>
        <v>Что нужно для приручения попугая?</v>
      </c>
      <c r="B126" s="5">
        <v>1.0</v>
      </c>
      <c r="D126" s="5" t="str">
        <f>IFERROR(__xludf.DUMMYFUNCTION("REGEXREPLACE(REGEXEXTRACT(H126, ""а\)\s*(.*?)\s*б\)""), ""^\s*"", """")"),"Семена")</f>
        <v>Семена</v>
      </c>
      <c r="E126" s="5" t="str">
        <f>IFERROR(__xludf.DUMMYFUNCTION("REGEXREPLACE(REGEXEXTRACT(H126, ""б\)\s*(.*?)\s*в\)""), ""^\s*"", """")"),"Кости")</f>
        <v>Кости</v>
      </c>
      <c r="F126" s="5" t="str">
        <f>IFERROR(__xludf.DUMMYFUNCTION("REGEXREPLACE(REGEXEXTRACT(H126, ""в\)\s*(.*?)\s*г\)""), ""^\s*"", """")"),"Печенье")</f>
        <v>Печенье</v>
      </c>
      <c r="G126" s="5" t="str">
        <f>IFERROR(__xludf.DUMMYFUNCTION("REGEXREPLACE(REGEXEXTRACT(H126, ""г\)\s*(.*)""), ""^\s*"", """")"),"Рыба")</f>
        <v>Рыба</v>
      </c>
      <c r="H126" s="22" t="s">
        <v>132</v>
      </c>
    </row>
    <row r="127">
      <c r="A127" s="5" t="str">
        <f>IFERROR(__xludf.DUMMYFUNCTION("REGEXEXTRACT(H127, ""s*(.*?)\s*а\)"")"),"Что едят кролики?")</f>
        <v>Что едят кролики?</v>
      </c>
      <c r="B127" s="5">
        <v>1.0</v>
      </c>
      <c r="D127" s="5" t="str">
        <f>IFERROR(__xludf.DUMMYFUNCTION("REGEXREPLACE(REGEXEXTRACT(H127, ""а\)\s*(.*?)\s*б\)""), ""^\s*"", """")"),"Морковь")</f>
        <v>Морковь</v>
      </c>
      <c r="E127" s="5" t="str">
        <f>IFERROR(__xludf.DUMMYFUNCTION("REGEXREPLACE(REGEXEXTRACT(H127, ""б\)\s*(.*?)\s*в\)""), ""^\s*"", """")"),"Сено")</f>
        <v>Сено</v>
      </c>
      <c r="F127" s="5" t="str">
        <f>IFERROR(__xludf.DUMMYFUNCTION("REGEXREPLACE(REGEXEXTRACT(H127, ""в\)\s*(.*?)\s*г\)""), ""^\s*"", """")"),"Яблоки")</f>
        <v>Яблоки</v>
      </c>
      <c r="G127" s="5" t="str">
        <f>IFERROR(__xludf.DUMMYFUNCTION("REGEXREPLACE(REGEXEXTRACT(H127, ""г\)\s*(.*)""), ""^\s*"", """")"),"Рыба")</f>
        <v>Рыба</v>
      </c>
      <c r="H127" s="21" t="s">
        <v>133</v>
      </c>
    </row>
    <row r="128">
      <c r="A128" s="5" t="str">
        <f>IFERROR(__xludf.DUMMYFUNCTION("REGEXEXTRACT(H128, ""s*(.*?)\s*а\)"")"),"Где можно найти глину?")</f>
        <v>Где можно найти глину?</v>
      </c>
      <c r="B128" s="5">
        <v>1.0</v>
      </c>
      <c r="D128" s="5" t="str">
        <f>IFERROR(__xludf.DUMMYFUNCTION("REGEXREPLACE(REGEXEXTRACT(H128, ""а\)\s*(.*?)\s*б\)""), ""^\s*"", """")"),"Возле водоёмов")</f>
        <v>Возле водоёмов</v>
      </c>
      <c r="E128" s="5" t="str">
        <f>IFERROR(__xludf.DUMMYFUNCTION("REGEXREPLACE(REGEXEXTRACT(H128, ""б\)\s*(.*?)\s*в\)""), ""^\s*"", """")"),"В шахтах")</f>
        <v>В шахтах</v>
      </c>
      <c r="F128" s="5" t="str">
        <f>IFERROR(__xludf.DUMMYFUNCTION("REGEXREPLACE(REGEXEXTRACT(H128, ""в\)\s*(.*?)\s*г\)""), ""^\s*"", """")"),"В лесах")</f>
        <v>В лесах</v>
      </c>
      <c r="G128" s="5" t="str">
        <f>IFERROR(__xludf.DUMMYFUNCTION("REGEXREPLACE(REGEXEXTRACT(H128, ""г\)\s*(.*)""), ""^\s*"", """")"),"В пустынях")</f>
        <v>В пустынях</v>
      </c>
      <c r="H128" s="21" t="s">
        <v>134</v>
      </c>
    </row>
    <row r="129">
      <c r="A129" s="5" t="str">
        <f>IFERROR(__xludf.DUMMYFUNCTION("REGEXEXTRACT(H129, ""s*(.*?)\s*а\)"")"),"Какой моб всегда нападает группами?")</f>
        <v>Какой моб всегда нападает группами?</v>
      </c>
      <c r="B129" s="5">
        <v>1.0</v>
      </c>
      <c r="D129" s="5" t="str">
        <f>IFERROR(__xludf.DUMMYFUNCTION("REGEXREPLACE(REGEXEXTRACT(H129, ""а\)\s*(.*?)\s*б\)""), ""^\s*"", """")"),"Волки")</f>
        <v>Волки</v>
      </c>
      <c r="E129" s="5" t="str">
        <f>IFERROR(__xludf.DUMMYFUNCTION("REGEXREPLACE(REGEXEXTRACT(H129, ""б\)\s*(.*?)\s*в\)""), ""^\s*"", """")"),"Зомби")</f>
        <v>Зомби</v>
      </c>
      <c r="F129" s="5" t="str">
        <f>IFERROR(__xludf.DUMMYFUNCTION("REGEXREPLACE(REGEXEXTRACT(H129, ""в\)\s*(.*?)\s*г\)""), ""^\s*"", """")"),"Скелеты")</f>
        <v>Скелеты</v>
      </c>
      <c r="G129" s="5" t="str">
        <f>IFERROR(__xludf.DUMMYFUNCTION("REGEXREPLACE(REGEXEXTRACT(H129, ""г\)\s*(.*)""), ""^\s*"", """")"),"Криперы")</f>
        <v>Криперы</v>
      </c>
      <c r="H129" s="21" t="s">
        <v>135</v>
      </c>
    </row>
    <row r="130">
      <c r="A130" s="5" t="str">
        <f>IFERROR(__xludf.DUMMYFUNCTION("REGEXEXTRACT(H130, ""s*(.*?)\s*а\)"")"),"Что можно получить из переплавленного песка?")</f>
        <v>Что можно получить из переплавленного песка?</v>
      </c>
      <c r="B130" s="5">
        <v>1.0</v>
      </c>
      <c r="D130" s="5" t="str">
        <f>IFERROR(__xludf.DUMMYFUNCTION("REGEXREPLACE(REGEXEXTRACT(H130, ""а\)\s*(.*?)\s*б\)""), ""^\s*"", """")"),"Стекло")</f>
        <v>Стекло</v>
      </c>
      <c r="E130" s="5" t="str">
        <f>IFERROR(__xludf.DUMMYFUNCTION("REGEXREPLACE(REGEXEXTRACT(H130, ""б\)\s*(.*?)\s*в\)""), ""^\s*"", """")"),"Камень")</f>
        <v>Камень</v>
      </c>
      <c r="F130" s="5" t="str">
        <f>IFERROR(__xludf.DUMMYFUNCTION("REGEXREPLACE(REGEXEXTRACT(H130, ""в\)\s*(.*?)\s*г\)""), ""^\s*"", """")"),"Кирпич")</f>
        <v>Кирпич</v>
      </c>
      <c r="G130" s="5" t="str">
        <f>IFERROR(__xludf.DUMMYFUNCTION("REGEXREPLACE(REGEXEXTRACT(H130, ""г\)\s*(.*)""), ""^\s*"", """")"),"Глину")</f>
        <v>Глину</v>
      </c>
      <c r="H130" s="21" t="s">
        <v>136</v>
      </c>
    </row>
    <row r="131">
      <c r="A131" s="5" t="str">
        <f>IFERROR(__xludf.DUMMYFUNCTION("REGEXEXTRACT(H131, ""s*(.*?)\s*а\)"")"),"Кто это?")</f>
        <v>Кто это?</v>
      </c>
      <c r="B131" s="15">
        <v>2.0</v>
      </c>
      <c r="D131" s="5" t="str">
        <f>IFERROR(__xludf.DUMMYFUNCTION("REGEXREPLACE(REGEXEXTRACT(H131, ""а\)\s*(.*?)\s*б\)""), ""^\s*"", """")"),"Курица")</f>
        <v>Курица</v>
      </c>
      <c r="E131" s="5" t="str">
        <f>IFERROR(__xludf.DUMMYFUNCTION("REGEXREPLACE(REGEXEXTRACT(H131, ""б\)\s*(.*?)\s*в\)""), ""^\s*"", """")"),"Цыпа")</f>
        <v>Цыпа</v>
      </c>
      <c r="F131" s="5" t="str">
        <f>IFERROR(__xludf.DUMMYFUNCTION("REGEXREPLACE(REGEXEXTRACT(H131, ""в\)\s*(.*?)\s*г\)""), ""^\s*"", """")"),"Петушок")</f>
        <v>Петушок</v>
      </c>
      <c r="G131" s="5" t="str">
        <f>IFERROR(__xludf.DUMMYFUNCTION("REGEXREPLACE(REGEXEXTRACT(H131, ""г\)\s*(.*)""), ""^\s*"", """")"),"Наседка")</f>
        <v>Наседка</v>
      </c>
      <c r="H131" s="22" t="s">
        <v>137</v>
      </c>
    </row>
    <row r="132">
      <c r="A132" s="5" t="str">
        <f>IFERROR(__xludf.DUMMYFUNCTION("REGEXEXTRACT(H132, ""s*(.*?)\s*а\)"")"),"Кто это?")</f>
        <v>Кто это?</v>
      </c>
      <c r="B132" s="15">
        <v>2.0</v>
      </c>
      <c r="D132" s="5" t="str">
        <f>IFERROR(__xludf.DUMMYFUNCTION("REGEXREPLACE(REGEXEXTRACT(H132, ""а\)\s*(.*?)\s*б\)""), ""^\s*"", """")"),"Корова")</f>
        <v>Корова</v>
      </c>
      <c r="E132" s="5" t="str">
        <f>IFERROR(__xludf.DUMMYFUNCTION("REGEXREPLACE(REGEXEXTRACT(H132, ""б\)\s*(.*?)\s*в\)""), ""^\s*"", """")"),"Му-му")</f>
        <v>Му-му</v>
      </c>
      <c r="F132" s="5" t="str">
        <f>IFERROR(__xludf.DUMMYFUNCTION("REGEXREPLACE(REGEXEXTRACT(H132, ""в\)\s*(.*?)\s*г\)""), ""^\s*"", """")"),"Теленок")</f>
        <v>Теленок</v>
      </c>
      <c r="G132" s="5" t="str">
        <f>IFERROR(__xludf.DUMMYFUNCTION("REGEXREPLACE(REGEXEXTRACT(H132, ""г\)\s*(.*)""), ""^\s*"", """")"),"Буренка")</f>
        <v>Буренка</v>
      </c>
      <c r="H132" s="23" t="s">
        <v>138</v>
      </c>
    </row>
    <row r="133">
      <c r="A133" s="5" t="str">
        <f>IFERROR(__xludf.DUMMYFUNCTION("REGEXEXTRACT(H133, ""s*(.*?)\s*а\)"")"),"Кто это?")</f>
        <v>Кто это?</v>
      </c>
      <c r="B133" s="15">
        <v>2.0</v>
      </c>
      <c r="D133" s="5" t="str">
        <f>IFERROR(__xludf.DUMMYFUNCTION("REGEXREPLACE(REGEXEXTRACT(H133, ""а\)\s*(.*?)\s*б\)""), ""^\s*"", """")"),"Свинья")</f>
        <v>Свинья</v>
      </c>
      <c r="E133" s="5" t="str">
        <f>IFERROR(__xludf.DUMMYFUNCTION("REGEXREPLACE(REGEXEXTRACT(H133, ""б\)\s*(.*?)\s*в\)""), ""^\s*"", """")"),"Хрюшка")</f>
        <v>Хрюшка</v>
      </c>
      <c r="F133" s="5" t="str">
        <f>IFERROR(__xludf.DUMMYFUNCTION("REGEXREPLACE(REGEXEXTRACT(H133, ""в\)\s*(.*?)\s*г\)""), ""^\s*"", """")"),"Пятачок")</f>
        <v>Пятачок</v>
      </c>
      <c r="G133" s="5" t="str">
        <f>IFERROR(__xludf.DUMMYFUNCTION("REGEXREPLACE(REGEXEXTRACT(H133, ""г\)\s*(.*)""), ""^\s*"", """")"),"Землеройка")</f>
        <v>Землеройка</v>
      </c>
      <c r="H133" s="21" t="s">
        <v>139</v>
      </c>
    </row>
    <row r="134">
      <c r="A134" s="5" t="str">
        <f>IFERROR(__xludf.DUMMYFUNCTION("REGEXEXTRACT(H134, ""s*(.*?)\s*а\)"")"),"Кто это?")</f>
        <v>Кто это?</v>
      </c>
      <c r="B134" s="15">
        <v>2.0</v>
      </c>
      <c r="D134" s="5" t="str">
        <f>IFERROR(__xludf.DUMMYFUNCTION("REGEXREPLACE(REGEXEXTRACT(H134, ""а\)\s*(.*?)\s*б\)""), ""^\s*"", """")"),"Овца")</f>
        <v>Овца</v>
      </c>
      <c r="E134" s="5" t="str">
        <f>IFERROR(__xludf.DUMMYFUNCTION("REGEXREPLACE(REGEXEXTRACT(H134, ""б\)\s*(.*?)\s*в\)""), ""^\s*"", """")"),"Барашек")</f>
        <v>Барашек</v>
      </c>
      <c r="F134" s="5" t="str">
        <f>IFERROR(__xludf.DUMMYFUNCTION("REGEXREPLACE(REGEXEXTRACT(H134, ""в\)\s*(.*?)\s*г\)""), ""^\s*"", """")"),"Шерстяной комок")</f>
        <v>Шерстяной комок</v>
      </c>
      <c r="G134" s="5" t="str">
        <f>IFERROR(__xludf.DUMMYFUNCTION("REGEXREPLACE(REGEXEXTRACT(H134, ""г\)\s*(.*)""), ""^\s*"", """")"),"Кудряшка")</f>
        <v>Кудряшка</v>
      </c>
      <c r="H134" s="21" t="s">
        <v>140</v>
      </c>
    </row>
    <row r="135">
      <c r="A135" s="5" t="str">
        <f>IFERROR(__xludf.DUMMYFUNCTION("REGEXEXTRACT(H135, ""s*(.*?)\s*а\)"")"),"Кто это?")</f>
        <v>Кто это?</v>
      </c>
      <c r="B135" s="15">
        <v>2.0</v>
      </c>
      <c r="D135" s="5" t="str">
        <f>IFERROR(__xludf.DUMMYFUNCTION("REGEXREPLACE(REGEXEXTRACT(H135, ""а\)\s*(.*?)\s*б\)""), ""^\s*"", """")"),"Лошадь")</f>
        <v>Лошадь</v>
      </c>
      <c r="E135" s="5" t="str">
        <f>IFERROR(__xludf.DUMMYFUNCTION("REGEXREPLACE(REGEXEXTRACT(H135, ""б\)\s*(.*?)\s*в\)""), ""^\s*"", """")"),"Игого")</f>
        <v>Игого</v>
      </c>
      <c r="F135" s="5" t="str">
        <f>IFERROR(__xludf.DUMMYFUNCTION("REGEXREPLACE(REGEXEXTRACT(H135, ""в\)\s*(.*?)\s*г\)""), ""^\s*"", """")"),"Жеребенок")</f>
        <v>Жеребенок</v>
      </c>
      <c r="G135" s="5" t="str">
        <f>IFERROR(__xludf.DUMMYFUNCTION("REGEXREPLACE(REGEXEXTRACT(H135, ""г\)\s*(.*)""), ""^\s*"", """")"),"Скакун")</f>
        <v>Скакун</v>
      </c>
      <c r="H135" s="21" t="s">
        <v>141</v>
      </c>
    </row>
    <row r="136">
      <c r="A136" s="5" t="str">
        <f>IFERROR(__xludf.DUMMYFUNCTION("REGEXEXTRACT(H136, ""s*(.*?)\s*а\)"")"),"Кто это?")</f>
        <v>Кто это?</v>
      </c>
      <c r="B136" s="15">
        <v>2.0</v>
      </c>
      <c r="D136" s="5" t="str">
        <f>IFERROR(__xludf.DUMMYFUNCTION("REGEXREPLACE(REGEXEXTRACT(H136, ""а\)\s*(.*?)\s*б\)""), ""^\s*"", """")"),"Осел")</f>
        <v>Осел</v>
      </c>
      <c r="E136" s="5" t="str">
        <f>IFERROR(__xludf.DUMMYFUNCTION("REGEXREPLACE(REGEXEXTRACT(H136, ""б\)\s*(.*?)\s*в\)""), ""^\s*"", """")"),"Иа")</f>
        <v>Иа</v>
      </c>
      <c r="F136" s="5" t="str">
        <f>IFERROR(__xludf.DUMMYFUNCTION("REGEXREPLACE(REGEXEXTRACT(H136, ""в\)\s*(.*?)\s*г\)""), ""^\s*"", """")"),"Упрямый")</f>
        <v>Упрямый</v>
      </c>
      <c r="G136" s="5" t="str">
        <f>IFERROR(__xludf.DUMMYFUNCTION("REGEXREPLACE(REGEXEXTRACT(H136, ""г\)\s*(.*)""), ""^\s*"", """")"),"Грузовик")</f>
        <v>Грузовик</v>
      </c>
      <c r="H136" s="21" t="s">
        <v>142</v>
      </c>
    </row>
    <row r="137">
      <c r="A137" s="5" t="str">
        <f>IFERROR(__xludf.DUMMYFUNCTION("REGEXEXTRACT(H137, ""s*(.*?)\s*а\)"")"),"Кто это?")</f>
        <v>Кто это?</v>
      </c>
      <c r="B137" s="15">
        <v>2.0</v>
      </c>
      <c r="D137" s="5" t="str">
        <f>IFERROR(__xludf.DUMMYFUNCTION("REGEXREPLACE(REGEXEXTRACT(H137, ""а\)\s*(.*?)\s*б\)""), ""^\s*"", """")"),"Мул")</f>
        <v>Мул</v>
      </c>
      <c r="E137" s="5" t="str">
        <f>IFERROR(__xludf.DUMMYFUNCTION("REGEXREPLACE(REGEXEXTRACT(H137, ""б\)\s*(.*?)\s*в\)""), ""^\s*"", """")"),"Гибрид")</f>
        <v>Гибрид</v>
      </c>
      <c r="F137" s="5" t="str">
        <f>IFERROR(__xludf.DUMMYFUNCTION("REGEXREPLACE(REGEXEXTRACT(H137, ""в\)\s*(.*?)\s*г\)""), ""^\s*"", """")"),"Работяга")</f>
        <v>Работяга</v>
      </c>
      <c r="G137" s="5" t="str">
        <f>IFERROR(__xludf.DUMMYFUNCTION("REGEXREPLACE(REGEXEXTRACT(H137, ""г\)\s*(.*)""), ""^\s*"", """")"),"Ушастый")</f>
        <v>Ушастый</v>
      </c>
      <c r="H137" s="21" t="s">
        <v>143</v>
      </c>
    </row>
    <row r="138">
      <c r="A138" s="5" t="str">
        <f>IFERROR(__xludf.DUMMYFUNCTION("REGEXEXTRACT(H138, ""s*(.*?)\s*а\)"")"),"Кто это?")</f>
        <v>Кто это?</v>
      </c>
      <c r="B138" s="15">
        <v>2.0</v>
      </c>
      <c r="D138" s="5" t="str">
        <f>IFERROR(__xludf.DUMMYFUNCTION("REGEXREPLACE(REGEXEXTRACT(H138, ""а\)\s*(.*?)\s*б\)""), ""^\s*"", """")"),"Кролик")</f>
        <v>Кролик</v>
      </c>
      <c r="E138" s="5" t="str">
        <f>IFERROR(__xludf.DUMMYFUNCTION("REGEXREPLACE(REGEXEXTRACT(H138, ""б\)\s*(.*?)\s*в\)""), ""^\s*"", """")"),"Заяц")</f>
        <v>Заяц</v>
      </c>
      <c r="F138" s="5" t="str">
        <f>IFERROR(__xludf.DUMMYFUNCTION("REGEXREPLACE(REGEXEXTRACT(H138, ""в\)\s*(.*?)\s*г\)""), ""^\s*"", """")"),"Пушистик")</f>
        <v>Пушистик</v>
      </c>
      <c r="G138" s="5" t="str">
        <f>IFERROR(__xludf.DUMMYFUNCTION("REGEXREPLACE(REGEXEXTRACT(H138, ""г\)\s*(.*)""), ""^\s*"", """")"),"Прыгун")</f>
        <v>Прыгун</v>
      </c>
      <c r="H138" s="21" t="s">
        <v>144</v>
      </c>
    </row>
    <row r="139">
      <c r="A139" s="5" t="str">
        <f>IFERROR(__xludf.DUMMYFUNCTION("REGEXEXTRACT(H139, ""s*(.*?)\s*а\)"")"),"Кто это?")</f>
        <v>Кто это?</v>
      </c>
      <c r="B139" s="15">
        <v>2.0</v>
      </c>
      <c r="D139" s="5" t="str">
        <f>IFERROR(__xludf.DUMMYFUNCTION("REGEXREPLACE(REGEXEXTRACT(H139, ""а\)\s*(.*?)\s*б\)""), ""^\s*"", """")"),"Кошка")</f>
        <v>Кошка</v>
      </c>
      <c r="E139" s="5" t="str">
        <f>IFERROR(__xludf.DUMMYFUNCTION("REGEXREPLACE(REGEXEXTRACT(H139, ""б\)\s*(.*?)\s*в\)""), ""^\s*"", """")"),"Мурка")</f>
        <v>Мурка</v>
      </c>
      <c r="F139" s="5" t="str">
        <f>IFERROR(__xludf.DUMMYFUNCTION("REGEXREPLACE(REGEXEXTRACT(H139, ""в\)\s*(.*?)\s*г\)""), ""^\s*"", """")"),"Домашний питомец")</f>
        <v>Домашний питомец</v>
      </c>
      <c r="G139" s="5" t="str">
        <f>IFERROR(__xludf.DUMMYFUNCTION("REGEXREPLACE(REGEXEXTRACT(H139, ""г\)\s*(.*)""), ""^\s*"", """")"),"Царапка")</f>
        <v>Царапка</v>
      </c>
      <c r="H139" s="21" t="s">
        <v>145</v>
      </c>
    </row>
    <row r="140">
      <c r="A140" s="5" t="str">
        <f>IFERROR(__xludf.DUMMYFUNCTION("REGEXEXTRACT(H140, ""s*(.*?)\s*а\)"")"),"Кто это?")</f>
        <v>Кто это?</v>
      </c>
      <c r="B140" s="15">
        <v>2.0</v>
      </c>
      <c r="D140" s="5" t="str">
        <f>IFERROR(__xludf.DUMMYFUNCTION("REGEXREPLACE(REGEXEXTRACT(H140, ""а\)\s*(.*?)\s*б\)""), ""^\s*"", """")"),"Попугай")</f>
        <v>Попугай</v>
      </c>
      <c r="E140" s="5" t="str">
        <f>IFERROR(__xludf.DUMMYFUNCTION("REGEXREPLACE(REGEXEXTRACT(H140, ""б\)\s*(.*?)\s*в\)""), ""^\s*"", """")"),"Говорун")</f>
        <v>Говорун</v>
      </c>
      <c r="F140" s="5" t="str">
        <f>IFERROR(__xludf.DUMMYFUNCTION("REGEXREPLACE(REGEXEXTRACT(H140, ""в\)\s*(.*?)\s*г\)""), ""^\s*"", """")"),"Пернатый")</f>
        <v>Пернатый</v>
      </c>
      <c r="G140" s="5" t="str">
        <f>IFERROR(__xludf.DUMMYFUNCTION("REGEXREPLACE(REGEXEXTRACT(H140, ""г\)\s*(.*)""), ""^\s*"", """")"),"Пиратский")</f>
        <v>Пиратский</v>
      </c>
      <c r="H140" s="21" t="s">
        <v>146</v>
      </c>
    </row>
    <row r="141">
      <c r="A141" s="5" t="str">
        <f>IFERROR(__xludf.DUMMYFUNCTION("REGEXEXTRACT(H141, ""s*(.*?)\s*а\)"")"),"Кто это?")</f>
        <v>Кто это?</v>
      </c>
      <c r="B141" s="15">
        <v>2.0</v>
      </c>
      <c r="D141" s="5" t="str">
        <f>IFERROR(__xludf.DUMMYFUNCTION("REGEXREPLACE(REGEXEXTRACT(H141, ""а\)\s*(.*?)\s*б\)""), ""^\s*"", """")"),"Черепаха")</f>
        <v>Черепаха</v>
      </c>
      <c r="E141" s="5" t="str">
        <f>IFERROR(__xludf.DUMMYFUNCTION("REGEXREPLACE(REGEXEXTRACT(H141, ""б\)\s*(.*?)\s*в\)""), ""^\s*"", """")"),"Тортилла")</f>
        <v>Тортилла</v>
      </c>
      <c r="F141" s="5" t="str">
        <f>IFERROR(__xludf.DUMMYFUNCTION("REGEXREPLACE(REGEXEXTRACT(H141, ""в\)\s*(.*?)\s*г\)""), ""^\s*"", """")"),"Медленная")</f>
        <v>Медленная</v>
      </c>
      <c r="G141" s="5" t="str">
        <f>IFERROR(__xludf.DUMMYFUNCTION("REGEXREPLACE(REGEXEXTRACT(H141, ""г\)\s*(.*)""), ""^\s*"", """")"),"Морская")</f>
        <v>Морская</v>
      </c>
      <c r="H141" s="21" t="s">
        <v>147</v>
      </c>
    </row>
    <row r="142">
      <c r="A142" s="5" t="str">
        <f>IFERROR(__xludf.DUMMYFUNCTION("REGEXEXTRACT(H142, ""s*(.*?)\s*а\)"")"),"Кто это?")</f>
        <v>Кто это?</v>
      </c>
      <c r="B142" s="15">
        <v>2.0</v>
      </c>
      <c r="D142" s="5" t="str">
        <f>IFERROR(__xludf.DUMMYFUNCTION("REGEXREPLACE(REGEXEXTRACT(H142, ""а\)\s*(.*?)\s*б\)""), ""^\s*"", """")"),"Торговец")</f>
        <v>Торговец</v>
      </c>
      <c r="E142" s="5" t="str">
        <f>IFERROR(__xludf.DUMMYFUNCTION("REGEXREPLACE(REGEXEXTRACT(H142, ""б\)\s*(.*?)\s*в\)""), ""^\s*"", """")"),"Коммивояжер")</f>
        <v>Коммивояжер</v>
      </c>
      <c r="F142" s="5" t="str">
        <f>IFERROR(__xludf.DUMMYFUNCTION("REGEXREPLACE(REGEXEXTRACT(H142, ""в\)\s*(.*?)\s*г\)""), ""^\s*"", """")"),"Барыга")</f>
        <v>Барыга</v>
      </c>
      <c r="G142" s="5" t="str">
        <f>IFERROR(__xludf.DUMMYFUNCTION("REGEXREPLACE(REGEXEXTRACT(H142, ""г\)\s*(.*)""), ""^\s*"", """")"),"Меняла")</f>
        <v>Меняла</v>
      </c>
      <c r="H142" s="21" t="s">
        <v>148</v>
      </c>
    </row>
    <row r="143">
      <c r="A143" s="5" t="str">
        <f>IFERROR(__xludf.DUMMYFUNCTION("REGEXEXTRACT(H143, ""s*(.*?)\s*а\)"")"),"Кто это?")</f>
        <v>Кто это?</v>
      </c>
      <c r="B143" s="15">
        <v>2.0</v>
      </c>
      <c r="D143" s="5" t="str">
        <f>IFERROR(__xludf.DUMMYFUNCTION("REGEXREPLACE(REGEXEXTRACT(H143, ""а\)\s*(.*?)\s*б\)""), ""^\s*"", """")"),"Белый медведь")</f>
        <v>Белый медведь</v>
      </c>
      <c r="E143" s="5" t="str">
        <f>IFERROR(__xludf.DUMMYFUNCTION("REGEXREPLACE(REGEXEXTRACT(H143, ""б\)\s*(.*?)\s*в\)""), ""^\s*"", """")"),"Умка")</f>
        <v>Умка</v>
      </c>
      <c r="F143" s="5" t="str">
        <f>IFERROR(__xludf.DUMMYFUNCTION("REGEXREPLACE(REGEXEXTRACT(H143, ""в\)\s*(.*?)\s*г\)""), ""^\s*"", """")"),"Арктический")</f>
        <v>Арктический</v>
      </c>
      <c r="G143" s="5" t="str">
        <f>IFERROR(__xludf.DUMMYFUNCTION("REGEXREPLACE(REGEXEXTRACT(H143, ""г\)\s*(.*)""), ""^\s*"", """")"),"Снежный")</f>
        <v>Снежный</v>
      </c>
      <c r="H143" s="21" t="s">
        <v>149</v>
      </c>
    </row>
    <row r="144">
      <c r="A144" s="5" t="str">
        <f>IFERROR(__xludf.DUMMYFUNCTION("REGEXEXTRACT(H144, ""s*(.*?)\s*а\)"")"),"Кто это?")</f>
        <v>Кто это?</v>
      </c>
      <c r="B144" s="15">
        <v>2.0</v>
      </c>
      <c r="D144" s="5" t="str">
        <f>IFERROR(__xludf.DUMMYFUNCTION("REGEXREPLACE(REGEXEXTRACT(H144, ""а\)\s*(.*?)\s*б\)""), ""^\s*"", """")"),"Лиса")</f>
        <v>Лиса</v>
      </c>
      <c r="E144" s="5" t="str">
        <f>IFERROR(__xludf.DUMMYFUNCTION("REGEXREPLACE(REGEXEXTRACT(H144, ""б\)\s*(.*?)\s*в\)""), ""^\s*"", """")"),"Рыжая плутовка")</f>
        <v>Рыжая плутовка</v>
      </c>
      <c r="F144" s="5" t="str">
        <f>IFERROR(__xludf.DUMMYFUNCTION("REGEXREPLACE(REGEXEXTRACT(H144, ""в\)\s*(.*?)\s*г\)""), ""^\s*"", """")"),"Хитрая морда")</f>
        <v>Хитрая морда</v>
      </c>
      <c r="G144" s="5" t="str">
        <f>IFERROR(__xludf.DUMMYFUNCTION("REGEXREPLACE(REGEXEXTRACT(H144, ""г\)\s*(.*)""), ""^\s*"", """")"),"Лесной житель")</f>
        <v>Лесной житель</v>
      </c>
      <c r="H144" s="21" t="s">
        <v>150</v>
      </c>
    </row>
    <row r="145">
      <c r="A145" s="5" t="str">
        <f>IFERROR(__xludf.DUMMYFUNCTION("REGEXEXTRACT(H145, ""s*(.*?)\s*а\)"")"),"Кто это?")</f>
        <v>Кто это?</v>
      </c>
      <c r="B145" s="15">
        <v>2.0</v>
      </c>
      <c r="D145" s="5" t="str">
        <f>IFERROR(__xludf.DUMMYFUNCTION("REGEXREPLACE(REGEXEXTRACT(H145, ""а\)\s*(.*?)\s*б\)""), ""^\s*"", """")"),"Пчела")</f>
        <v>Пчела</v>
      </c>
      <c r="E145" s="5" t="str">
        <f>IFERROR(__xludf.DUMMYFUNCTION("REGEXREPLACE(REGEXEXTRACT(H145, ""б\)\s*(.*?)\s*в\)""), ""^\s*"", """")"),"Жужжалка")</f>
        <v>Жужжалка</v>
      </c>
      <c r="F145" s="5" t="str">
        <f>IFERROR(__xludf.DUMMYFUNCTION("REGEXREPLACE(REGEXEXTRACT(H145, ""в\)\s*(.*?)\s*г\)""), ""^\s*"", """")"),"Медоносная")</f>
        <v>Медоносная</v>
      </c>
      <c r="G145" s="5" t="str">
        <f>IFERROR(__xludf.DUMMYFUNCTION("REGEXREPLACE(REGEXEXTRACT(H145, ""г\)\s*(.*)""), ""^\s*"", """")"),"Полосатая")</f>
        <v>Полосатая</v>
      </c>
      <c r="H145" s="21" t="s">
        <v>151</v>
      </c>
    </row>
    <row r="146">
      <c r="A146" s="5" t="str">
        <f>IFERROR(__xludf.DUMMYFUNCTION("REGEXEXTRACT(H146, ""s*(.*?)\s*а\)"")"),"Кто это?")</f>
        <v>Кто это?</v>
      </c>
      <c r="B146" s="15">
        <v>2.0</v>
      </c>
      <c r="D146" s="5" t="str">
        <f>IFERROR(__xludf.DUMMYFUNCTION("REGEXREPLACE(REGEXEXTRACT(H146, ""а\)\s*(.*?)\s*б\)""), ""^\s*"", """")"),"Коза")</f>
        <v>Коза</v>
      </c>
      <c r="E146" s="5" t="str">
        <f>IFERROR(__xludf.DUMMYFUNCTION("REGEXREPLACE(REGEXEXTRACT(H146, ""б\)\s*(.*?)\s*в\)""), ""^\s*"", """")"),"Бодалка")</f>
        <v>Бодалка</v>
      </c>
      <c r="F146" s="5" t="str">
        <f>IFERROR(__xludf.DUMMYFUNCTION("REGEXREPLACE(REGEXEXTRACT(H146, ""в\)\s*(.*?)\s*г\)""), ""^\s*"", """")"),"Рогатая")</f>
        <v>Рогатая</v>
      </c>
      <c r="G146" s="5" t="str">
        <f>IFERROR(__xludf.DUMMYFUNCTION("REGEXREPLACE(REGEXEXTRACT(H146, ""г\)\s*(.*)""), ""^\s*"", """")"),"Горная")</f>
        <v>Горная</v>
      </c>
      <c r="H146" s="21" t="s">
        <v>152</v>
      </c>
    </row>
    <row r="147">
      <c r="A147" s="5" t="str">
        <f>IFERROR(__xludf.DUMMYFUNCTION("REGEXEXTRACT(H147, ""s*(.*?)\s*а\)"")"),"Кто это?")</f>
        <v>Кто это?</v>
      </c>
      <c r="B147" s="15">
        <v>2.0</v>
      </c>
      <c r="D147" s="5" t="str">
        <f>IFERROR(__xludf.DUMMYFUNCTION("REGEXREPLACE(REGEXEXTRACT(H147, ""а\)\s*(.*?)\s*б\)""), ""^\s*"", """")"),"Нюхач")</f>
        <v>Нюхач</v>
      </c>
      <c r="E147" s="5" t="str">
        <f>IFERROR(__xludf.DUMMYFUNCTION("REGEXREPLACE(REGEXEXTRACT(H147, ""б\)\s*(.*?)\s*в\)""), ""^\s*"", """")"),"Древний")</f>
        <v>Древний</v>
      </c>
      <c r="F147" s="5" t="str">
        <f>IFERROR(__xludf.DUMMYFUNCTION("REGEXREPLACE(REGEXEXTRACT(H147, ""в\)\s*(.*?)\s*г\)""), ""^\s*"", """")"),"Травоядный")</f>
        <v>Травоядный</v>
      </c>
      <c r="G147" s="5" t="str">
        <f>IFERROR(__xludf.DUMMYFUNCTION("REGEXREPLACE(REGEXEXTRACT(H147, ""г\)\s*(.*)""), ""^\s*"", """")"),"Искатель")</f>
        <v>Искатель</v>
      </c>
      <c r="H147" s="21" t="s">
        <v>153</v>
      </c>
    </row>
    <row r="148">
      <c r="A148" s="5" t="str">
        <f>IFERROR(__xludf.DUMMYFUNCTION("REGEXEXTRACT(H148, ""s*(.*?)\s*а\)"")"),"Кто это?")</f>
        <v>Кто это?</v>
      </c>
      <c r="B148" s="15">
        <v>2.0</v>
      </c>
      <c r="D148" s="5" t="str">
        <f>IFERROR(__xludf.DUMMYFUNCTION("REGEXREPLACE(REGEXEXTRACT(H148, ""а\)\s*(.*?)\s*б\)""), ""^\s*"", """")"),"Верблюд")</f>
        <v>Верблюд</v>
      </c>
      <c r="E148" s="5" t="str">
        <f>IFERROR(__xludf.DUMMYFUNCTION("REGEXREPLACE(REGEXEXTRACT(H148, ""б\)\s*(.*?)\s*в\)""), ""^\s*"", """")"),"Плюющийся")</f>
        <v>Плюющийся</v>
      </c>
      <c r="F148" s="5" t="str">
        <f>IFERROR(__xludf.DUMMYFUNCTION("REGEXREPLACE(REGEXEXTRACT(H148, ""в\)\s*(.*?)\s*г\)""), ""^\s*"", """")"),"Пустынный")</f>
        <v>Пустынный</v>
      </c>
      <c r="G148" s="5" t="str">
        <f>IFERROR(__xludf.DUMMYFUNCTION("REGEXREPLACE(REGEXEXTRACT(H148, ""г\)\s*(.*)""), ""^\s*"", """")"),"Двугорбый")</f>
        <v>Двугорбый</v>
      </c>
      <c r="H148" s="21" t="s">
        <v>154</v>
      </c>
    </row>
    <row r="149">
      <c r="A149" s="5" t="str">
        <f>IFERROR(__xludf.DUMMYFUNCTION("REGEXEXTRACT(H149, ""s*(.*?)\s*а\)"")"),"Кто это?")</f>
        <v>Кто это?</v>
      </c>
      <c r="B149" s="15">
        <v>2.0</v>
      </c>
      <c r="D149" s="5" t="str">
        <f>IFERROR(__xludf.DUMMYFUNCTION("REGEXREPLACE(REGEXEXTRACT(H149, ""а\)\s*(.*?)\s*б\)""), ""^\s*"", """")"),"Спрут")</f>
        <v>Спрут</v>
      </c>
      <c r="E149" s="5" t="str">
        <f>IFERROR(__xludf.DUMMYFUNCTION("REGEXREPLACE(REGEXEXTRACT(H149, ""б\)\s*(.*?)\s*в\)""), ""^\s*"", """")"),"Кальмар")</f>
        <v>Кальмар</v>
      </c>
      <c r="F149" s="5" t="str">
        <f>IFERROR(__xludf.DUMMYFUNCTION("REGEXREPLACE(REGEXEXTRACT(H149, ""в\)\s*(.*?)\s*г\)""), ""^\s*"", """")"),"Чернильник")</f>
        <v>Чернильник</v>
      </c>
      <c r="G149" s="5" t="str">
        <f>IFERROR(__xludf.DUMMYFUNCTION("REGEXREPLACE(REGEXEXTRACT(H149, ""г\)\s*(.*)""), ""^\s*"", """")"),"Морской житель")</f>
        <v>Морской житель</v>
      </c>
      <c r="H149" s="21" t="s">
        <v>155</v>
      </c>
    </row>
    <row r="150">
      <c r="A150" s="5" t="str">
        <f>IFERROR(__xludf.DUMMYFUNCTION("REGEXEXTRACT(H150, ""s*(.*?)\s*а\)"")"),"Кто это?")</f>
        <v>Кто это?</v>
      </c>
      <c r="B150" s="15">
        <v>2.0</v>
      </c>
      <c r="D150" s="5" t="str">
        <f>IFERROR(__xludf.DUMMYFUNCTION("REGEXREPLACE(REGEXEXTRACT(H150, ""а\)\s*(.*?)\s*б\)""), ""^\s*"", """")"),"Пещерный паук")</f>
        <v>Пещерный паук</v>
      </c>
      <c r="E150" s="5" t="str">
        <f>IFERROR(__xludf.DUMMYFUNCTION("REGEXREPLACE(REGEXEXTRACT(H150, ""б\)\s*(.*?)\s*в\)""), ""^\s*"", """")"),"Ядовитый паук")</f>
        <v>Ядовитый паук</v>
      </c>
      <c r="F150" s="5" t="str">
        <f>IFERROR(__xludf.DUMMYFUNCTION("REGEXREPLACE(REGEXEXTRACT(H150, ""в\)\s*(.*?)\s*г\)""), ""^\s*"", """")"),"Подземный")</f>
        <v>Подземный</v>
      </c>
      <c r="G150" s="5" t="str">
        <f>IFERROR(__xludf.DUMMYFUNCTION("REGEXREPLACE(REGEXEXTRACT(H150, ""г\)\s*(.*)""), ""^\s*"", """")"),"Синий")</f>
        <v>Синий</v>
      </c>
      <c r="H150" s="21" t="s">
        <v>156</v>
      </c>
    </row>
    <row r="151">
      <c r="A151" s="5" t="str">
        <f>IFERROR(__xludf.DUMMYFUNCTION("REGEXEXTRACT(H151, ""s*(.*?)\s*а\)"")"),"Кто это?")</f>
        <v>Кто это?</v>
      </c>
      <c r="B151" s="15">
        <v>2.0</v>
      </c>
      <c r="D151" s="5" t="str">
        <f>IFERROR(__xludf.DUMMYFUNCTION("REGEXREPLACE(REGEXEXTRACT(H151, ""а\)\s*(.*?)\s*б\)""), ""^\s*"", """")"),"Дельфин")</f>
        <v>Дельфин</v>
      </c>
      <c r="E151" s="5" t="str">
        <f>IFERROR(__xludf.DUMMYFUNCTION("REGEXREPLACE(REGEXEXTRACT(H151, ""б\)\s*(.*?)\s*в\)""), ""^\s*"", """")"),"Эхолокатор")</f>
        <v>Эхолокатор</v>
      </c>
      <c r="F151" s="5" t="str">
        <f>IFERROR(__xludf.DUMMYFUNCTION("REGEXREPLACE(REGEXEXTRACT(H151, ""в\)\s*(.*?)\s*г\)""), ""^\s*"", """")"),"Морской друг")</f>
        <v>Морской друг</v>
      </c>
      <c r="G151" s="5" t="str">
        <f>IFERROR(__xludf.DUMMYFUNCTION("REGEXREPLACE(REGEXEXTRACT(H151, ""г\)\s*(.*)""), ""^\s*"", """")"),"Пловец")</f>
        <v>Пловец</v>
      </c>
      <c r="H151" s="22" t="s">
        <v>157</v>
      </c>
    </row>
    <row r="152">
      <c r="A152" s="5" t="str">
        <f>IFERROR(__xludf.DUMMYFUNCTION("REGEXEXTRACT(H152, ""s*(.*?)\s*а\)"")"),"Кто это?")</f>
        <v>Кто это?</v>
      </c>
      <c r="B152" s="15">
        <v>2.0</v>
      </c>
      <c r="D152" s="5" t="str">
        <f>IFERROR(__xludf.DUMMYFUNCTION("REGEXREPLACE(REGEXEXTRACT(H152, ""а\)\s*(.*?)\s*б\)""), ""^\s*"", """")"),"Лама")</f>
        <v>Лама</v>
      </c>
      <c r="E152" s="5" t="str">
        <f>IFERROR(__xludf.DUMMYFUNCTION("REGEXREPLACE(REGEXEXTRACT(H152, ""б\)\s*(.*?)\s*в\)""), ""^\s*"", """")"),"Плюющаяся")</f>
        <v>Плюющаяся</v>
      </c>
      <c r="F152" s="5" t="str">
        <f>IFERROR(__xludf.DUMMYFUNCTION("REGEXREPLACE(REGEXEXTRACT(H152, ""в\)\s*(.*?)\s*г\)""), ""^\s*"", """")"),"Горная")</f>
        <v>Горная</v>
      </c>
      <c r="G152" s="5" t="str">
        <f>IFERROR(__xludf.DUMMYFUNCTION("REGEXREPLACE(REGEXEXTRACT(H152, ""г\)\s*(.*)""), ""^\s*"", """")"),"Вьючная")</f>
        <v>Вьючная</v>
      </c>
      <c r="H152" s="22" t="s">
        <v>158</v>
      </c>
    </row>
    <row r="153">
      <c r="A153" s="5" t="str">
        <f>IFERROR(__xludf.DUMMYFUNCTION("REGEXEXTRACT(H153, ""s*(.*?)\s*а\)"")"),"Кто это?")</f>
        <v>Кто это?</v>
      </c>
      <c r="B153" s="15">
        <v>2.0</v>
      </c>
      <c r="D153" s="5" t="str">
        <f>IFERROR(__xludf.DUMMYFUNCTION("REGEXREPLACE(REGEXEXTRACT(H153, ""а\)\s*(.*?)\s*б\)""), ""^\s*"", """")"),"Странствующий торговец")</f>
        <v>Странствующий торговец</v>
      </c>
      <c r="E153" s="5" t="str">
        <f>IFERROR(__xludf.DUMMYFUNCTION("REGEXREPLACE(REGEXEXTRACT(H153, ""б\)\s*(.*?)\s*в\)""), ""^\s*"", """")"),"Кочевник")</f>
        <v>Кочевник</v>
      </c>
      <c r="F153" s="5" t="str">
        <f>IFERROR(__xludf.DUMMYFUNCTION("REGEXREPLACE(REGEXEXTRACT(H153, ""в\)\s*(.*?)\s*г\)""), ""^\s*"", """")"),"Путешественник")</f>
        <v>Путешественник</v>
      </c>
      <c r="G153" s="5" t="str">
        <f>IFERROR(__xludf.DUMMYFUNCTION("REGEXREPLACE(REGEXEXTRACT(H153, ""г\)\s*(.*)""), ""^\s*"", """")"),"Меняла с ламами")</f>
        <v>Меняла с ламами</v>
      </c>
      <c r="H153" s="21" t="s">
        <v>159</v>
      </c>
    </row>
    <row r="154">
      <c r="A154" s="5" t="str">
        <f>IFERROR(__xludf.DUMMYFUNCTION("REGEXEXTRACT(H154, ""s*(.*?)\s*а\)"")"),"Кто это?")</f>
        <v>Кто это?</v>
      </c>
      <c r="B154" s="15">
        <v>2.0</v>
      </c>
      <c r="D154" s="5" t="str">
        <f>IFERROR(__xludf.DUMMYFUNCTION("REGEXREPLACE(REGEXEXTRACT(H154, ""а\)\s*(.*?)\s*б\)""), ""^\s*"", """")"),"Зомбированный пиглин")</f>
        <v>Зомбированный пиглин</v>
      </c>
      <c r="E154" s="5" t="str">
        <f>IFERROR(__xludf.DUMMYFUNCTION("REGEXREPLACE(REGEXEXTRACT(H154, ""б\)\s*(.*?)\s*в\)""), ""^\s*"", """")"),"Зомби-свинья")</f>
        <v>Зомби-свинья</v>
      </c>
      <c r="F154" s="5" t="str">
        <f>IFERROR(__xludf.DUMMYFUNCTION("REGEXREPLACE(REGEXEXTRACT(H154, ""в\)\s*(.*?)\s*г\)""), ""^\s*"", """")"),"Гнилой хряк")</f>
        <v>Гнилой хряк</v>
      </c>
      <c r="G154" s="5" t="str">
        <f>IFERROR(__xludf.DUMMYFUNCTION("REGEXREPLACE(REGEXEXTRACT(H154, ""г\)\s*(.*)""), ""^\s*"", """")"),"Квази-кабан")</f>
        <v>Квази-кабан</v>
      </c>
      <c r="H154" s="21" t="s">
        <v>160</v>
      </c>
    </row>
    <row r="155">
      <c r="A155" s="5" t="str">
        <f>IFERROR(__xludf.DUMMYFUNCTION("REGEXEXTRACT(H155, ""s*(.*?)\s*а\)"")"),"Кто это?")</f>
        <v>Кто это?</v>
      </c>
      <c r="B155" s="15">
        <v>2.0</v>
      </c>
      <c r="D155" s="5" t="str">
        <f>IFERROR(__xludf.DUMMYFUNCTION("REGEXREPLACE(REGEXEXTRACT(H155, ""а\)\s*(.*?)\s*б\)""), ""^\s*"", """")"),"Эндермен")</f>
        <v>Эндермен</v>
      </c>
      <c r="E155" s="5" t="str">
        <f>IFERROR(__xludf.DUMMYFUNCTION("REGEXREPLACE(REGEXEXTRACT(H155, ""б\)\s*(.*?)\s*в\)""), ""^\s*"", """")"),"Телепортер")</f>
        <v>Телепортер</v>
      </c>
      <c r="F155" s="5" t="str">
        <f>IFERROR(__xludf.DUMMYFUNCTION("REGEXREPLACE(REGEXEXTRACT(H155, ""в\)\s*(.*?)\s*г\)""), ""^\s*"", """")"),"Длинноногий")</f>
        <v>Длинноногий</v>
      </c>
      <c r="G155" s="5" t="str">
        <f>IFERROR(__xludf.DUMMYFUNCTION("REGEXREPLACE(REGEXEXTRACT(H155, ""г\)\s*(.*)""), ""^\s*"", """")"),"Теневой")</f>
        <v>Теневой</v>
      </c>
      <c r="H155" s="21" t="s">
        <v>161</v>
      </c>
    </row>
    <row r="156">
      <c r="A156" s="5" t="str">
        <f>IFERROR(__xludf.DUMMYFUNCTION("REGEXEXTRACT(H156, ""s*(.*?)\s*а\)"")"),"Кто это?")</f>
        <v>Кто это?</v>
      </c>
      <c r="B156" s="15">
        <v>2.0</v>
      </c>
      <c r="D156" s="5" t="str">
        <f>IFERROR(__xludf.DUMMYFUNCTION("REGEXREPLACE(REGEXEXTRACT(H156, ""а\)\s*(.*?)\s*б\)""), ""^\s*"", """")"),"Волк")</f>
        <v>Волк</v>
      </c>
      <c r="E156" s="5" t="str">
        <f>IFERROR(__xludf.DUMMYFUNCTION("REGEXREPLACE(REGEXEXTRACT(H156, ""б\)\s*(.*?)\s*в\)""), ""^\s*"", """")"),"Лесной пес")</f>
        <v>Лесной пес</v>
      </c>
      <c r="F156" s="5" t="str">
        <f>IFERROR(__xludf.DUMMYFUNCTION("REGEXREPLACE(REGEXEXTRACT(H156, ""в\)\s*(.*?)\s*г\)""), ""^\s*"", """")"),"Бродяга")</f>
        <v>Бродяга</v>
      </c>
      <c r="G156" s="5" t="str">
        <f>IFERROR(__xludf.DUMMYFUNCTION("REGEXREPLACE(REGEXEXTRACT(H156, ""г\)\s*(.*)""), ""^\s*"", """")"),"Серый охотник")</f>
        <v>Серый охотник</v>
      </c>
      <c r="H156" s="21" t="s">
        <v>162</v>
      </c>
    </row>
    <row r="157">
      <c r="A157" s="5" t="str">
        <f>IFERROR(__xludf.DUMMYFUNCTION("REGEXEXTRACT(H157, ""s*(.*?)\s*а\)"")"),"Кто это?")</f>
        <v>Кто это?</v>
      </c>
      <c r="B157" s="15">
        <v>2.0</v>
      </c>
      <c r="D157" s="5" t="str">
        <f>IFERROR(__xludf.DUMMYFUNCTION("REGEXREPLACE(REGEXEXTRACT(H157, ""а\)\s*(.*?)\s*б\)""), ""^\s*"", """")"),"Аксолотль")</f>
        <v>Аксолотль</v>
      </c>
      <c r="E157" s="5" t="str">
        <f>IFERROR(__xludf.DUMMYFUNCTION("REGEXREPLACE(REGEXEXTRACT(H157, ""б\)\s*(.*?)\s*в\)""), ""^\s*"", """")"),"Водяной дракон")</f>
        <v>Водяной дракон</v>
      </c>
      <c r="F157" s="5" t="str">
        <f>IFERROR(__xludf.DUMMYFUNCTION("REGEXREPLACE(REGEXEXTRACT(H157, ""в\)\s*(.*?)\s*г\)""), ""^\s*"", """")"),"Подводный питомец")</f>
        <v>Подводный питомец</v>
      </c>
      <c r="G157" s="5" t="str">
        <f>IFERROR(__xludf.DUMMYFUNCTION("REGEXREPLACE(REGEXEXTRACT(H157, ""г\)\s*(.*)""), ""^\s*"", """")"),"Нежный слизень")</f>
        <v>Нежный слизень</v>
      </c>
      <c r="H157" s="21" t="s">
        <v>163</v>
      </c>
    </row>
    <row r="158">
      <c r="A158" s="5" t="str">
        <f>IFERROR(__xludf.DUMMYFUNCTION("REGEXEXTRACT(H158, ""s*(.*?)\s*а\)"")"),"Кто это?")</f>
        <v>Кто это?</v>
      </c>
      <c r="B158" s="15">
        <v>2.0</v>
      </c>
      <c r="D158" s="5" t="str">
        <f>IFERROR(__xludf.DUMMYFUNCTION("REGEXREPLACE(REGEXEXTRACT(H158, ""а\)\s*(.*?)\s*б\)""), ""^\s*"", """")"),"Стражник")</f>
        <v>Стражник</v>
      </c>
      <c r="E158" s="5" t="str">
        <f>IFERROR(__xludf.DUMMYFUNCTION("REGEXREPLACE(REGEXEXTRACT(H158, ""б\)\s*(.*?)\s*в\)""), ""^\s*"", """")"),"Житель-охранник")</f>
        <v>Житель-охранник</v>
      </c>
      <c r="F158" s="5" t="str">
        <f>IFERROR(__xludf.DUMMYFUNCTION("REGEXREPLACE(REGEXEXTRACT(H158, ""в\)\s*(.*?)\s*г\)""), ""^\s*"", """")"),"Деревенский воин")</f>
        <v>Деревенский воин</v>
      </c>
      <c r="G158" s="5" t="str">
        <f>IFERROR(__xludf.DUMMYFUNCTION("REGEXREPLACE(REGEXEXTRACT(H158, ""г\)\s*(.*)""), ""^\s*"", """")"),"Вооруженный крестьянин")</f>
        <v>Вооруженный крестьянин</v>
      </c>
      <c r="H158" s="21" t="s">
        <v>164</v>
      </c>
    </row>
    <row r="159">
      <c r="A159" s="5" t="str">
        <f>IFERROR(__xludf.DUMMYFUNCTION("REGEXEXTRACT(H159, ""s*(.*?)\s*а\)"")"),"Кто это?")</f>
        <v>Кто это?</v>
      </c>
      <c r="B159" s="15">
        <v>2.0</v>
      </c>
      <c r="D159" s="5" t="str">
        <f>IFERROR(__xludf.DUMMYFUNCTION("REGEXREPLACE(REGEXEXTRACT(H159, ""а\)\s*(.*?)\s*б\)""), ""^\s*"", """")"),"Железный голем")</f>
        <v>Железный голем</v>
      </c>
      <c r="E159" s="5" t="str">
        <f>IFERROR(__xludf.DUMMYFUNCTION("REGEXREPLACE(REGEXEXTRACT(H159, ""б\)\s*(.*?)\s*в\)""), ""^\s*"", """")"),"Механический защитник")</f>
        <v>Механический защитник</v>
      </c>
      <c r="F159" s="5" t="str">
        <f>IFERROR(__xludf.DUMMYFUNCTION("REGEXREPLACE(REGEXEXTRACT(H159, ""в\)\s*(.*?)\s*г\)""), ""^\s*"", """")"),"Ржавый силач")</f>
        <v>Ржавый силач</v>
      </c>
      <c r="G159" s="5" t="str">
        <f>IFERROR(__xludf.DUMMYFUNCTION("REGEXREPLACE(REGEXEXTRACT(H159, ""г\)\s*(.*)""), ""^\s*"", """")"),"Деревенский страж")</f>
        <v>Деревенский страж</v>
      </c>
      <c r="H159" s="21" t="s">
        <v>165</v>
      </c>
    </row>
    <row r="160">
      <c r="A160" s="5" t="str">
        <f>IFERROR(__xludf.DUMMYFUNCTION("REGEXEXTRACT(H160, ""s*(.*?)\s*а\)"")"),"Кто это?")</f>
        <v>Кто это?</v>
      </c>
      <c r="B160" s="15">
        <v>2.0</v>
      </c>
      <c r="D160" s="5" t="str">
        <f>IFERROR(__xludf.DUMMYFUNCTION("REGEXREPLACE(REGEXEXTRACT(H160, ""а\)\s*(.*?)\s*б\)""), ""^\s*"", """")"),"Снежный голем")</f>
        <v>Снежный голем</v>
      </c>
      <c r="E160" s="5" t="str">
        <f>IFERROR(__xludf.DUMMYFUNCTION("REGEXREPLACE(REGEXEXTRACT(H160, ""б\)\s*(.*?)\s*в\)""), ""^\s*"", """")"),"Снеговик")</f>
        <v>Снеговик</v>
      </c>
      <c r="F160" s="5" t="str">
        <f>IFERROR(__xludf.DUMMYFUNCTION("REGEXREPLACE(REGEXEXTRACT(H160, ""в\)\s*(.*?)\s*г\)""), ""^\s*"", """")"),"Ледяной помощник")</f>
        <v>Ледяной помощник</v>
      </c>
      <c r="G160" s="5" t="str">
        <f>IFERROR(__xludf.DUMMYFUNCTION("REGEXREPLACE(REGEXEXTRACT(H160, ""г\)\s*(.*)""), ""^\s*"", """")"),"Морковный нос")</f>
        <v>Морковный нос</v>
      </c>
      <c r="H160" s="21" t="s">
        <v>166</v>
      </c>
    </row>
    <row r="161">
      <c r="A161" s="5" t="str">
        <f>IFERROR(__xludf.DUMMYFUNCTION("REGEXEXTRACT(H161, ""s*(.*?)\s*а\)"")"),"Кто это?")</f>
        <v>Кто это?</v>
      </c>
      <c r="B161" s="15">
        <v>2.0</v>
      </c>
      <c r="D161" s="5" t="str">
        <f>IFERROR(__xludf.DUMMYFUNCTION("REGEXREPLACE(REGEXEXTRACT(H161, ""а\)\s*(.*?)\s*б\)""), ""^\s*"", """")"),"Пчела")</f>
        <v>Пчела</v>
      </c>
      <c r="E161" s="5" t="str">
        <f>IFERROR(__xludf.DUMMYFUNCTION("REGEXREPLACE(REGEXEXTRACT(H161, ""б\)\s*(.*?)\s*в\)""), ""^\s*"", """")"),"Медоносная оса")</f>
        <v>Медоносная оса</v>
      </c>
      <c r="F161" s="5" t="str">
        <f>IFERROR(__xludf.DUMMYFUNCTION("REGEXREPLACE(REGEXEXTRACT(H161, ""в\)\s*(.*?)\s*г\)""), ""^\s*"", """")"),"Насекомое")</f>
        <v>Насекомое</v>
      </c>
      <c r="G161" s="5" t="str">
        <f>IFERROR(__xludf.DUMMYFUNCTION("REGEXREPLACE(REGEXEXTRACT(H161, ""г\)\s*(.*)""), ""^\s*"", """")"),"Крылатый")</f>
        <v>Крылатый</v>
      </c>
      <c r="H161" s="21" t="s">
        <v>167</v>
      </c>
    </row>
    <row r="162">
      <c r="A162" s="5" t="str">
        <f>IFERROR(__xludf.DUMMYFUNCTION("REGEXEXTRACT(H162, ""s*(.*?)\s*а\)"")"),"Кто это?")</f>
        <v>Кто это?</v>
      </c>
      <c r="B162" s="15">
        <v>2.0</v>
      </c>
      <c r="D162" s="5" t="str">
        <f>IFERROR(__xludf.DUMMYFUNCTION("REGEXREPLACE(REGEXEXTRACT(H162, ""а\)\s*(.*?)\s*б\)""), ""^\s*"", """")"),"Зомби")</f>
        <v>Зомби</v>
      </c>
      <c r="E162" s="5" t="str">
        <f>IFERROR(__xludf.DUMMYFUNCTION("REGEXREPLACE(REGEXEXTRACT(H162, ""б\)\s*(.*?)\s*в\)""), ""^\s*"", """")"),"Живой мертвец")</f>
        <v>Живой мертвец</v>
      </c>
      <c r="F162" s="5" t="str">
        <f>IFERROR(__xludf.DUMMYFUNCTION("REGEXREPLACE(REGEXEXTRACT(H162, ""в\)\s*(.*?)\s*г\)""), ""^\s*"", """")"),"Гниющий")</f>
        <v>Гниющий</v>
      </c>
      <c r="G162" s="5" t="str">
        <f>IFERROR(__xludf.DUMMYFUNCTION("REGEXREPLACE(REGEXEXTRACT(H162, ""г\)\s*(.*)""), ""^\s*"", """")"),"Бродяга")</f>
        <v>Бродяга</v>
      </c>
      <c r="H162" s="18" t="s">
        <v>168</v>
      </c>
    </row>
    <row r="163">
      <c r="A163" s="5" t="str">
        <f>IFERROR(__xludf.DUMMYFUNCTION("REGEXEXTRACT(H163, ""s*(.*?)\s*а\)"")"),"Кто это?")</f>
        <v>Кто это?</v>
      </c>
      <c r="B163" s="15">
        <v>2.0</v>
      </c>
      <c r="D163" s="5" t="str">
        <f>IFERROR(__xludf.DUMMYFUNCTION("REGEXREPLACE(REGEXEXTRACT(H163, ""а\)\s*(.*?)\s*б\)""), ""^\s*"", """")"),"Скелет")</f>
        <v>Скелет</v>
      </c>
      <c r="E163" s="5" t="str">
        <f>IFERROR(__xludf.DUMMYFUNCTION("REGEXREPLACE(REGEXEXTRACT(H163, ""б\)\s*(.*?)\s*в\)""), ""^\s*"", """")"),"Костяной лучник")</f>
        <v>Костяной лучник</v>
      </c>
      <c r="F163" s="5" t="str">
        <f>IFERROR(__xludf.DUMMYFUNCTION("REGEXREPLACE(REGEXEXTRACT(H163, ""в\)\s*(.*?)\s*г\)""), ""^\s*"", """")"),"Сухой")</f>
        <v>Сухой</v>
      </c>
      <c r="G163" s="5" t="str">
        <f>IFERROR(__xludf.DUMMYFUNCTION("REGEXREPLACE(REGEXEXTRACT(H163, ""г\)\s*(.*)""), ""^\s*"", """")"),"Дряхлый воитель")</f>
        <v>Дряхлый воитель</v>
      </c>
      <c r="H163" s="18" t="s">
        <v>169</v>
      </c>
    </row>
    <row r="164">
      <c r="A164" s="5" t="str">
        <f>IFERROR(__xludf.DUMMYFUNCTION("REGEXEXTRACT(H164, ""s*(.*?)\s*а\)"")"),"Кто это?")</f>
        <v>Кто это?</v>
      </c>
      <c r="B164" s="15">
        <v>2.0</v>
      </c>
      <c r="D164" s="5" t="str">
        <f>IFERROR(__xludf.DUMMYFUNCTION("REGEXREPLACE(REGEXEXTRACT(H164, ""а\)\s*(.*?)\s*б\)""), ""^\s*"", """")"),"Крипер")</f>
        <v>Крипер</v>
      </c>
      <c r="E164" s="5" t="str">
        <f>IFERROR(__xludf.DUMMYFUNCTION("REGEXREPLACE(REGEXEXTRACT(H164, ""б\)\s*(.*?)\s*в\)""), ""^\s*"", """")"),"Зеленый взрыватель")</f>
        <v>Зеленый взрыватель</v>
      </c>
      <c r="F164" s="5" t="str">
        <f>IFERROR(__xludf.DUMMYFUNCTION("REGEXREPLACE(REGEXEXTRACT(H164, ""в\)\s*(.*?)\s*г\)""), ""^\s*"", """")"),"Шипящий монстр")</f>
        <v>Шипящий монстр</v>
      </c>
      <c r="G164" s="5" t="str">
        <f>IFERROR(__xludf.DUMMYFUNCTION("REGEXREPLACE(REGEXEXTRACT(H164, ""г\)\s*(.*)""), ""^\s*"", """")"),"Шахтер-подрывник")</f>
        <v>Шахтер-подрывник</v>
      </c>
      <c r="H164" s="18" t="s">
        <v>170</v>
      </c>
    </row>
    <row r="165">
      <c r="A165" s="5" t="str">
        <f>IFERROR(__xludf.DUMMYFUNCTION("REGEXEXTRACT(H165, ""s*(.*?)\s*а\)"")"),"Кто это?")</f>
        <v>Кто это?</v>
      </c>
      <c r="B165" s="15">
        <v>2.0</v>
      </c>
      <c r="D165" s="5" t="str">
        <f>IFERROR(__xludf.DUMMYFUNCTION("REGEXREPLACE(REGEXEXTRACT(H165, ""а\)\s*(.*?)\s*б\)""), ""^\s*"", """")"),"Слизень")</f>
        <v>Слизень</v>
      </c>
      <c r="E165" s="5" t="str">
        <f>IFERROR(__xludf.DUMMYFUNCTION("REGEXREPLACE(REGEXEXTRACT(H165, ""б\)\s*(.*?)\s*в\)""), ""^\s*"", """")"),"Зеленая жижа")</f>
        <v>Зеленая жижа</v>
      </c>
      <c r="F165" s="5" t="str">
        <f>IFERROR(__xludf.DUMMYFUNCTION("REGEXREPLACE(REGEXEXTRACT(H165, ""в\)\s*(.*?)\s*г\)""), ""^\s*"", """")"),"Прыгучий куб")</f>
        <v>Прыгучий куб</v>
      </c>
      <c r="G165" s="5" t="str">
        <f>IFERROR(__xludf.DUMMYFUNCTION("REGEXREPLACE(REGEXEXTRACT(H165, ""г\)\s*(.*)""), ""^\s*"", """")"),"Желейный монстр")</f>
        <v>Желейный монстр</v>
      </c>
      <c r="H165" s="18" t="s">
        <v>171</v>
      </c>
    </row>
    <row r="166">
      <c r="A166" s="5" t="str">
        <f>IFERROR(__xludf.DUMMYFUNCTION("REGEXEXTRACT(H166, ""s*(.*?)\s*а\)"")"),"Кто это?")</f>
        <v>Кто это?</v>
      </c>
      <c r="B166" s="15">
        <v>2.0</v>
      </c>
      <c r="D166" s="5" t="str">
        <f>IFERROR(__xludf.DUMMYFUNCTION("REGEXREPLACE(REGEXEXTRACT(H166, ""а\)\s*(.*?)\s*б\)""), ""^\s*"", """")"),"Гаст")</f>
        <v>Гаст</v>
      </c>
      <c r="E166" s="5" t="str">
        <f>IFERROR(__xludf.DUMMYFUNCTION("REGEXREPLACE(REGEXEXTRACT(H166, ""б\)\s*(.*?)\s*в\)""), ""^\s*"", """")"),"Белый призрак")</f>
        <v>Белый призрак</v>
      </c>
      <c r="F166" s="5" t="str">
        <f>IFERROR(__xludf.DUMMYFUNCTION("REGEXREPLACE(REGEXEXTRACT(H166, ""в\)\s*(.*?)\s*г\)""), ""^\s*"", """")"),"Летающий крикун")</f>
        <v>Летающий крикун</v>
      </c>
      <c r="G166" s="5" t="str">
        <f>IFERROR(__xludf.DUMMYFUNCTION("REGEXREPLACE(REGEXEXTRACT(H166, ""г\)\s*(.*)""), ""^\s*"", """")"),"Огненный дух")</f>
        <v>Огненный дух</v>
      </c>
      <c r="H166" s="18" t="s">
        <v>172</v>
      </c>
    </row>
    <row r="167">
      <c r="A167" s="5" t="str">
        <f>IFERROR(__xludf.DUMMYFUNCTION("REGEXEXTRACT(H167, ""s*(.*?)\s*а\)"")"),"Кто это?")</f>
        <v>Кто это?</v>
      </c>
      <c r="B167" s="15">
        <v>2.0</v>
      </c>
      <c r="D167" s="5" t="str">
        <f>IFERROR(__xludf.DUMMYFUNCTION("REGEXREPLACE(REGEXEXTRACT(H167, ""а\)\s*(.*?)\s*б\)""), ""^\s*"", """")"),"Магмовый куб")</f>
        <v>Магмовый куб</v>
      </c>
      <c r="E167" s="5" t="str">
        <f>IFERROR(__xludf.DUMMYFUNCTION("REGEXREPLACE(REGEXEXTRACT(H167, ""б\)\s*(.*?)\s*в\)""), ""^\s*"", """")"),"Огненный слизень")</f>
        <v>Огненный слизень</v>
      </c>
      <c r="F167" s="5" t="str">
        <f>IFERROR(__xludf.DUMMYFUNCTION("REGEXREPLACE(REGEXEXTRACT(H167, ""в\)\s*(.*?)\s*г\)""), ""^\s*"", """")"),"Лавовый прыгун")</f>
        <v>Лавовый прыгун</v>
      </c>
      <c r="G167" s="5" t="str">
        <f>IFERROR(__xludf.DUMMYFUNCTION("REGEXREPLACE(REGEXEXTRACT(H167, ""г\)\s*(.*)""), ""^\s*"", """")"),"Раскаленный кубик")</f>
        <v>Раскаленный кубик</v>
      </c>
      <c r="H167" s="18" t="s">
        <v>173</v>
      </c>
    </row>
    <row r="168">
      <c r="A168" s="5" t="str">
        <f>IFERROR(__xludf.DUMMYFUNCTION("REGEXEXTRACT(H168, ""s*(.*?)\s*а\)"")"),"Кто это?")</f>
        <v>Кто это?</v>
      </c>
      <c r="B168" s="15">
        <v>2.0</v>
      </c>
      <c r="D168" s="5" t="str">
        <f>IFERROR(__xludf.DUMMYFUNCTION("REGEXREPLACE(REGEXEXTRACT(H168, ""а\)\s*(.*?)\s*б\)""), ""^\s*"", """")"),"Ифрит")</f>
        <v>Ифрит</v>
      </c>
      <c r="E168" s="5" t="str">
        <f>IFERROR(__xludf.DUMMYFUNCTION("REGEXREPLACE(REGEXEXTRACT(H168, ""б\)\s*(.*?)\s*в\)""), ""^\s*"", """")"),"Огненный элементаль")</f>
        <v>Огненный элементаль</v>
      </c>
      <c r="F168" s="5" t="str">
        <f>IFERROR(__xludf.DUMMYFUNCTION("REGEXREPLACE(REGEXEXTRACT(H168, ""в\)\s*(.*?)\s*г\)""), ""^\s*"", """")"),"Летающий поджигатель")</f>
        <v>Летающий поджигатель</v>
      </c>
      <c r="G168" s="5" t="str">
        <f>IFERROR(__xludf.DUMMYFUNCTION("REGEXREPLACE(REGEXEXTRACT(H168, ""г\)\s*(.*)""), ""^\s*"", """")"),"Дымный дух")</f>
        <v>Дымный дух</v>
      </c>
      <c r="H168" s="18" t="s">
        <v>174</v>
      </c>
    </row>
    <row r="169">
      <c r="A169" s="5" t="str">
        <f>IFERROR(__xludf.DUMMYFUNCTION("REGEXEXTRACT(H169, ""s*(.*?)\s*а\)"")"),"Кто это?")</f>
        <v>Кто это?</v>
      </c>
      <c r="B169" s="15">
        <v>2.0</v>
      </c>
      <c r="D169" s="5" t="str">
        <f>IFERROR(__xludf.DUMMYFUNCTION("REGEXREPLACE(REGEXEXTRACT(H169, ""а\)\s*(.*?)\s*б\)""), ""^\s*"", """")"),"Ведьма")</f>
        <v>Ведьма</v>
      </c>
      <c r="E169" s="5" t="str">
        <f>IFERROR(__xludf.DUMMYFUNCTION("REGEXREPLACE(REGEXEXTRACT(H169, ""б\)\s*(.*?)\s*в\)""), ""^\s*"", """")"),"Зельеварка")</f>
        <v>Зельеварка</v>
      </c>
      <c r="F169" s="5" t="str">
        <f>IFERROR(__xludf.DUMMYFUNCTION("REGEXREPLACE(REGEXEXTRACT(H169, ""в\)\s*(.*?)\s*г\)""), ""^\s*"", """")"),"Колдунья")</f>
        <v>Колдунья</v>
      </c>
      <c r="G169" s="5" t="str">
        <f>IFERROR(__xludf.DUMMYFUNCTION("REGEXREPLACE(REGEXEXTRACT(H169, ""г\)\s*(.*)""), ""^\s*"", """")"),"Знахарка")</f>
        <v>Знахарка</v>
      </c>
      <c r="H169" s="18" t="s">
        <v>175</v>
      </c>
    </row>
    <row r="170">
      <c r="A170" s="5" t="str">
        <f>IFERROR(__xludf.DUMMYFUNCTION("REGEXEXTRACT(H170, ""s*(.*?)\s*а\)"")"),"Кто это?")</f>
        <v>Кто это?</v>
      </c>
      <c r="B170" s="15">
        <v>2.0</v>
      </c>
      <c r="D170" s="5" t="str">
        <f>IFERROR(__xludf.DUMMYFUNCTION("REGEXREPLACE(REGEXEXTRACT(H170, ""а\)\s*(.*?)\s*б\)""), ""^\s*"", """")"),"Скелет-иссушитель")</f>
        <v>Скелет-иссушитель</v>
      </c>
      <c r="E170" s="5" t="str">
        <f>IFERROR(__xludf.DUMMYFUNCTION("REGEXREPLACE(REGEXEXTRACT(H170, ""б\)\s*(.*?)\s*в\)""), ""^\s*"", """")"),"Черный скелет")</f>
        <v>Черный скелет</v>
      </c>
      <c r="F170" s="5" t="str">
        <f>IFERROR(__xludf.DUMMYFUNCTION("REGEXREPLACE(REGEXEXTRACT(H170, ""в\)\s*(.*?)\s*г\)""), ""^\s*"", """")"),"Костяной воин ада")</f>
        <v>Костяной воин ада</v>
      </c>
      <c r="G170" s="5" t="str">
        <f>IFERROR(__xludf.DUMMYFUNCTION("REGEXREPLACE(REGEXEXTRACT(H170, ""г\)\s*(.*)""), ""^\s*"", """")"),"Угрюмый лучник")</f>
        <v>Угрюмый лучник</v>
      </c>
      <c r="H170" s="18" t="s">
        <v>176</v>
      </c>
    </row>
    <row r="171">
      <c r="A171" s="5" t="str">
        <f>IFERROR(__xludf.DUMMYFUNCTION("REGEXEXTRACT(H171, ""s*(.*?)\s*а\)"")"),"Кто это?")</f>
        <v>Кто это?</v>
      </c>
      <c r="B171" s="15">
        <v>2.0</v>
      </c>
      <c r="D171" s="5" t="str">
        <f>IFERROR(__xludf.DUMMYFUNCTION("REGEXREPLACE(REGEXEXTRACT(H171, ""а\)\s*(.*?)\s*б\)""), ""^\s*"", """")"),"Зомби-житель")</f>
        <v>Зомби-житель</v>
      </c>
      <c r="E171" s="5" t="str">
        <f>IFERROR(__xludf.DUMMYFUNCTION("REGEXREPLACE(REGEXEXTRACT(H171, ""б\)\s*(.*?)\s*в\)""), ""^\s*"", """")"),"Мертвый горожанин")</f>
        <v>Мертвый горожанин</v>
      </c>
      <c r="F171" s="5" t="str">
        <f>IFERROR(__xludf.DUMMYFUNCTION("REGEXREPLACE(REGEXEXTRACT(H171, ""в\)\s*(.*?)\s*г\)""), ""^\s*"", """")"),"Инфицированный крестьянин")</f>
        <v>Инфицированный крестьянин</v>
      </c>
      <c r="G171" s="5" t="str">
        <f>IFERROR(__xludf.DUMMYFUNCTION("REGEXREPLACE(REGEXEXTRACT(H171, ""г\)\s*(.*)""), ""^\s*"", """")"),"Зомби-фермер")</f>
        <v>Зомби-фермер</v>
      </c>
      <c r="H171" s="18" t="s">
        <v>177</v>
      </c>
    </row>
    <row r="172">
      <c r="A172" s="5" t="str">
        <f>IFERROR(__xludf.DUMMYFUNCTION("REGEXEXTRACT(H172, ""s*(.*?)\s*а\)"")"),"Кто это?")</f>
        <v>Кто это?</v>
      </c>
      <c r="B172" s="15">
        <v>2.0</v>
      </c>
      <c r="D172" s="5" t="str">
        <f>IFERROR(__xludf.DUMMYFUNCTION("REGEXREPLACE(REGEXEXTRACT(H172, ""а\)\s*(.*?)\s*б\)""), ""^\s*"", """")"),"Утопленник")</f>
        <v>Утопленник</v>
      </c>
      <c r="E172" s="5" t="str">
        <f>IFERROR(__xludf.DUMMYFUNCTION("REGEXREPLACE(REGEXEXTRACT(H172, ""б\)\s*(.*?)\s*в\)""), ""^\s*"", """")"),"Водный зомби")</f>
        <v>Водный зомби</v>
      </c>
      <c r="F172" s="5" t="str">
        <f>IFERROR(__xludf.DUMMYFUNCTION("REGEXREPLACE(REGEXEXTRACT(H172, ""в\)\s*(.*?)\s*г\)""), ""^\s*"", """")"),"Морской мертвец")</f>
        <v>Морской мертвец</v>
      </c>
      <c r="G172" s="5" t="str">
        <f>IFERROR(__xludf.DUMMYFUNCTION("REGEXREPLACE(REGEXEXTRACT(H172, ""г\)\s*(.*)""), ""^\s*"", """")"),"Затонувший")</f>
        <v>Затонувший</v>
      </c>
      <c r="H172" s="18" t="s">
        <v>178</v>
      </c>
    </row>
    <row r="173">
      <c r="A173" s="5" t="str">
        <f>IFERROR(__xludf.DUMMYFUNCTION("REGEXEXTRACT(H173, ""s*(.*?)\s*а\)"")"),"Кто это?")</f>
        <v>Кто это?</v>
      </c>
      <c r="B173" s="15">
        <v>2.0</v>
      </c>
      <c r="D173" s="5" t="str">
        <f>IFERROR(__xludf.DUMMYFUNCTION("REGEXREPLACE(REGEXEXTRACT(H173, ""а\)\s*(.*?)\s*б\)""), ""^\s*"", """")"),"Фантом")</f>
        <v>Фантом</v>
      </c>
      <c r="E173" s="5" t="str">
        <f>IFERROR(__xludf.DUMMYFUNCTION("REGEXREPLACE(REGEXEXTRACT(H173, ""б\)\s*(.*?)\s*в\)""), ""^\s*"", """")"),"Ночной кошмар")</f>
        <v>Ночной кошмар</v>
      </c>
      <c r="F173" s="5" t="str">
        <f>IFERROR(__xludf.DUMMYFUNCTION("REGEXREPLACE(REGEXEXTRACT(H173, ""в\)\s*(.*?)\s*г\)""), ""^\s*"", """")"),"Летающий монстр")</f>
        <v>Летающий монстр</v>
      </c>
      <c r="G173" s="5" t="str">
        <f>IFERROR(__xludf.DUMMYFUNCTION("REGEXREPLACE(REGEXEXTRACT(H173, ""г\)\s*(.*)""), ""^\s*"", """")"),"Кожаный крылан")</f>
        <v>Кожаный крылан</v>
      </c>
      <c r="H173" s="18" t="s">
        <v>179</v>
      </c>
    </row>
    <row r="174">
      <c r="A174" s="5" t="str">
        <f>IFERROR(__xludf.DUMMYFUNCTION("REGEXEXTRACT(H174, ""s*(.*?)\s*а\)"")"),"Кто это?")</f>
        <v>Кто это?</v>
      </c>
      <c r="B174" s="15">
        <v>2.0</v>
      </c>
      <c r="D174" s="5" t="str">
        <f>IFERROR(__xludf.DUMMYFUNCTION("REGEXREPLACE(REGEXEXTRACT(H174, ""а\)\s*(.*?)\s*б\)""), ""^\s*"", """")"),"Досаждатель")</f>
        <v>Досаждатель</v>
      </c>
      <c r="E174" s="5" t="str">
        <f>IFERROR(__xludf.DUMMYFUNCTION("REGEXREPLACE(REGEXEXTRACT(H174, ""б\)\s*(.*?)\s*в\)""), ""^\s*"", """")"),"Вредный дух")</f>
        <v>Вредный дух</v>
      </c>
      <c r="F174" s="5" t="str">
        <f>IFERROR(__xludf.DUMMYFUNCTION("REGEXREPLACE(REGEXEXTRACT(H174, ""в\)\s*(.*?)\s*г\)""), ""^\s*"", """")"),"Летающий вредитель")</f>
        <v>Летающий вредитель</v>
      </c>
      <c r="G174" s="5" t="str">
        <f>IFERROR(__xludf.DUMMYFUNCTION("REGEXREPLACE(REGEXEXTRACT(H174, ""г\)\s*(.*)""), ""^\s*"", """")"),"Маленький злыдень")</f>
        <v>Маленький злыдень</v>
      </c>
      <c r="H174" s="18" t="s">
        <v>180</v>
      </c>
    </row>
    <row r="175">
      <c r="A175" s="5" t="str">
        <f>IFERROR(__xludf.DUMMYFUNCTION("REGEXEXTRACT(H175, ""s*(.*?)\s*а\)"")"),"Кто это?")</f>
        <v>Кто это?</v>
      </c>
      <c r="B175" s="15">
        <v>2.0</v>
      </c>
      <c r="D175" s="5" t="str">
        <f>IFERROR(__xludf.DUMMYFUNCTION("REGEXREPLACE(REGEXEXTRACT(H175, ""а\)\s*(.*?)\s*б\)""), ""^\s*"", """")"),"Поборник")</f>
        <v>Поборник</v>
      </c>
      <c r="E175" s="5" t="str">
        <f>IFERROR(__xludf.DUMMYFUNCTION("REGEXREPLACE(REGEXEXTRACT(H175, ""б\)\s*(.*?)\s*в\)""), ""^\s*"", """")"),"Разбойник с топором")</f>
        <v>Разбойник с топором</v>
      </c>
      <c r="F175" s="5" t="str">
        <f>IFERROR(__xludf.DUMMYFUNCTION("REGEXREPLACE(REGEXEXTRACT(H175, ""в\)\s*(.*?)\s*г\)""), ""^\s*"", """")"),"Лесной головорез")</f>
        <v>Лесной головорез</v>
      </c>
      <c r="G175" s="5" t="str">
        <f>IFERROR(__xludf.DUMMYFUNCTION("REGEXREPLACE(REGEXEXTRACT(H175, ""г\)\s*(.*)""), ""^\s*"", """")"),"Темный воин")</f>
        <v>Темный воин</v>
      </c>
      <c r="H175" s="18" t="s">
        <v>181</v>
      </c>
    </row>
    <row r="176">
      <c r="A176" s="5" t="str">
        <f>IFERROR(__xludf.DUMMYFUNCTION("REGEXEXTRACT(H176, ""s*(.*?)\s*а\)"")"),"Кто это?")</f>
        <v>Кто это?</v>
      </c>
      <c r="B176" s="15">
        <v>2.0</v>
      </c>
      <c r="D176" s="5" t="str">
        <f>IFERROR(__xludf.DUMMYFUNCTION("REGEXREPLACE(REGEXEXTRACT(H176, ""а\)\s*(.*?)\s*б\)""), ""^\s*"", """")"),"Вызыватель")</f>
        <v>Вызыватель</v>
      </c>
      <c r="E176" s="5" t="str">
        <f>IFERROR(__xludf.DUMMYFUNCTION("REGEXREPLACE(REGEXEXTRACT(H176, ""б\)\s*(.*?)\s*в\)""), ""^\s*"", """")"),"Заклинатель")</f>
        <v>Заклинатель</v>
      </c>
      <c r="F176" s="5" t="str">
        <f>IFERROR(__xludf.DUMMYFUNCTION("REGEXREPLACE(REGEXEXTRACT(H176, ""в\)\s*(.*?)\s*г\)""), ""^\s*"", """")"),"Маг-разбойник")</f>
        <v>Маг-разбойник</v>
      </c>
      <c r="G176" s="5" t="str">
        <f>IFERROR(__xludf.DUMMYFUNCTION("REGEXREPLACE(REGEXEXTRACT(H176, ""г\)\s*(.*)""), ""^\s*"", """")"),"Темный чародей")</f>
        <v>Темный чародей</v>
      </c>
      <c r="H176" s="18" t="s">
        <v>182</v>
      </c>
    </row>
    <row r="177">
      <c r="A177" s="5" t="str">
        <f>IFERROR(__xludf.DUMMYFUNCTION("REGEXEXTRACT(H177, ""s*(.*?)\s*а\)"")"),"Кто это?")</f>
        <v>Кто это?</v>
      </c>
      <c r="B177" s="15">
        <v>2.0</v>
      </c>
      <c r="D177" s="5" t="str">
        <f>IFERROR(__xludf.DUMMYFUNCTION("REGEXREPLACE(REGEXEXTRACT(H177, ""а\)\s*(.*?)\s*б\)""), ""^\s*"", """")"),"Разбойник")</f>
        <v>Разбойник</v>
      </c>
      <c r="E177" s="5" t="str">
        <f>IFERROR(__xludf.DUMMYFUNCTION("REGEXREPLACE(REGEXEXTRACT(H177, ""б\)\s*(.*?)\s*в\)""), ""^\s*"", """")"),"Грабитель")</f>
        <v>Грабитель</v>
      </c>
      <c r="F177" s="5" t="str">
        <f>IFERROR(__xludf.DUMMYFUNCTION("REGEXREPLACE(REGEXEXTRACT(H177, ""в\)\s*(.*?)\s*г\)""), ""^\s*"", """")"),"Деревенский головорез")</f>
        <v>Деревенский головорез</v>
      </c>
      <c r="G177" s="5" t="str">
        <f>IFERROR(__xludf.DUMMYFUNCTION("REGEXREPLACE(REGEXEXTRACT(H177, ""г\)\s*(.*)""), ""^\s*"", """")"),"Арбалетчик")</f>
        <v>Арбалетчик</v>
      </c>
      <c r="H177" s="18" t="s">
        <v>183</v>
      </c>
    </row>
    <row r="178">
      <c r="A178" s="5" t="str">
        <f>IFERROR(__xludf.DUMMYFUNCTION("REGEXEXTRACT(H178, ""s*(.*?)\s*а\)"")"),"Кто это?")</f>
        <v>Кто это?</v>
      </c>
      <c r="B178" s="15">
        <v>2.0</v>
      </c>
      <c r="D178" s="5" t="str">
        <f>IFERROR(__xludf.DUMMYFUNCTION("REGEXREPLACE(REGEXEXTRACT(H178, ""а\)\s*(.*?)\s*б\)""), ""^\s*"", """")"),"Разоритель")</f>
        <v>Разоритель</v>
      </c>
      <c r="E178" s="5" t="str">
        <f>IFERROR(__xludf.DUMMYFUNCTION("REGEXREPLACE(REGEXEXTRACT(H178, ""б\)\s*(.*?)\s*в\)""), ""^\s*"", """")"),"Зверь-крушитель")</f>
        <v>Зверь-крушитель</v>
      </c>
      <c r="F178" s="5" t="str">
        <f>IFERROR(__xludf.DUMMYFUNCTION("REGEXREPLACE(REGEXEXTRACT(H178, ""в\)\s*(.*?)\s*г\)""), ""^\s*"", """")"),"Голем-разрушитель")</f>
        <v>Голем-разрушитель</v>
      </c>
      <c r="G178" s="5" t="str">
        <f>IFERROR(__xludf.DUMMYFUNCTION("REGEXREPLACE(REGEXEXTRACT(H178, ""г\)\s*(.*)""), ""^\s*"", """")"),"Ездовой монстр разбойников")</f>
        <v>Ездовой монстр разбойников</v>
      </c>
      <c r="H178" s="18" t="s">
        <v>184</v>
      </c>
    </row>
    <row r="179">
      <c r="A179" s="5" t="str">
        <f>IFERROR(__xludf.DUMMYFUNCTION("REGEXEXTRACT(H179, ""s*(.*?)\s*а\)"")"),"Кто это?")</f>
        <v>Кто это?</v>
      </c>
      <c r="B179" s="15">
        <v>2.0</v>
      </c>
      <c r="D179" s="5" t="str">
        <f>IFERROR(__xludf.DUMMYFUNCTION("REGEXREPLACE(REGEXEXTRACT(H179, ""а\)\s*(.*?)\s*б\)""), ""^\s*"", """")"),"Пиглин")</f>
        <v>Пиглин</v>
      </c>
      <c r="E179" s="5" t="str">
        <f>IFERROR(__xludf.DUMMYFUNCTION("REGEXREPLACE(REGEXEXTRACT(H179, ""б\)\s*(.*?)\s*в\)""), ""^\s*"", """")"),"Свин-бандит")</f>
        <v>Свин-бандит</v>
      </c>
      <c r="F179" s="5" t="str">
        <f>IFERROR(__xludf.DUMMYFUNCTION("REGEXREPLACE(REGEXEXTRACT(H179, ""в\)\s*(.*?)\s*г\)""), ""^\s*"", """")"),"Житель ада")</f>
        <v>Житель ада</v>
      </c>
      <c r="G179" s="5" t="str">
        <f>IFERROR(__xludf.DUMMYFUNCTION("REGEXREPLACE(REGEXEXTRACT(H179, ""г\)\s*(.*)""), ""^\s*"", """")"),"Золотой любитель")</f>
        <v>Золотой любитель</v>
      </c>
      <c r="H179" s="18" t="s">
        <v>185</v>
      </c>
    </row>
    <row r="180">
      <c r="A180" s="5" t="str">
        <f>IFERROR(__xludf.DUMMYFUNCTION("REGEXEXTRACT(H180, ""s*(.*?)\s*а\)"")"),"Кто это?")</f>
        <v>Кто это?</v>
      </c>
      <c r="B180" s="15">
        <v>2.0</v>
      </c>
      <c r="D180" s="5" t="str">
        <f>IFERROR(__xludf.DUMMYFUNCTION("REGEXREPLACE(REGEXEXTRACT(H180, ""а\)\s*(.*?)\s*б\)""), ""^\s*"", """")"),"Хоблин")</f>
        <v>Хоблин</v>
      </c>
      <c r="E180" s="5" t="str">
        <f>IFERROR(__xludf.DUMMYFUNCTION("REGEXREPLACE(REGEXEXTRACT(H180, ""б\)\s*(.*?)\s*в\)""), ""^\s*"", """")"),"Адский гоблин")</f>
        <v>Адский гоблин</v>
      </c>
      <c r="F180" s="5" t="str">
        <f>IFERROR(__xludf.DUMMYFUNCTION("REGEXREPLACE(REGEXEXTRACT(H180, ""в\)\s*(.*?)\s*г\)""), ""^\s*"", """")"),"Маленький бандит")</f>
        <v>Маленький бандит</v>
      </c>
      <c r="G180" s="5" t="str">
        <f>IFERROR(__xludf.DUMMYFUNCTION("REGEXREPLACE(REGEXEXTRACT(H180, ""г\)\s*(.*)""), ""^\s*"", """")"),"Обитатель недр")</f>
        <v>Обитатель недр</v>
      </c>
      <c r="H180" s="18" t="s">
        <v>186</v>
      </c>
    </row>
    <row r="181">
      <c r="A181" s="5" t="str">
        <f>IFERROR(__xludf.DUMMYFUNCTION("REGEXEXTRACT(H181, ""s*(.*?)\s*а\)"")"),"Кто это?")</f>
        <v>Кто это?</v>
      </c>
      <c r="B181" s="15">
        <v>2.0</v>
      </c>
      <c r="D181" s="5" t="str">
        <f>IFERROR(__xludf.DUMMYFUNCTION("REGEXREPLACE(REGEXEXTRACT(H181, ""а\)\s*(.*?)\s*б\)""), ""^\s*"", """")"),"Варден")</f>
        <v>Варден</v>
      </c>
      <c r="E181" s="5" t="str">
        <f>IFERROR(__xludf.DUMMYFUNCTION("REGEXREPLACE(REGEXEXTRACT(H181, ""б\)\s*(.*?)\s*в\)""), ""^\s*"", """")"),"Глубинный страж")</f>
        <v>Глубинный страж</v>
      </c>
      <c r="F181" s="5" t="str">
        <f>IFERROR(__xludf.DUMMYFUNCTION("REGEXREPLACE(REGEXEXTRACT(H181, ""в\)\s*(.*?)\s*г\)""), ""^\s*"", """")"),"Тюремщик")</f>
        <v>Тюремщик</v>
      </c>
      <c r="G181" s="5" t="str">
        <f>IFERROR(__xludf.DUMMYFUNCTION("REGEXREPLACE(REGEXEXTRACT(H181, ""г\)\s*(.*)""), ""^\s*"", """")"),"Слепой ужас")</f>
        <v>Слепой ужас</v>
      </c>
      <c r="H181" s="18" t="s">
        <v>187</v>
      </c>
    </row>
    <row r="182">
      <c r="A182" s="5" t="str">
        <f>IFERROR(__xludf.DUMMYFUNCTION("REGEXEXTRACT(H182, ""s*(.*?)\s*а\)"")"),"Кто это?")</f>
        <v>Кто это?</v>
      </c>
      <c r="B182" s="15">
        <v>2.0</v>
      </c>
      <c r="D182" s="5" t="str">
        <f>IFERROR(__xludf.DUMMYFUNCTION("REGEXREPLACE(REGEXEXTRACT(H182, ""а\)\s*(.*?)\s*б\)""), ""^\s*"", """")"),"Шалкер")</f>
        <v>Шалкер</v>
      </c>
      <c r="E182" s="5" t="str">
        <f>IFERROR(__xludf.DUMMYFUNCTION("REGEXREPLACE(REGEXEXTRACT(H182, ""б\)\s*(.*?)\s*в\)""), ""^\s*"", """")"),"Парящая коробка")</f>
        <v>Парящая коробка</v>
      </c>
      <c r="F182" s="5" t="str">
        <f>IFERROR(__xludf.DUMMYFUNCTION("REGEXREPLACE(REGEXEXTRACT(H182, ""в\)\s*(.*?)\s*г\)""), ""^\s*"", """")"),"Засадный куб")</f>
        <v>Засадный куб</v>
      </c>
      <c r="G182" s="5" t="str">
        <f>IFERROR(__xludf.DUMMYFUNCTION("REGEXREPLACE(REGEXEXTRACT(H182, ""г\)\s*(.*)""), ""^\s*"", """")"),"Фиолетовый вредитель")</f>
        <v>Фиолетовый вредитель</v>
      </c>
      <c r="H182" s="18" t="s">
        <v>188</v>
      </c>
    </row>
    <row r="183">
      <c r="A183" s="5" t="str">
        <f>IFERROR(__xludf.DUMMYFUNCTION("REGEXEXTRACT(H183, ""s*(.*?)\s*а\)"")"),"Кто это?")</f>
        <v>Кто это?</v>
      </c>
      <c r="B183" s="15">
        <v>2.0</v>
      </c>
      <c r="D183" s="5" t="str">
        <f>IFERROR(__xludf.DUMMYFUNCTION("REGEXREPLACE(REGEXEXTRACT(H183, ""а\)\s*(.*?)\s*б\)""), ""^\s*"", """")"),"Древний страж")</f>
        <v>Древний страж</v>
      </c>
      <c r="E183" s="5" t="str">
        <f>IFERROR(__xludf.DUMMYFUNCTION("REGEXREPLACE(REGEXEXTRACT(H183, ""б\)\s*(.*?)\s*в\)""), ""^\s*"", """")"),"Затопленный робот")</f>
        <v>Затопленный робот</v>
      </c>
      <c r="F183" s="5" t="str">
        <f>IFERROR(__xludf.DUMMYFUNCTION("REGEXREPLACE(REGEXEXTRACT(H183, ""в\)\s*(.*?)\s*г\)""), ""^\s*"", """")"),"Охраник храма")</f>
        <v>Охраник храма</v>
      </c>
      <c r="G183" s="5" t="str">
        <f>IFERROR(__xludf.DUMMYFUNCTION("REGEXREPLACE(REGEXEXTRACT(H183, ""г\)\s*(.*)""), ""^\s*"", """")"),"Подводный босс")</f>
        <v>Подводный босс</v>
      </c>
      <c r="H183" s="18" t="s">
        <v>189</v>
      </c>
    </row>
    <row r="184">
      <c r="A184" s="5" t="str">
        <f>IFERROR(__xludf.DUMMYFUNCTION("REGEXEXTRACT(H184, ""s*(.*?)\s*а\)"")"),"Кто это?")</f>
        <v>Кто это?</v>
      </c>
      <c r="B184" s="15">
        <v>2.0</v>
      </c>
      <c r="D184" s="5" t="str">
        <f>IFERROR(__xludf.DUMMYFUNCTION("REGEXREPLACE(REGEXEXTRACT(H184, ""а\)\s*(.*?)\s*б\)""), ""^\s*"", """")"),"Иссушитель")</f>
        <v>Иссушитель</v>
      </c>
      <c r="E184" s="5" t="str">
        <f>IFERROR(__xludf.DUMMYFUNCTION("REGEXREPLACE(REGEXEXTRACT(H184, ""б\)\s*(.*?)\s*в\)""), ""^\s*"", """")"),"Трехголовый скелет")</f>
        <v>Трехголовый скелет</v>
      </c>
      <c r="F184" s="5" t="str">
        <f>IFERROR(__xludf.DUMMYFUNCTION("REGEXREPLACE(REGEXEXTRACT(H184, ""в\)\s*(.*?)\s*г\)""), ""^\s*"", """")"),"Костяной демон")</f>
        <v>Костяной демон</v>
      </c>
      <c r="G184" s="5" t="str">
        <f>IFERROR(__xludf.DUMMYFUNCTION("REGEXREPLACE(REGEXEXTRACT(H184, ""г\)\s*(.*)""), ""^\s*"", """")"),"Владыка смерти")</f>
        <v>Владыка смерти</v>
      </c>
      <c r="H184" s="18" t="s">
        <v>190</v>
      </c>
    </row>
    <row r="185">
      <c r="A185" s="5" t="str">
        <f>IFERROR(__xludf.DUMMYFUNCTION("REGEXEXTRACT(H185, ""s*(.*?)\s*а\)"")"),"Кто это?")</f>
        <v>Кто это?</v>
      </c>
      <c r="B185" s="15">
        <v>2.0</v>
      </c>
      <c r="D185" s="5" t="str">
        <f>IFERROR(__xludf.DUMMYFUNCTION("REGEXREPLACE(REGEXEXTRACT(H185, ""а\)\s*(.*?)\s*б\)""), ""^\s*"", """")"),"Эндер-дракон")</f>
        <v>Эндер-дракон</v>
      </c>
      <c r="E185" s="5" t="str">
        <f>IFERROR(__xludf.DUMMYFUNCTION("REGEXREPLACE(REGEXEXTRACT(H185, ""б\)\s*(.*?)\s*в\)""), ""^\s*"", """")"),"Краевой дракон")</f>
        <v>Краевой дракон</v>
      </c>
      <c r="F185" s="5" t="str">
        <f>IFERROR(__xludf.DUMMYFUNCTION("REGEXREPLACE(REGEXEXTRACT(H185, ""в\)\s*(.*?)\s*г\)""), ""^\s*"", """")"),"Финальный босс")</f>
        <v>Финальный босс</v>
      </c>
      <c r="G185" s="5" t="str">
        <f>IFERROR(__xludf.DUMMYFUNCTION("REGEXREPLACE(REGEXEXTRACT(H185, ""г\)\s*(.*)""), ""^\s*"", """")"),"Летающий ящер")</f>
        <v>Летающий ящер</v>
      </c>
      <c r="H185" s="18" t="s">
        <v>191</v>
      </c>
    </row>
    <row r="186" ht="45.0" customHeight="1">
      <c r="A186" s="5" t="str">
        <f>IFERROR(__xludf.DUMMYFUNCTION("REGEXEXTRACT(H186, ""s*(.*?)\s*а\)"")"),"Выберите в порядке увеличения количества сердец у мобов:")</f>
        <v>Выберите в порядке увеличения количества сердец у мобов:</v>
      </c>
      <c r="B186" s="15">
        <v>3.0</v>
      </c>
      <c r="D186" s="5" t="str">
        <f>IFERROR(__xludf.DUMMYFUNCTION("REGEXREPLACE(REGEXEXTRACT(H186, ""а\)\s*(.*?)\s*б\)""), ""^\s*"", """")"),"Курица")</f>
        <v>Курица</v>
      </c>
      <c r="E186" s="5" t="str">
        <f>IFERROR(__xludf.DUMMYFUNCTION("REGEXREPLACE(REGEXEXTRACT(H186, ""б\)\s*(.*?)\s*в\)""), ""^\s*"", """")"),"Свинья")</f>
        <v>Свинья</v>
      </c>
      <c r="F186" s="5" t="str">
        <f>IFERROR(__xludf.DUMMYFUNCTION("REGEXREPLACE(REGEXEXTRACT(H186, ""в\)\s*(.*?)\s*г\)""), ""^\s*"", """")"),"Железный голем")</f>
        <v>Железный голем</v>
      </c>
      <c r="G186" s="5" t="str">
        <f>IFERROR(__xludf.DUMMYFUNCTION("REGEXREPLACE(REGEXEXTRACT(H186, ""г\)\s*(.*)""), ""^\s*"", """")"),"Иссушитель")</f>
        <v>Иссушитель</v>
      </c>
      <c r="H186" s="22" t="s">
        <v>192</v>
      </c>
    </row>
    <row r="187" ht="45.0" customHeight="1">
      <c r="A187" s="5" t="str">
        <f>IFERROR(__xludf.DUMMYFUNCTION("REGEXEXTRACT(H187, ""s*(.*?)\s*а\)"")"),"Выберите в порядке увеличения прочности инструментов:")</f>
        <v>Выберите в порядке увеличения прочности инструментов:</v>
      </c>
      <c r="B187" s="15">
        <v>3.0</v>
      </c>
      <c r="D187" s="5" t="str">
        <f>IFERROR(__xludf.DUMMYFUNCTION("REGEXREPLACE(REGEXEXTRACT(H187, ""а\)\s*(.*?)\s*б\)""), ""^\s*"", """")"),"Золотая кирка")</f>
        <v>Золотая кирка</v>
      </c>
      <c r="E187" s="5" t="str">
        <f>IFERROR(__xludf.DUMMYFUNCTION("REGEXREPLACE(REGEXEXTRACT(H187, ""б\)\s*(.*?)\s*в\)""), ""^\s*"", """")"),"Деревянная лопата")</f>
        <v>Деревянная лопата</v>
      </c>
      <c r="F187" s="5" t="str">
        <f>IFERROR(__xludf.DUMMYFUNCTION("REGEXREPLACE(REGEXEXTRACT(H187, ""в\)\s*(.*?)\s*г\)""), ""^\s*"", """")"),"Каменная мотыга")</f>
        <v>Каменная мотыга</v>
      </c>
      <c r="G187" s="5" t="str">
        <f>IFERROR(__xludf.DUMMYFUNCTION("REGEXREPLACE(REGEXEXTRACT(H187, ""г\)\s*(.*)""), ""^\s*"", """")"),"Железный топор")</f>
        <v>Железный топор</v>
      </c>
      <c r="H187" s="21" t="s">
        <v>193</v>
      </c>
    </row>
    <row r="188" ht="45.0" customHeight="1">
      <c r="A188" s="5" t="str">
        <f>IFERROR(__xludf.DUMMYFUNCTION("REGEXEXTRACT(H188, ""s*(.*?)\s*а\)"")"),"Выберите в порядке увеличения времени роста растений:")</f>
        <v>Выберите в порядке увеличения времени роста растений:</v>
      </c>
      <c r="B188" s="15">
        <v>3.0</v>
      </c>
      <c r="D188" s="5" t="str">
        <f>IFERROR(__xludf.DUMMYFUNCTION("REGEXREPLACE(REGEXEXTRACT(H188, ""а\)\s*(.*?)\s*б\)""), ""^\s*"", """")"),"Пшеница")</f>
        <v>Пшеница</v>
      </c>
      <c r="E188" s="5" t="str">
        <f>IFERROR(__xludf.DUMMYFUNCTION("REGEXREPLACE(REGEXEXTRACT(H188, ""б\)\s*(.*?)\s*в\)""), ""^\s*"", """")"),"Морковь")</f>
        <v>Морковь</v>
      </c>
      <c r="F188" s="5" t="str">
        <f>IFERROR(__xludf.DUMMYFUNCTION("REGEXREPLACE(REGEXEXTRACT(H188, ""в\)\s*(.*?)\s*г\)""), ""^\s*"", """")"),"Картофель")</f>
        <v>Картофель</v>
      </c>
      <c r="G188" s="5" t="str">
        <f>IFERROR(__xludf.DUMMYFUNCTION("REGEXREPLACE(REGEXEXTRACT(H188, ""г\)\s*(.*)""), ""^\s*"", """")"),"Свекла")</f>
        <v>Свекла</v>
      </c>
      <c r="H188" s="21" t="s">
        <v>194</v>
      </c>
    </row>
    <row r="189" ht="45.0" customHeight="1">
      <c r="A189" s="5" t="str">
        <f>IFERROR(__xludf.DUMMYFUNCTION("REGEXEXTRACT(H189, ""s*(.*?)\s*а\)"")"),"Выберите в порядке увеличения количества добываемого опыта при убийстве моба:")</f>
        <v>Выберите в порядке увеличения количества добываемого опыта при убийстве моба:</v>
      </c>
      <c r="B189" s="15">
        <v>3.0</v>
      </c>
      <c r="D189" s="5" t="str">
        <f>IFERROR(__xludf.DUMMYFUNCTION("REGEXREPLACE(REGEXEXTRACT(H189, ""а\)\s*(.*?)\s*б\)""), ""^\s*"", """")"),"Курица")</f>
        <v>Курица</v>
      </c>
      <c r="E189" s="5" t="str">
        <f>IFERROR(__xludf.DUMMYFUNCTION("REGEXREPLACE(REGEXEXTRACT(H189, ""б\)\s*(.*?)\s*в\)""), ""^\s*"", """")"),"Зомби")</f>
        <v>Зомби</v>
      </c>
      <c r="F189" s="5" t="str">
        <f>IFERROR(__xludf.DUMMYFUNCTION("REGEXREPLACE(REGEXEXTRACT(H189, ""в\)\s*(.*?)\s*г\)""), ""^\s*"", """")"),"Скелет")</f>
        <v>Скелет</v>
      </c>
      <c r="G189" s="5" t="str">
        <f>IFERROR(__xludf.DUMMYFUNCTION("REGEXREPLACE(REGEXEXTRACT(H189, ""г\)\s*(.*)""), ""^\s*"", """")"),"Эндермен")</f>
        <v>Эндермен</v>
      </c>
      <c r="H189" s="21" t="s">
        <v>195</v>
      </c>
    </row>
    <row r="190" ht="45.0" customHeight="1">
      <c r="A190" s="5" t="str">
        <f>IFERROR(__xludf.DUMMYFUNCTION("REGEXEXTRACT(H190, ""s*(.*?)\s*а\)"")"),"Выберите в порядке увеличения высоты прыжка:")</f>
        <v>Выберите в порядке увеличения высоты прыжка:</v>
      </c>
      <c r="B190" s="15">
        <v>3.0</v>
      </c>
      <c r="D190" s="5" t="str">
        <f>IFERROR(__xludf.DUMMYFUNCTION("REGEXREPLACE(REGEXEXTRACT(H190, ""а\)\s*(.*?)\s*б\)""), ""^\s*"", """")"),"Лягушка")</f>
        <v>Лягушка</v>
      </c>
      <c r="E190" s="5" t="str">
        <f>IFERROR(__xludf.DUMMYFUNCTION("REGEXREPLACE(REGEXEXTRACT(H190, ""б\)\s*(.*?)\s*в\)""), ""^\s*"", """")"),"Кролик")</f>
        <v>Кролик</v>
      </c>
      <c r="F190" s="5" t="str">
        <f>IFERROR(__xludf.DUMMYFUNCTION("REGEXREPLACE(REGEXEXTRACT(H190, ""в\)\s*(.*?)\s*г\)""), ""^\s*"", """")"),"Лошадь")</f>
        <v>Лошадь</v>
      </c>
      <c r="G190" s="5" t="str">
        <f>IFERROR(__xludf.DUMMYFUNCTION("REGEXREPLACE(REGEXEXTRACT(H190, ""г\)\s*(.*)""), ""^\s*"", """")"),"Игрок с зельем прыгучести II")</f>
        <v>Игрок с зельем прыгучести II</v>
      </c>
      <c r="H190" s="21" t="s">
        <v>196</v>
      </c>
    </row>
    <row r="191" ht="45.0" customHeight="1">
      <c r="A191" s="5" t="str">
        <f>IFERROR(__xludf.DUMMYFUNCTION("REGEXEXTRACT(H191, ""s*(.*?)\s*а\)"")"),"Выберите в порядке увеличения прочности брони:")</f>
        <v>Выберите в порядке увеличения прочности брони:</v>
      </c>
      <c r="B191" s="15">
        <v>3.0</v>
      </c>
      <c r="D191" s="5" t="str">
        <f>IFERROR(__xludf.DUMMYFUNCTION("REGEXREPLACE(REGEXEXTRACT(H191, ""а\)\s*(.*?)\s*б\)""), ""^\s*"", """")"),"Кожаный шлем")</f>
        <v>Кожаный шлем</v>
      </c>
      <c r="E191" s="5" t="str">
        <f>IFERROR(__xludf.DUMMYFUNCTION("REGEXREPLACE(REGEXEXTRACT(H191, ""б\)\s*(.*?)\s*в\)""), ""^\s*"", """")"),"Золотой нагрудник")</f>
        <v>Золотой нагрудник</v>
      </c>
      <c r="F191" s="5" t="str">
        <f>IFERROR(__xludf.DUMMYFUNCTION("REGEXREPLACE(REGEXEXTRACT(H191, ""в\)\s*(.*?)\s*г\)""), ""^\s*"", """")"),"Железные поножи")</f>
        <v>Железные поножи</v>
      </c>
      <c r="G191" s="5" t="str">
        <f>IFERROR(__xludf.DUMMYFUNCTION("REGEXREPLACE(REGEXEXTRACT(H191, ""г\)\s*(.*)""), ""^\s*"", """")"),"Алмазные ботинки")</f>
        <v>Алмазные ботинки</v>
      </c>
      <c r="H191" s="21" t="s">
        <v>197</v>
      </c>
    </row>
    <row r="192" ht="45.0" customHeight="1">
      <c r="A192" s="5" t="str">
        <f>IFERROR(__xludf.DUMMYFUNCTION("REGEXEXTRACT(H192, ""s*(.*?)\s*а\)"")"),"Выберите в порядке увеличения скорости передвижения по воде:")</f>
        <v>Выберите в порядке увеличения скорости передвижения по воде:</v>
      </c>
      <c r="B192" s="15">
        <v>3.0</v>
      </c>
      <c r="D192" s="5" t="str">
        <f>IFERROR(__xludf.DUMMYFUNCTION("REGEXREPLACE(REGEXEXTRACT(H192, ""а\)\s*(.*?)\s*б\)""), ""^\s*"", """")"),"Игрок")</f>
        <v>Игрок</v>
      </c>
      <c r="E192" s="5" t="str">
        <f>IFERROR(__xludf.DUMMYFUNCTION("REGEXREPLACE(REGEXEXTRACT(H192, ""б\)\s*(.*?)\s*в\)""), ""^\s*"", """")"),"Лодка")</f>
        <v>Лодка</v>
      </c>
      <c r="F192" s="5" t="str">
        <f>IFERROR(__xludf.DUMMYFUNCTION("REGEXREPLACE(REGEXEXTRACT(H192, ""в\)\s*(.*?)\s*г\)""), ""^\s*"", """")"),"Дельфин")</f>
        <v>Дельфин</v>
      </c>
      <c r="G192" s="5" t="str">
        <f>IFERROR(__xludf.DUMMYFUNCTION("REGEXREPLACE(REGEXEXTRACT(H192, ""г\)\s*(.*)""), ""^\s*"", """")"),"Игрок с зачарованными ботинками на “Ледоход”")</f>
        <v>Игрок с зачарованными ботинками на “Ледоход”</v>
      </c>
      <c r="H192" s="21" t="s">
        <v>198</v>
      </c>
    </row>
    <row r="193" ht="45.0" customHeight="1">
      <c r="A193" s="5" t="str">
        <f>IFERROR(__xludf.DUMMYFUNCTION("REGEXEXTRACT(H193, ""s*(.*?)\s*а\)"")"),"Выберите в порядке уменьшенья количества блоков, разрушаемых динамитом:")</f>
        <v>Выберите в порядке уменьшенья количества блоков, разрушаемых динамитом:</v>
      </c>
      <c r="B193" s="15">
        <v>3.0</v>
      </c>
      <c r="D193" s="5" t="str">
        <f>IFERROR(__xludf.DUMMYFUNCTION("REGEXREPLACE(REGEXEXTRACT(H193, ""а\)\s*(.*?)\s*б\)""), ""^\s*"", """")"),"Земля")</f>
        <v>Земля</v>
      </c>
      <c r="E193" s="5" t="str">
        <f>IFERROR(__xludf.DUMMYFUNCTION("REGEXREPLACE(REGEXEXTRACT(H193, ""б\)\s*(.*?)\s*в\)""), ""^\s*"", """")"),"Камень")</f>
        <v>Камень</v>
      </c>
      <c r="F193" s="5" t="str">
        <f>IFERROR(__xludf.DUMMYFUNCTION("REGEXREPLACE(REGEXEXTRACT(H193, ""в\)\s*(.*?)\s*г\)""), ""^\s*"", """")"),"Обсидиан")</f>
        <v>Обсидиан</v>
      </c>
      <c r="G193" s="5" t="str">
        <f>IFERROR(__xludf.DUMMYFUNCTION("REGEXREPLACE(REGEXEXTRACT(H193, ""г\)\s*(.*)""), ""^\s*"", """")"),"Коренная порода")</f>
        <v>Коренная порода</v>
      </c>
      <c r="H193" s="22" t="s">
        <v>199</v>
      </c>
    </row>
    <row r="194" ht="45.0" customHeight="1">
      <c r="A194" s="5" t="str">
        <f>IFERROR(__xludf.DUMMYFUNCTION("REGEXEXTRACT(H194, ""s*(.*?)\s*а\)"")"),"Выберите в порядке увеличения силы взрыва:")</f>
        <v>Выберите в порядке увеличения силы взрыва:</v>
      </c>
      <c r="B194" s="15">
        <v>3.0</v>
      </c>
      <c r="D194" s="5" t="str">
        <f>IFERROR(__xludf.DUMMYFUNCTION("REGEXREPLACE(REGEXEXTRACT(H194, ""а\)\s*(.*?)\s*б\)""), ""^\s*"", """")"),"Крипер")</f>
        <v>Крипер</v>
      </c>
      <c r="E194" s="5" t="str">
        <f>IFERROR(__xludf.DUMMYFUNCTION("REGEXREPLACE(REGEXEXTRACT(H194, ""б\)\s*(.*?)\s*в\)""), ""^\s*"", """")"),"Заряженный крипер")</f>
        <v>Заряженный крипер</v>
      </c>
      <c r="F194" s="5" t="str">
        <f>IFERROR(__xludf.DUMMYFUNCTION("REGEXREPLACE(REGEXEXTRACT(H194, ""в\)\s*(.*?)\s*г\)""), ""^\s*"", """")"),"Кровать в Нижнем мире")</f>
        <v>Кровать в Нижнем мире</v>
      </c>
      <c r="G194" s="5" t="str">
        <f>IFERROR(__xludf.DUMMYFUNCTION("REGEXREPLACE(REGEXEXTRACT(H194, ""г\)\s*(.*)""), ""^\s*"", """")"),"Спавн Исушителя")</f>
        <v>Спавн Исушителя</v>
      </c>
      <c r="H194" s="22" t="s">
        <v>200</v>
      </c>
    </row>
    <row r="195" ht="45.0" customHeight="1">
      <c r="A195" s="5" t="str">
        <f>IFERROR(__xludf.DUMMYFUNCTION("REGEXEXTRACT(H195, ""s*(.*?)\s*а\)"")"),"Выберите в порядке увеличения уровня освещенности:")</f>
        <v>Выберите в порядке увеличения уровня освещенности:</v>
      </c>
      <c r="B195" s="15">
        <v>3.0</v>
      </c>
      <c r="D195" s="5" t="str">
        <f>IFERROR(__xludf.DUMMYFUNCTION("REGEXREPLACE(REGEXEXTRACT(H195, ""а\)\s*(.*?)\s*б\)""), ""^\s*"", """")"),"Земля")</f>
        <v>Земля</v>
      </c>
      <c r="E195" s="5" t="str">
        <f>IFERROR(__xludf.DUMMYFUNCTION("REGEXREPLACE(REGEXEXTRACT(H195, ""б\)\s*(.*?)\s*в\)""), ""^\s*"", """")"),"Факел")</f>
        <v>Факел</v>
      </c>
      <c r="F195" s="5" t="str">
        <f>IFERROR(__xludf.DUMMYFUNCTION("REGEXREPLACE(REGEXEXTRACT(H195, ""в\)\s*(.*?)\s*г\)""), ""^\s*"", """")"),"Лампа из редстоуна")</f>
        <v>Лампа из редстоуна</v>
      </c>
      <c r="G195" s="5" t="str">
        <f>IFERROR(__xludf.DUMMYFUNCTION("REGEXREPLACE(REGEXEXTRACT(H195, ""г\)\s*(.*)""), ""^\s*"", """")"),"Маяк")</f>
        <v>Маяк</v>
      </c>
      <c r="H195" s="21" t="s">
        <v>201</v>
      </c>
    </row>
    <row r="196" ht="45.0" customHeight="1">
      <c r="A196" s="5" t="str">
        <f>IFERROR(__xludf.DUMMYFUNCTION("REGEXEXTRACT(H196, ""s*(.*?)\s*а\)"")"),"Выберите в порядке увеличения дальности слышимости Вардена:")</f>
        <v>Выберите в порядке увеличения дальности слышимости Вардена:</v>
      </c>
      <c r="B196" s="15">
        <v>3.0</v>
      </c>
      <c r="D196" s="5" t="str">
        <f>IFERROR(__xludf.DUMMYFUNCTION("REGEXREPLACE(REGEXEXTRACT(H196, ""а\)\s*(.*?)\s*б\)""), ""^\s*"", """")"),"Шаг")</f>
        <v>Шаг</v>
      </c>
      <c r="E196" s="5" t="str">
        <f>IFERROR(__xludf.DUMMYFUNCTION("REGEXREPLACE(REGEXEXTRACT(H196, ""б\)\s*(.*?)\s*в\)""), ""^\s*"", """")"),"Бросок снежка")</f>
        <v>Бросок снежка</v>
      </c>
      <c r="F196" s="5" t="str">
        <f>IFERROR(__xludf.DUMMYFUNCTION("REGEXREPLACE(REGEXEXTRACT(H196, ""в\)\s*(.*?)\s*г\)""), ""^\s*"", """")"),"Открытие сундука")</f>
        <v>Открытие сундука</v>
      </c>
      <c r="G196" s="5" t="str">
        <f>IFERROR(__xludf.DUMMYFUNCTION("REGEXREPLACE(REGEXEXTRACT(H196, ""г\)\s*(.*)""), ""^\s*"", """")"),"Падение на землю")</f>
        <v>Падение на землю</v>
      </c>
      <c r="H196" s="21" t="s">
        <v>202</v>
      </c>
    </row>
    <row r="197" ht="45.0" customHeight="1">
      <c r="A197" s="5" t="str">
        <f>IFERROR(__xludf.DUMMYFUNCTION("REGEXEXTRACT(H197, ""s*(.*?)\s*а\)"")"),"Выберите в порядке увеличения сопротивляемости к взрыву:")</f>
        <v>Выберите в порядке увеличения сопротивляемости к взрыву:</v>
      </c>
      <c r="B197" s="15">
        <v>3.0</v>
      </c>
      <c r="D197" s="5" t="str">
        <f>IFERROR(__xludf.DUMMYFUNCTION("REGEXREPLACE(REGEXEXTRACT(H197, ""а\)\s*(.*?)\s*б\)""), ""^\s*"", """")"),"Стекло")</f>
        <v>Стекло</v>
      </c>
      <c r="E197" s="5" t="str">
        <f>IFERROR(__xludf.DUMMYFUNCTION("REGEXREPLACE(REGEXEXTRACT(H197, ""б\)\s*(.*?)\s*в\)""), ""^\s*"", """")"),"Камень")</f>
        <v>Камень</v>
      </c>
      <c r="F197" s="5" t="str">
        <f>IFERROR(__xludf.DUMMYFUNCTION("REGEXREPLACE(REGEXEXTRACT(H197, ""в\)\s*(.*?)\s*г\)""), ""^\s*"", """")"),"Обсидиан")</f>
        <v>Обсидиан</v>
      </c>
      <c r="G197" s="5" t="str">
        <f>IFERROR(__xludf.DUMMYFUNCTION("REGEXREPLACE(REGEXEXTRACT(H197, ""г\)\s*(.*)""), ""^\s*"", """")"),"Коренная порода")</f>
        <v>Коренная порода</v>
      </c>
      <c r="H197" s="21" t="s">
        <v>203</v>
      </c>
    </row>
    <row r="198" ht="45.0" customHeight="1">
      <c r="A198" s="5" t="str">
        <f>IFERROR(__xludf.DUMMYFUNCTION("REGEXEXTRACT(H198, ""s*(.*?)\s*а\)"")"),"Выберите в порядке увеличения голода, восстанавливаемого при поедании:")</f>
        <v>Выберите в порядке увеличения голода, восстанавливаемого при поедании:</v>
      </c>
      <c r="B198" s="15">
        <v>3.0</v>
      </c>
      <c r="D198" s="5" t="str">
        <f>IFERROR(__xludf.DUMMYFUNCTION("REGEXREPLACE(REGEXEXTRACT(H198, ""а\)\s*(.*?)\s*б\)""), ""^\s*"", """")"),"Яблоко")</f>
        <v>Яблоко</v>
      </c>
      <c r="E198" s="5" t="str">
        <f>IFERROR(__xludf.DUMMYFUNCTION("REGEXREPLACE(REGEXEXTRACT(H198, ""б\)\s*(.*?)\s*в\)""), ""^\s*"", """")"),"Хлеб")</f>
        <v>Хлеб</v>
      </c>
      <c r="F198" s="5" t="str">
        <f>IFERROR(__xludf.DUMMYFUNCTION("REGEXREPLACE(REGEXEXTRACT(H198, ""в\)\s*(.*?)\s*г\)""), ""^\s*"", """")"),"Стейк")</f>
        <v>Стейк</v>
      </c>
      <c r="G198" s="5" t="str">
        <f>IFERROR(__xludf.DUMMYFUNCTION("REGEXREPLACE(REGEXEXTRACT(H198, ""г\)\s*(.*)""), ""^\s*"", """")"),"Тушоный кролик")</f>
        <v>Тушоный кролик</v>
      </c>
      <c r="H198" s="22" t="s">
        <v>204</v>
      </c>
    </row>
    <row r="199" ht="45.0" customHeight="1">
      <c r="A199" s="5" t="str">
        <f>IFERROR(__xludf.DUMMYFUNCTION("REGEXEXTRACT(H199, ""s*(.*?)\s*а\)"")"),"Выберите в порядке увеличения насыщения, восстанавливаемого при поедании:")</f>
        <v>Выберите в порядке увеличения насыщения, восстанавливаемого при поедании:</v>
      </c>
      <c r="B199" s="15">
        <v>3.0</v>
      </c>
      <c r="D199" s="5" t="str">
        <f>IFERROR(__xludf.DUMMYFUNCTION("REGEXREPLACE(REGEXEXTRACT(H199, ""а\)\s*(.*?)\s*б\)""), ""^\s*"", """")"),"Сырая курица")</f>
        <v>Сырая курица</v>
      </c>
      <c r="E199" s="5" t="str">
        <f>IFERROR(__xludf.DUMMYFUNCTION("REGEXREPLACE(REGEXEXTRACT(H199, ""б\)\s*(.*?)\s*в\)""), ""^\s*"", """")"),"Печёная картошка")</f>
        <v>Печёная картошка</v>
      </c>
      <c r="F199" s="5" t="str">
        <f>IFERROR(__xludf.DUMMYFUNCTION("REGEXREPLACE(REGEXEXTRACT(H199, ""в\)\s*(.*?)\s*г\)""), ""^\s*"", """")"),"Стейк")</f>
        <v>Стейк</v>
      </c>
      <c r="G199" s="5" t="str">
        <f>IFERROR(__xludf.DUMMYFUNCTION("REGEXREPLACE(REGEXEXTRACT(H199, ""г\)\s*(.*)""), ""^\s*"", """")"),"Золотая морковь")</f>
        <v>Золотая морковь</v>
      </c>
      <c r="H199" s="22" t="s">
        <v>205</v>
      </c>
    </row>
    <row r="200" ht="45.0" customHeight="1">
      <c r="A200" s="5" t="str">
        <f>IFERROR(__xludf.DUMMYFUNCTION("REGEXEXTRACT(H200, ""s*(.*?)\s*а\)"")"),"Выберите в порядке увеличения времени, необходимого для выплавки одного предмета в плавильной печи:")</f>
        <v>Выберите в порядке увеличения времени, необходимого для выплавки одного предмета в плавильной печи:</v>
      </c>
      <c r="B200" s="15">
        <v>3.0</v>
      </c>
      <c r="D200" s="5" t="str">
        <f>IFERROR(__xludf.DUMMYFUNCTION("REGEXREPLACE(REGEXEXTRACT(H200, ""а\)\s*(.*?)\s*б\)""), ""^\s*"", """")"),"Табличка")</f>
        <v>Табличка</v>
      </c>
      <c r="E200" s="5" t="str">
        <f>IFERROR(__xludf.DUMMYFUNCTION("REGEXREPLACE(REGEXEXTRACT(H200, ""б\)\s*(.*?)\s*в\)""), ""^\s*"", """")"),"Уголь")</f>
        <v>Уголь</v>
      </c>
      <c r="F200" s="5" t="str">
        <f>IFERROR(__xludf.DUMMYFUNCTION("REGEXREPLACE(REGEXEXTRACT(H200, ""в\)\s*(.*?)\s*г\)""), ""^\s*"", """")"),"Блок сушоной ламинарии")</f>
        <v>Блок сушоной ламинарии</v>
      </c>
      <c r="G200" s="5" t="str">
        <f>IFERROR(__xludf.DUMMYFUNCTION("REGEXREPLACE(REGEXEXTRACT(H200, ""г\)\s*(.*)""), ""^\s*"", """")"),"Ведро лавы")</f>
        <v>Ведро лавы</v>
      </c>
      <c r="H200" s="22" t="s">
        <v>206</v>
      </c>
    </row>
    <row r="201" ht="45.0" customHeight="1">
      <c r="A201" s="5" t="str">
        <f>IFERROR(__xludf.DUMMYFUNCTION("REGEXEXTRACT(H201, ""s*(.*?)\s*а\)"")"),"Выберите в порядке увеличения частоты спавна моба:")</f>
        <v>Выберите в порядке увеличения частоты спавна моба:</v>
      </c>
      <c r="B201" s="15">
        <v>3.0</v>
      </c>
      <c r="D201" s="5" t="str">
        <f>IFERROR(__xludf.DUMMYFUNCTION("REGEXREPLACE(REGEXEXTRACT(H201, ""а\)\s*(.*?)\s*б\)""), ""^\s*"", """")"),"Курица")</f>
        <v>Курица</v>
      </c>
      <c r="E201" s="5" t="str">
        <f>IFERROR(__xludf.DUMMYFUNCTION("REGEXREPLACE(REGEXEXTRACT(H201, ""б\)\s*(.*?)\s*в\)""), ""^\s*"", """")"),"Зомби")</f>
        <v>Зомби</v>
      </c>
      <c r="F201" s="5" t="str">
        <f>IFERROR(__xludf.DUMMYFUNCTION("REGEXREPLACE(REGEXEXTRACT(H201, ""в\)\s*(.*?)\s*г\)""), ""^\s*"", """")"),"Эндермен")</f>
        <v>Эндермен</v>
      </c>
      <c r="G201" s="5" t="str">
        <f>IFERROR(__xludf.DUMMYFUNCTION("REGEXREPLACE(REGEXEXTRACT(H201, ""г\)\s*(.*)""), ""^\s*"", """")"),"Варден")</f>
        <v>Варден</v>
      </c>
      <c r="H201" s="22" t="s">
        <v>207</v>
      </c>
    </row>
    <row r="202" ht="45.0" customHeight="1">
      <c r="A202" s="5" t="str">
        <f>IFERROR(__xludf.DUMMYFUNCTION("REGEXEXTRACT(H202, ""s*(.*?)\s*а\)"")"),"Выберите в порядке увеличения времени, которое нужно для прохождения одного блока в плавании:")</f>
        <v>Выберите в порядке увеличения времени, которое нужно для прохождения одного блока в плавании:</v>
      </c>
      <c r="B202" s="15">
        <v>3.0</v>
      </c>
      <c r="D202" s="5" t="str">
        <f>IFERROR(__xludf.DUMMYFUNCTION("REGEXREPLACE(REGEXEXTRACT(H202, ""а\)\s*(.*?)\s*б\)""), ""^\s*"", """")"),"Без эффектов")</f>
        <v>Без эффектов</v>
      </c>
      <c r="E202" s="5" t="str">
        <f>IFERROR(__xludf.DUMMYFUNCTION("REGEXREPLACE(REGEXEXTRACT(H202, ""б\)\s*(.*?)\s*в\)""), ""^\s*"", """")"),"Зелье скорости I")</f>
        <v>Зелье скорости I</v>
      </c>
      <c r="F202" s="5" t="str">
        <f>IFERROR(__xludf.DUMMYFUNCTION("REGEXREPLACE(REGEXEXTRACT(H202, ""в\)\s*(.*?)\s*г\)""), ""^\s*"", """")"),"Течение дельфина")</f>
        <v>Течение дельфина</v>
      </c>
      <c r="G202" s="5" t="str">
        <f>IFERROR(__xludf.DUMMYFUNCTION("REGEXREPLACE(REGEXEXTRACT(H202, ""г\)\s*(.*)""), ""^\s*"", """")"),"Течение дельфина + зелье скорости II")</f>
        <v>Течение дельфина + зелье скорости II</v>
      </c>
      <c r="H202" s="21" t="s">
        <v>208</v>
      </c>
    </row>
    <row r="203" ht="45.0" customHeight="1">
      <c r="A203" s="5" t="str">
        <f>IFERROR(__xludf.DUMMYFUNCTION("REGEXEXTRACT(H203, ""s*(.*?)\s*а\)"")"),"Выберите в порядке увеличения длительности нахождения под водой без ущерба:")</f>
        <v>Выберите в порядке увеличения длительности нахождения под водой без ущерба:</v>
      </c>
      <c r="B203" s="15">
        <v>3.0</v>
      </c>
      <c r="D203" s="5" t="str">
        <f>IFERROR(__xludf.DUMMYFUNCTION("REGEXREPLACE(REGEXEXTRACT(H203, ""а\)\s*(.*?)\s*б\)""), ""^\s*"", """")"),"Без всего")</f>
        <v>Без всего</v>
      </c>
      <c r="E203" s="5" t="str">
        <f>IFERROR(__xludf.DUMMYFUNCTION("REGEXREPLACE(REGEXEXTRACT(H203, ""б\)\s*(.*?)\s*в\)""), ""^\s*"", """")"),"С зачарованным шлемом “Дыхание I”")</f>
        <v>С зачарованным шлемом “Дыхание I”</v>
      </c>
      <c r="F203" s="5" t="str">
        <f>IFERROR(__xludf.DUMMYFUNCTION("REGEXREPLACE(REGEXEXTRACT(H203, ""в\)\s*(.*?)\s*г\)""), ""^\s*"", """")"),"С зельем дыхания")</f>
        <v>С зельем дыхания</v>
      </c>
      <c r="G203" s="5" t="str">
        <f>IFERROR(__xludf.DUMMYFUNCTION("REGEXREPLACE(REGEXEXTRACT(H203, ""г\)\s*(.*)""), ""^\s*"", """")"),"С раковиной наутилуса")</f>
        <v>С раковиной наутилуса</v>
      </c>
      <c r="H203" s="22" t="s">
        <v>209</v>
      </c>
    </row>
    <row r="204" ht="45.0" customHeight="1">
      <c r="A204" s="5" t="str">
        <f>IFERROR(__xludf.DUMMYFUNCTION("REGEXEXTRACT(H204, ""s*(.*?)\s*а\)"")"),"Выберите в порядке увеличения редкости нахождения структуры:")</f>
        <v>Выберите в порядке увеличения редкости нахождения структуры:</v>
      </c>
      <c r="B204" s="15">
        <v>3.0</v>
      </c>
      <c r="D204" s="5" t="str">
        <f>IFERROR(__xludf.DUMMYFUNCTION("REGEXREPLACE(REGEXEXTRACT(H204, ""а\)\s*(.*?)\s*б\)""), ""^\s*"", """")"),"Деревня")</f>
        <v>Деревня</v>
      </c>
      <c r="E204" s="5" t="str">
        <f>IFERROR(__xludf.DUMMYFUNCTION("REGEXREPLACE(REGEXEXTRACT(H204, ""б\)\s*(.*?)\s*в\)""), ""^\s*"", """")"),"Заброшенная шахта")</f>
        <v>Заброшенная шахта</v>
      </c>
      <c r="F204" s="5" t="str">
        <f>IFERROR(__xludf.DUMMYFUNCTION("REGEXREPLACE(REGEXEXTRACT(H204, ""в\)\s*(.*?)\s*г\)""), ""^\s*"", """")"),"Крепость")</f>
        <v>Крепость</v>
      </c>
      <c r="G204" s="5" t="str">
        <f>IFERROR(__xludf.DUMMYFUNCTION("REGEXREPLACE(REGEXEXTRACT(H204, ""г\)\s*(.*)""), ""^\s*"", """")"),"Подводный монумент")</f>
        <v>Подводный монумент</v>
      </c>
      <c r="H204" s="21" t="s">
        <v>210</v>
      </c>
    </row>
    <row r="205" ht="45.0" customHeight="1">
      <c r="A205" s="5" t="str">
        <f>IFERROR(__xludf.DUMMYFUNCTION("REGEXEXTRACT(H205, ""s*(.*?)\s*а\)"")"),"Выберите в порядке увеличения дальности полёта стрелы:")</f>
        <v>Выберите в порядке увеличения дальности полёта стрелы:</v>
      </c>
      <c r="B205" s="15">
        <v>3.0</v>
      </c>
      <c r="D205" s="5" t="str">
        <f>IFERROR(__xludf.DUMMYFUNCTION("REGEXREPLACE(REGEXEXTRACT(H205, ""а\)\s*(.*?)\s*б\)""), ""^\s*"", """")"),"Обычный лук")</f>
        <v>Обычный лук</v>
      </c>
      <c r="E205" s="5" t="str">
        <f>IFERROR(__xludf.DUMMYFUNCTION("REGEXREPLACE(REGEXEXTRACT(H205, ""б\)\s*(.*?)\s*в\)""), ""^\s*"", """")"),"Лук + сила I")</f>
        <v>Лук + сила I</v>
      </c>
      <c r="F205" s="5" t="str">
        <f>IFERROR(__xludf.DUMMYFUNCTION("REGEXREPLACE(REGEXEXTRACT(H205, ""в\)\s*(.*?)\s*г\)""), ""^\s*"", """")"),"Арбалет")</f>
        <v>Арбалет</v>
      </c>
      <c r="G205" s="5" t="str">
        <f>IFERROR(__xludf.DUMMYFUNCTION("REGEXREPLACE(REGEXEXTRACT(H205, ""г\)\s*(.*)""), ""^\s*"", """")"),"Арбалет + фейерверк")</f>
        <v>Арбалет + фейерверк</v>
      </c>
      <c r="H205" s="21" t="s">
        <v>211</v>
      </c>
    </row>
    <row r="206" ht="45.0" customHeight="1">
      <c r="A206" s="5" t="str">
        <f>IFERROR(__xludf.DUMMYFUNCTION("REGEXEXTRACT(H206, ""s*(.*?)\s*а\)"")"),"Выберите в порядке увеличения необходимого времени для приготовления пищи на костре:")</f>
        <v>Выберите в порядке увеличения необходимого времени для приготовления пищи на костре:</v>
      </c>
      <c r="B206" s="15">
        <v>3.0</v>
      </c>
      <c r="D206" s="5" t="str">
        <f>IFERROR(__xludf.DUMMYFUNCTION("REGEXREPLACE(REGEXEXTRACT(H206, ""а\)\s*(.*?)\s*б\)""), ""^\s*"", """")"),"Курица")</f>
        <v>Курица</v>
      </c>
      <c r="E206" s="5" t="str">
        <f>IFERROR(__xludf.DUMMYFUNCTION("REGEXREPLACE(REGEXEXTRACT(H206, ""б\)\s*(.*?)\s*в\)""), ""^\s*"", """")"),"Свинина")</f>
        <v>Свинина</v>
      </c>
      <c r="F206" s="5" t="str">
        <f>IFERROR(__xludf.DUMMYFUNCTION("REGEXREPLACE(REGEXEXTRACT(H206, ""в\)\s*(.*?)\s*г\)""), ""^\s*"", """")"),"Баранина")</f>
        <v>Баранина</v>
      </c>
      <c r="G206" s="5" t="str">
        <f>IFERROR(__xludf.DUMMYFUNCTION("REGEXREPLACE(REGEXEXTRACT(H206, ""г\)\s*(.*)""), ""^\s*"", """")"),"Крольчатина")</f>
        <v>Крольчатина</v>
      </c>
      <c r="H206" s="21" t="s">
        <v>212</v>
      </c>
    </row>
    <row r="207" ht="45.0" customHeight="1">
      <c r="A207" s="5" t="str">
        <f>IFERROR(__xludf.DUMMYFUNCTION("REGEXEXTRACT(H207, ""s*(.*?)\s*а\)"")"),"Выберите в порядке увеличения скорости передвижения по льду:")</f>
        <v>Выберите в порядке увеличения скорости передвижения по льду:</v>
      </c>
      <c r="B207" s="15">
        <v>3.0</v>
      </c>
      <c r="D207" s="5" t="str">
        <f>IFERROR(__xludf.DUMMYFUNCTION("REGEXREPLACE(REGEXEXTRACT(H207, ""а\)\s*(.*?)\s*б\)""), ""^\s*"", """")"),"Без ботинок")</f>
        <v>Без ботинок</v>
      </c>
      <c r="E207" s="5" t="str">
        <f>IFERROR(__xludf.DUMMYFUNCTION("REGEXREPLACE(REGEXEXTRACT(H207, ""б\)\s*(.*?)\s*в\)""), ""^\s*"", """")"),"Обычные ботинки")</f>
        <v>Обычные ботинки</v>
      </c>
      <c r="F207" s="5" t="str">
        <f>IFERROR(__xludf.DUMMYFUNCTION("REGEXREPLACE(REGEXEXTRACT(H207, ""в\)\s*(.*?)\s*г\)""), ""^\s*"", """")"),"Ботинки с “Ледоходом I”")</f>
        <v>Ботинки с “Ледоходом I”</v>
      </c>
      <c r="G207" s="5" t="str">
        <f>IFERROR(__xludf.DUMMYFUNCTION("REGEXREPLACE(REGEXEXTRACT(H207, ""г\)\s*(.*)""), ""^\s*"", """")"),"Ботинки с “Ледоходом II”")</f>
        <v>Ботинки с “Ледоходом II”</v>
      </c>
      <c r="H207" s="21" t="s">
        <v>213</v>
      </c>
    </row>
    <row r="208" ht="45.0" customHeight="1">
      <c r="A208" s="5" t="str">
        <f>IFERROR(__xludf.DUMMYFUNCTION("REGEXEXTRACT(H208, ""s*(.*?)\s*а\)"")"),"Выберите в порядке увеличения количества дней, необходимых для созревания урожая:")</f>
        <v>Выберите в порядке увеличения количества дней, необходимых для созревания урожая:</v>
      </c>
      <c r="B208" s="15">
        <v>3.0</v>
      </c>
      <c r="D208" s="5" t="str">
        <f>IFERROR(__xludf.DUMMYFUNCTION("REGEXREPLACE(REGEXEXTRACT(H208, ""а\)\s*(.*?)\s*б\)""), ""^\s*"", """")"),"Пшеница")</f>
        <v>Пшеница</v>
      </c>
      <c r="E208" s="5" t="str">
        <f>IFERROR(__xludf.DUMMYFUNCTION("REGEXREPLACE(REGEXEXTRACT(H208, ""б\)\s*(.*?)\s*в\)""), ""^\s*"", """")"),"Морковь")</f>
        <v>Морковь</v>
      </c>
      <c r="F208" s="5" t="str">
        <f>IFERROR(__xludf.DUMMYFUNCTION("REGEXREPLACE(REGEXEXTRACT(H208, ""в\)\s*(.*?)\s*г\)""), ""^\s*"", """")"),"Тыква")</f>
        <v>Тыква</v>
      </c>
      <c r="G208" s="5" t="str">
        <f>IFERROR(__xludf.DUMMYFUNCTION("REGEXREPLACE(REGEXEXTRACT(H208, ""г\)\s*(.*)""), ""^\s*"", """")"),"Арбуз")</f>
        <v>Арбуз</v>
      </c>
      <c r="H208" s="21" t="s">
        <v>214</v>
      </c>
    </row>
    <row r="209" ht="45.0" customHeight="1">
      <c r="A209" s="5" t="str">
        <f>IFERROR(__xludf.DUMMYFUNCTION("REGEXEXTRACT(H209, ""s*(.*?)\s*а\)"")"),"Выберите в порядке увеличения количества лута в сундуках:")</f>
        <v>Выберите в порядке увеличения количества лута в сундуках:</v>
      </c>
      <c r="B209" s="15">
        <v>3.0</v>
      </c>
      <c r="D209" s="5" t="str">
        <f>IFERROR(__xludf.DUMMYFUNCTION("REGEXREPLACE(REGEXEXTRACT(H209, ""а\)\s*(.*?)\s*б\)""), ""^\s*"", """")"),"В деревне")</f>
        <v>В деревне</v>
      </c>
      <c r="E209" s="5" t="str">
        <f>IFERROR(__xludf.DUMMYFUNCTION("REGEXREPLACE(REGEXEXTRACT(H209, ""б\)\s*(.*?)\s*в\)""), ""^\s*"", """")"),"В заброшенной шахте")</f>
        <v>В заброшенной шахте</v>
      </c>
      <c r="F209" s="5" t="str">
        <f>IFERROR(__xludf.DUMMYFUNCTION("REGEXREPLACE(REGEXEXTRACT(H209, ""в\)\s*(.*?)\s*г\)""), ""^\s*"", """")"),"В крепости")</f>
        <v>В крепости</v>
      </c>
      <c r="G209" s="5" t="str">
        <f>IFERROR(__xludf.DUMMYFUNCTION("REGEXREPLACE(REGEXEXTRACT(H209, ""г\)\s*(.*)""), ""^\s*"", """")"),"В сокровищнице Древнего города")</f>
        <v>В сокровищнице Древнего города</v>
      </c>
      <c r="H209" s="21" t="s">
        <v>215</v>
      </c>
    </row>
    <row r="210" ht="45.0" customHeight="1">
      <c r="A210" s="5" t="str">
        <f>IFERROR(__xludf.DUMMYFUNCTION("REGEXEXTRACT(H210, ""s*(.*?)\s*а\)"")"),"Выберите в порядке увеличения прочности построек из блоков:")</f>
        <v>Выберите в порядке увеличения прочности построек из блоков:</v>
      </c>
      <c r="B210" s="15">
        <v>3.0</v>
      </c>
      <c r="D210" s="5" t="str">
        <f>IFERROR(__xludf.DUMMYFUNCTION("REGEXREPLACE(REGEXEXTRACT(H210, ""а\)\s*(.*?)\s*б\)""), ""^\s*"", """")"),"Земляная хижина")</f>
        <v>Земляная хижина</v>
      </c>
      <c r="E210" s="5" t="str">
        <f>IFERROR(__xludf.DUMMYFUNCTION("REGEXREPLACE(REGEXEXTRACT(H210, ""б\)\s*(.*?)\s*в\)""), ""^\s*"", """")"),"Деревянный дом")</f>
        <v>Деревянный дом</v>
      </c>
      <c r="F210" s="5" t="str">
        <f>IFERROR(__xludf.DUMMYFUNCTION("REGEXREPLACE(REGEXEXTRACT(H210, ""в\)\s*(.*?)\s*г\)""), ""^\s*"", """")"),"Каменный замок")</f>
        <v>Каменный замок</v>
      </c>
      <c r="G210" s="5" t="str">
        <f>IFERROR(__xludf.DUMMYFUNCTION("REGEXREPLACE(REGEXEXTRACT(H210, ""г\)\s*(.*)""), ""^\s*"", """")"),"Бункер из обсидиана")</f>
        <v>Бункер из обсидиана</v>
      </c>
      <c r="H210" s="21" t="s">
        <v>216</v>
      </c>
    </row>
    <row r="211">
      <c r="H211" s="24"/>
    </row>
    <row r="212">
      <c r="H212" s="24"/>
    </row>
    <row r="213">
      <c r="H213" s="24"/>
    </row>
    <row r="214">
      <c r="H214" s="24"/>
    </row>
    <row r="215">
      <c r="H215" s="24"/>
    </row>
    <row r="216">
      <c r="H216" s="24"/>
    </row>
    <row r="217">
      <c r="H217" s="24"/>
    </row>
    <row r="218">
      <c r="H218" s="24"/>
    </row>
    <row r="219">
      <c r="H219" s="24"/>
    </row>
    <row r="220">
      <c r="H220" s="24"/>
    </row>
    <row r="221">
      <c r="H221" s="24"/>
    </row>
    <row r="222">
      <c r="H222" s="24"/>
    </row>
    <row r="223">
      <c r="H223" s="24"/>
    </row>
    <row r="224">
      <c r="H224" s="24"/>
    </row>
    <row r="225">
      <c r="H225" s="24"/>
    </row>
    <row r="226">
      <c r="H226" s="24"/>
    </row>
    <row r="227">
      <c r="H227" s="24"/>
    </row>
    <row r="228">
      <c r="H228" s="24"/>
    </row>
    <row r="229">
      <c r="H229" s="24"/>
    </row>
    <row r="230">
      <c r="H230" s="24"/>
    </row>
    <row r="231">
      <c r="H231" s="24"/>
    </row>
    <row r="232">
      <c r="H232" s="24"/>
    </row>
    <row r="233">
      <c r="H233" s="24"/>
    </row>
    <row r="234">
      <c r="H234" s="24"/>
    </row>
    <row r="235">
      <c r="H235" s="24"/>
    </row>
    <row r="236">
      <c r="H236" s="24"/>
    </row>
    <row r="237">
      <c r="H237" s="24"/>
    </row>
    <row r="238">
      <c r="H238" s="24"/>
    </row>
    <row r="239">
      <c r="H239" s="24"/>
    </row>
    <row r="240">
      <c r="H240" s="24"/>
    </row>
    <row r="241">
      <c r="H241" s="24"/>
    </row>
    <row r="242">
      <c r="H242" s="24"/>
    </row>
    <row r="243">
      <c r="H243" s="24"/>
    </row>
    <row r="244">
      <c r="H244" s="24"/>
    </row>
    <row r="245">
      <c r="H245" s="24"/>
    </row>
    <row r="246">
      <c r="H246" s="24"/>
    </row>
    <row r="247">
      <c r="H247" s="24"/>
    </row>
    <row r="248">
      <c r="H248" s="24"/>
    </row>
    <row r="249">
      <c r="H249" s="24"/>
    </row>
    <row r="250">
      <c r="H250" s="24"/>
    </row>
    <row r="251">
      <c r="H251" s="24"/>
    </row>
    <row r="252">
      <c r="H252" s="24"/>
    </row>
    <row r="253">
      <c r="H253" s="24"/>
    </row>
    <row r="254">
      <c r="H254" s="24"/>
    </row>
    <row r="255">
      <c r="H255" s="24"/>
    </row>
    <row r="256">
      <c r="H256" s="24"/>
    </row>
    <row r="257">
      <c r="H257" s="24"/>
    </row>
    <row r="258">
      <c r="H258" s="24"/>
    </row>
    <row r="259">
      <c r="H259" s="24"/>
    </row>
    <row r="260">
      <c r="H260" s="24"/>
    </row>
    <row r="261">
      <c r="H261" s="24"/>
    </row>
    <row r="262">
      <c r="H262" s="24"/>
    </row>
    <row r="263">
      <c r="H263" s="24"/>
    </row>
    <row r="264">
      <c r="H264" s="24"/>
    </row>
    <row r="265">
      <c r="H265" s="24"/>
    </row>
    <row r="266">
      <c r="H266" s="24"/>
    </row>
    <row r="267">
      <c r="H267" s="24"/>
    </row>
    <row r="268">
      <c r="H268" s="24"/>
    </row>
    <row r="269">
      <c r="H269" s="24"/>
    </row>
    <row r="270">
      <c r="H270" s="24"/>
    </row>
    <row r="271">
      <c r="H271" s="24"/>
    </row>
    <row r="272">
      <c r="H272" s="24"/>
    </row>
    <row r="273">
      <c r="H273" s="24"/>
    </row>
    <row r="274">
      <c r="H274" s="24"/>
    </row>
    <row r="275">
      <c r="H275" s="24"/>
    </row>
    <row r="276">
      <c r="H276" s="24"/>
    </row>
    <row r="277">
      <c r="H277" s="24"/>
    </row>
    <row r="278">
      <c r="H278" s="24"/>
    </row>
    <row r="279">
      <c r="H279" s="24"/>
    </row>
    <row r="280">
      <c r="H280" s="24"/>
    </row>
    <row r="281">
      <c r="H281" s="24"/>
    </row>
    <row r="282">
      <c r="H282" s="24"/>
    </row>
    <row r="283">
      <c r="H283" s="24"/>
    </row>
    <row r="284">
      <c r="H284" s="24"/>
    </row>
    <row r="285">
      <c r="H285" s="24"/>
    </row>
    <row r="286">
      <c r="H286" s="24"/>
    </row>
    <row r="287">
      <c r="H287" s="24"/>
    </row>
    <row r="288">
      <c r="H288" s="24"/>
    </row>
    <row r="289">
      <c r="H289" s="24"/>
    </row>
    <row r="290">
      <c r="H290" s="24"/>
    </row>
    <row r="291">
      <c r="H291" s="24"/>
    </row>
    <row r="292">
      <c r="H292" s="24"/>
    </row>
    <row r="293">
      <c r="H293" s="24"/>
    </row>
    <row r="294">
      <c r="H294" s="24"/>
    </row>
    <row r="295">
      <c r="H295" s="24"/>
    </row>
    <row r="296">
      <c r="H296" s="24"/>
    </row>
    <row r="297">
      <c r="H297" s="24"/>
    </row>
    <row r="298">
      <c r="H298" s="24"/>
    </row>
    <row r="299">
      <c r="H299" s="24"/>
    </row>
    <row r="300">
      <c r="H300" s="24"/>
    </row>
    <row r="301">
      <c r="H301" s="24"/>
    </row>
    <row r="302">
      <c r="H302" s="24"/>
    </row>
    <row r="303">
      <c r="H303" s="24"/>
    </row>
    <row r="304">
      <c r="H304" s="24"/>
    </row>
    <row r="305">
      <c r="H305" s="24"/>
    </row>
    <row r="306">
      <c r="H306" s="24"/>
    </row>
    <row r="307">
      <c r="H307" s="24"/>
    </row>
    <row r="308">
      <c r="H308" s="24"/>
    </row>
    <row r="309">
      <c r="H309" s="24"/>
    </row>
    <row r="310">
      <c r="H310" s="24"/>
    </row>
    <row r="311">
      <c r="H311" s="24"/>
    </row>
    <row r="312">
      <c r="H312" s="24"/>
    </row>
    <row r="313">
      <c r="H313" s="24"/>
    </row>
    <row r="314">
      <c r="H314" s="24"/>
    </row>
    <row r="315">
      <c r="H315" s="24"/>
    </row>
    <row r="316">
      <c r="H316" s="24"/>
    </row>
    <row r="317">
      <c r="H317" s="24"/>
    </row>
    <row r="318">
      <c r="H318" s="24"/>
    </row>
    <row r="319">
      <c r="H319" s="24"/>
    </row>
    <row r="320">
      <c r="H320" s="24"/>
    </row>
    <row r="321">
      <c r="H321" s="24"/>
    </row>
    <row r="322">
      <c r="H322" s="24"/>
    </row>
    <row r="323">
      <c r="H323" s="24"/>
    </row>
    <row r="324">
      <c r="H324" s="24"/>
    </row>
    <row r="325">
      <c r="H325" s="24"/>
    </row>
    <row r="326">
      <c r="H326" s="24"/>
    </row>
    <row r="327">
      <c r="H327" s="24"/>
    </row>
    <row r="328">
      <c r="H328" s="24"/>
    </row>
    <row r="329">
      <c r="H329" s="24"/>
    </row>
    <row r="330">
      <c r="H330" s="24"/>
    </row>
    <row r="331">
      <c r="H331" s="24"/>
    </row>
    <row r="332">
      <c r="H332" s="24"/>
    </row>
    <row r="333">
      <c r="H333" s="24"/>
    </row>
    <row r="334">
      <c r="H334" s="24"/>
    </row>
    <row r="335">
      <c r="H335" s="24"/>
    </row>
    <row r="336">
      <c r="H336" s="24"/>
    </row>
    <row r="337">
      <c r="H337" s="24"/>
    </row>
    <row r="338">
      <c r="H338" s="24"/>
    </row>
    <row r="339">
      <c r="H339" s="24"/>
    </row>
    <row r="340">
      <c r="H340" s="24"/>
    </row>
    <row r="341">
      <c r="H341" s="24"/>
    </row>
    <row r="342">
      <c r="H342" s="24"/>
    </row>
    <row r="343">
      <c r="H343" s="24"/>
    </row>
    <row r="344">
      <c r="H344" s="24"/>
    </row>
    <row r="345">
      <c r="H345" s="24"/>
    </row>
    <row r="346">
      <c r="H346" s="24"/>
    </row>
    <row r="347">
      <c r="H347" s="24"/>
    </row>
    <row r="348">
      <c r="H348" s="24"/>
    </row>
    <row r="349">
      <c r="H349" s="24"/>
    </row>
    <row r="350">
      <c r="H350" s="24"/>
    </row>
    <row r="351">
      <c r="H351" s="24"/>
    </row>
    <row r="352">
      <c r="H352" s="24"/>
    </row>
    <row r="353">
      <c r="H353" s="24"/>
    </row>
    <row r="354">
      <c r="H354" s="24"/>
    </row>
    <row r="355">
      <c r="H355" s="24"/>
    </row>
    <row r="356">
      <c r="H356" s="24"/>
    </row>
    <row r="357">
      <c r="H357" s="24"/>
    </row>
    <row r="358">
      <c r="H358" s="24"/>
    </row>
    <row r="359">
      <c r="H359" s="24"/>
    </row>
    <row r="360">
      <c r="H360" s="24"/>
    </row>
    <row r="361">
      <c r="H361" s="24"/>
    </row>
    <row r="362">
      <c r="H362" s="24"/>
    </row>
    <row r="363">
      <c r="H363" s="24"/>
    </row>
    <row r="364">
      <c r="H364" s="24"/>
    </row>
    <row r="365">
      <c r="H365" s="24"/>
    </row>
    <row r="366">
      <c r="H366" s="24"/>
    </row>
    <row r="367">
      <c r="H367" s="24"/>
    </row>
    <row r="368">
      <c r="H368" s="24"/>
    </row>
    <row r="369">
      <c r="H369" s="24"/>
    </row>
    <row r="370">
      <c r="H370" s="24"/>
    </row>
    <row r="371">
      <c r="H371" s="24"/>
    </row>
    <row r="372">
      <c r="H372" s="24"/>
    </row>
    <row r="373">
      <c r="H373" s="24"/>
    </row>
    <row r="374">
      <c r="H374" s="24"/>
    </row>
    <row r="375">
      <c r="H375" s="24"/>
    </row>
    <row r="376">
      <c r="H376" s="24"/>
    </row>
    <row r="377">
      <c r="H377" s="24"/>
    </row>
    <row r="378">
      <c r="H378" s="24"/>
    </row>
    <row r="379">
      <c r="H379" s="24"/>
    </row>
    <row r="380">
      <c r="H380" s="24"/>
    </row>
    <row r="381">
      <c r="H381" s="24"/>
    </row>
    <row r="382">
      <c r="H382" s="24"/>
    </row>
    <row r="383">
      <c r="H383" s="24"/>
    </row>
    <row r="384">
      <c r="H384" s="24"/>
    </row>
    <row r="385">
      <c r="H385" s="24"/>
    </row>
    <row r="386">
      <c r="H386" s="24"/>
    </row>
    <row r="387">
      <c r="H387" s="24"/>
    </row>
    <row r="388">
      <c r="H388" s="24"/>
    </row>
    <row r="389">
      <c r="H389" s="24"/>
    </row>
    <row r="390">
      <c r="H390" s="24"/>
    </row>
    <row r="391">
      <c r="H391" s="24"/>
    </row>
    <row r="392">
      <c r="H392" s="24"/>
    </row>
    <row r="393">
      <c r="H393" s="24"/>
    </row>
    <row r="394">
      <c r="H394" s="24"/>
    </row>
    <row r="395">
      <c r="H395" s="24"/>
    </row>
    <row r="396">
      <c r="H396" s="24"/>
    </row>
    <row r="397">
      <c r="H397" s="24"/>
    </row>
    <row r="398">
      <c r="H398" s="24"/>
    </row>
    <row r="399">
      <c r="H399" s="24"/>
    </row>
    <row r="400">
      <c r="H400" s="24"/>
    </row>
    <row r="401">
      <c r="H401" s="24"/>
    </row>
    <row r="402">
      <c r="H402" s="24"/>
    </row>
    <row r="403">
      <c r="H403" s="24"/>
    </row>
    <row r="404">
      <c r="H404" s="24"/>
    </row>
    <row r="405">
      <c r="H405" s="24"/>
    </row>
    <row r="406">
      <c r="H406" s="24"/>
    </row>
    <row r="407">
      <c r="H407" s="24"/>
    </row>
    <row r="408">
      <c r="H408" s="24"/>
    </row>
    <row r="409">
      <c r="H409" s="24"/>
    </row>
    <row r="410">
      <c r="H410" s="24"/>
    </row>
    <row r="411">
      <c r="H411" s="24"/>
    </row>
    <row r="412">
      <c r="H412" s="24"/>
    </row>
    <row r="413">
      <c r="H413" s="24"/>
    </row>
    <row r="414">
      <c r="H414" s="24"/>
    </row>
    <row r="415">
      <c r="H415" s="24"/>
    </row>
    <row r="416">
      <c r="H416" s="24"/>
    </row>
    <row r="417">
      <c r="H417" s="24"/>
    </row>
    <row r="418">
      <c r="H418" s="24"/>
    </row>
    <row r="419">
      <c r="H419" s="24"/>
    </row>
    <row r="420">
      <c r="H420" s="24"/>
    </row>
    <row r="421">
      <c r="H421" s="24"/>
    </row>
    <row r="422">
      <c r="H422" s="24"/>
    </row>
    <row r="423">
      <c r="H423" s="24"/>
    </row>
    <row r="424">
      <c r="H424" s="24"/>
    </row>
    <row r="425">
      <c r="H425" s="24"/>
    </row>
    <row r="426">
      <c r="H426" s="24"/>
    </row>
    <row r="427">
      <c r="H427" s="24"/>
    </row>
    <row r="428">
      <c r="H428" s="24"/>
    </row>
    <row r="429">
      <c r="H429" s="24"/>
    </row>
    <row r="430">
      <c r="H430" s="24"/>
    </row>
    <row r="431">
      <c r="H431" s="24"/>
    </row>
    <row r="432">
      <c r="H432" s="24"/>
    </row>
    <row r="433">
      <c r="H433" s="24"/>
    </row>
    <row r="434">
      <c r="H434" s="24"/>
    </row>
    <row r="435">
      <c r="H435" s="24"/>
    </row>
    <row r="436">
      <c r="H436" s="24"/>
    </row>
    <row r="437">
      <c r="H437" s="24"/>
    </row>
    <row r="438">
      <c r="H438" s="24"/>
    </row>
    <row r="439">
      <c r="H439" s="24"/>
    </row>
    <row r="440">
      <c r="H440" s="24"/>
    </row>
    <row r="441">
      <c r="H441" s="24"/>
    </row>
    <row r="442">
      <c r="H442" s="24"/>
    </row>
    <row r="443">
      <c r="H443" s="24"/>
    </row>
    <row r="444">
      <c r="H444" s="24"/>
    </row>
    <row r="445">
      <c r="H445" s="24"/>
    </row>
    <row r="446">
      <c r="H446" s="24"/>
    </row>
    <row r="447">
      <c r="H447" s="24"/>
    </row>
    <row r="448">
      <c r="H448" s="24"/>
    </row>
    <row r="449">
      <c r="H449" s="24"/>
    </row>
    <row r="450">
      <c r="H450" s="24"/>
    </row>
    <row r="451">
      <c r="H451" s="24"/>
    </row>
    <row r="452">
      <c r="H452" s="24"/>
    </row>
    <row r="453">
      <c r="H453" s="24"/>
    </row>
    <row r="454">
      <c r="H454" s="24"/>
    </row>
    <row r="455">
      <c r="H455" s="24"/>
    </row>
    <row r="456">
      <c r="H456" s="24"/>
    </row>
    <row r="457">
      <c r="H457" s="24"/>
    </row>
    <row r="458">
      <c r="H458" s="24"/>
    </row>
    <row r="459">
      <c r="H459" s="24"/>
    </row>
    <row r="460">
      <c r="H460" s="24"/>
    </row>
    <row r="461">
      <c r="H461" s="24"/>
    </row>
    <row r="462">
      <c r="H462" s="24"/>
    </row>
    <row r="463">
      <c r="H463" s="24"/>
    </row>
    <row r="464">
      <c r="H464" s="24"/>
    </row>
    <row r="465">
      <c r="H465" s="24"/>
    </row>
    <row r="466">
      <c r="H466" s="24"/>
    </row>
    <row r="467">
      <c r="H467" s="24"/>
    </row>
    <row r="468">
      <c r="H468" s="24"/>
    </row>
    <row r="469">
      <c r="H469" s="24"/>
    </row>
    <row r="470">
      <c r="H470" s="24"/>
    </row>
    <row r="471">
      <c r="H471" s="24"/>
    </row>
    <row r="472">
      <c r="H472" s="24"/>
    </row>
    <row r="473">
      <c r="H473" s="24"/>
    </row>
    <row r="474">
      <c r="H474" s="24"/>
    </row>
    <row r="475">
      <c r="H475" s="24"/>
    </row>
    <row r="476">
      <c r="H476" s="24"/>
    </row>
    <row r="477">
      <c r="H477" s="24"/>
    </row>
    <row r="478">
      <c r="H478" s="24"/>
    </row>
    <row r="479">
      <c r="H479" s="24"/>
    </row>
    <row r="480">
      <c r="H480" s="24"/>
    </row>
    <row r="481">
      <c r="H481" s="24"/>
    </row>
    <row r="482">
      <c r="H482" s="24"/>
    </row>
    <row r="483">
      <c r="H483" s="24"/>
    </row>
    <row r="484">
      <c r="H484" s="24"/>
    </row>
    <row r="485">
      <c r="H485" s="24"/>
    </row>
    <row r="486">
      <c r="H486" s="24"/>
    </row>
    <row r="487">
      <c r="H487" s="24"/>
    </row>
    <row r="488">
      <c r="H488" s="24"/>
    </row>
    <row r="489">
      <c r="H489" s="24"/>
    </row>
    <row r="490">
      <c r="H490" s="24"/>
    </row>
    <row r="491">
      <c r="H491" s="24"/>
    </row>
    <row r="492">
      <c r="H492" s="24"/>
    </row>
    <row r="493">
      <c r="H493" s="24"/>
    </row>
    <row r="494">
      <c r="H494" s="24"/>
    </row>
    <row r="495">
      <c r="H495" s="24"/>
    </row>
    <row r="496">
      <c r="H496" s="24"/>
    </row>
    <row r="497">
      <c r="H497" s="24"/>
    </row>
    <row r="498">
      <c r="H498" s="24"/>
    </row>
    <row r="499">
      <c r="H499" s="24"/>
    </row>
    <row r="500">
      <c r="H500" s="24"/>
    </row>
    <row r="501">
      <c r="H501" s="24"/>
    </row>
    <row r="502">
      <c r="H502" s="24"/>
    </row>
    <row r="503">
      <c r="H503" s="24"/>
    </row>
    <row r="504">
      <c r="H504" s="24"/>
    </row>
    <row r="505">
      <c r="H505" s="24"/>
    </row>
    <row r="506">
      <c r="H506" s="24"/>
    </row>
    <row r="507">
      <c r="H507" s="24"/>
    </row>
    <row r="508">
      <c r="H508" s="24"/>
    </row>
    <row r="509">
      <c r="H509" s="24"/>
    </row>
    <row r="510">
      <c r="H510" s="24"/>
    </row>
    <row r="511">
      <c r="H511" s="24"/>
    </row>
    <row r="512">
      <c r="H512" s="24"/>
    </row>
    <row r="513">
      <c r="H513" s="24"/>
    </row>
    <row r="514">
      <c r="H514" s="24"/>
    </row>
    <row r="515">
      <c r="H515" s="24"/>
    </row>
    <row r="516">
      <c r="H516" s="24"/>
    </row>
    <row r="517">
      <c r="H517" s="24"/>
    </row>
    <row r="518">
      <c r="H518" s="24"/>
    </row>
    <row r="519">
      <c r="H519" s="24"/>
    </row>
    <row r="520">
      <c r="H520" s="24"/>
    </row>
    <row r="521">
      <c r="H521" s="24"/>
    </row>
    <row r="522">
      <c r="H522" s="24"/>
    </row>
    <row r="523">
      <c r="H523" s="24"/>
    </row>
    <row r="524">
      <c r="H524" s="24"/>
    </row>
    <row r="525">
      <c r="H525" s="24"/>
    </row>
    <row r="526">
      <c r="H526" s="24"/>
    </row>
    <row r="527">
      <c r="H527" s="24"/>
    </row>
    <row r="528">
      <c r="H528" s="24"/>
    </row>
    <row r="529">
      <c r="H529" s="24"/>
    </row>
    <row r="530">
      <c r="H530" s="24"/>
    </row>
    <row r="531">
      <c r="H531" s="24"/>
    </row>
    <row r="532">
      <c r="H532" s="24"/>
    </row>
    <row r="533">
      <c r="H533" s="24"/>
    </row>
    <row r="534">
      <c r="H534" s="24"/>
    </row>
    <row r="535">
      <c r="H535" s="24"/>
    </row>
    <row r="536">
      <c r="H536" s="24"/>
    </row>
    <row r="537">
      <c r="H537" s="24"/>
    </row>
    <row r="538">
      <c r="H538" s="24"/>
    </row>
    <row r="539">
      <c r="H539" s="24"/>
    </row>
    <row r="540">
      <c r="H540" s="24"/>
    </row>
    <row r="541">
      <c r="H541" s="24"/>
    </row>
    <row r="542">
      <c r="H542" s="24"/>
    </row>
    <row r="543">
      <c r="H543" s="24"/>
    </row>
    <row r="544">
      <c r="H544" s="24"/>
    </row>
    <row r="545">
      <c r="H545" s="24"/>
    </row>
    <row r="546">
      <c r="H546" s="24"/>
    </row>
    <row r="547">
      <c r="H547" s="24"/>
    </row>
    <row r="548">
      <c r="H548" s="24"/>
    </row>
    <row r="549">
      <c r="H549" s="24"/>
    </row>
    <row r="550">
      <c r="H550" s="24"/>
    </row>
    <row r="551">
      <c r="H551" s="24"/>
    </row>
    <row r="552">
      <c r="H552" s="24"/>
    </row>
    <row r="553">
      <c r="H553" s="24"/>
    </row>
    <row r="554">
      <c r="H554" s="24"/>
    </row>
    <row r="555">
      <c r="H555" s="24"/>
    </row>
    <row r="556">
      <c r="H556" s="24"/>
    </row>
    <row r="557">
      <c r="H557" s="24"/>
    </row>
    <row r="558">
      <c r="H558" s="24"/>
    </row>
    <row r="559">
      <c r="H559" s="24"/>
    </row>
    <row r="560">
      <c r="H560" s="24"/>
    </row>
    <row r="561">
      <c r="H561" s="24"/>
    </row>
    <row r="562">
      <c r="H562" s="24"/>
    </row>
    <row r="563">
      <c r="H563" s="24"/>
    </row>
    <row r="564">
      <c r="H564" s="24"/>
    </row>
    <row r="565">
      <c r="H565" s="24"/>
    </row>
    <row r="566">
      <c r="H566" s="24"/>
    </row>
    <row r="567">
      <c r="H567" s="24"/>
    </row>
    <row r="568">
      <c r="H568" s="24"/>
    </row>
    <row r="569">
      <c r="H569" s="24"/>
    </row>
    <row r="570">
      <c r="H570" s="24"/>
    </row>
    <row r="571">
      <c r="H571" s="24"/>
    </row>
    <row r="572">
      <c r="H572" s="24"/>
    </row>
    <row r="573">
      <c r="H573" s="24"/>
    </row>
    <row r="574">
      <c r="H574" s="24"/>
    </row>
    <row r="575">
      <c r="H575" s="24"/>
    </row>
    <row r="576">
      <c r="H576" s="24"/>
    </row>
    <row r="577">
      <c r="H577" s="24"/>
    </row>
    <row r="578">
      <c r="H578" s="24"/>
    </row>
    <row r="579">
      <c r="H579" s="24"/>
    </row>
    <row r="580">
      <c r="H580" s="24"/>
    </row>
    <row r="581">
      <c r="H581" s="24"/>
    </row>
    <row r="582">
      <c r="H582" s="24"/>
    </row>
    <row r="583">
      <c r="H583" s="24"/>
    </row>
    <row r="584">
      <c r="H584" s="24"/>
    </row>
    <row r="585">
      <c r="H585" s="24"/>
    </row>
    <row r="586">
      <c r="H586" s="24"/>
    </row>
    <row r="587">
      <c r="H587" s="24"/>
    </row>
    <row r="588">
      <c r="H588" s="24"/>
    </row>
    <row r="589">
      <c r="H589" s="24"/>
    </row>
    <row r="590">
      <c r="H590" s="24"/>
    </row>
    <row r="591">
      <c r="H591" s="24"/>
    </row>
    <row r="592">
      <c r="H592" s="24"/>
    </row>
    <row r="593">
      <c r="H593" s="24"/>
    </row>
    <row r="594">
      <c r="H594" s="24"/>
    </row>
    <row r="595">
      <c r="H595" s="24"/>
    </row>
    <row r="596">
      <c r="H596" s="24"/>
    </row>
    <row r="597">
      <c r="H597" s="24"/>
    </row>
    <row r="598">
      <c r="H598" s="24"/>
    </row>
    <row r="599">
      <c r="H599" s="24"/>
    </row>
    <row r="600">
      <c r="H600" s="24"/>
    </row>
    <row r="601">
      <c r="H601" s="24"/>
    </row>
    <row r="602">
      <c r="H602" s="24"/>
    </row>
    <row r="603">
      <c r="H603" s="24"/>
    </row>
    <row r="604">
      <c r="H604" s="24"/>
    </row>
    <row r="605">
      <c r="H605" s="24"/>
    </row>
    <row r="606">
      <c r="H606" s="24"/>
    </row>
    <row r="607">
      <c r="H607" s="24"/>
    </row>
    <row r="608">
      <c r="H608" s="24"/>
    </row>
    <row r="609">
      <c r="H609" s="24"/>
    </row>
    <row r="610">
      <c r="H610" s="24"/>
    </row>
    <row r="611">
      <c r="H611" s="24"/>
    </row>
    <row r="612">
      <c r="H612" s="24"/>
    </row>
    <row r="613">
      <c r="H613" s="24"/>
    </row>
    <row r="614">
      <c r="H614" s="24"/>
    </row>
    <row r="615">
      <c r="H615" s="24"/>
    </row>
    <row r="616">
      <c r="H616" s="24"/>
    </row>
    <row r="617">
      <c r="H617" s="24"/>
    </row>
    <row r="618">
      <c r="H618" s="24"/>
    </row>
    <row r="619">
      <c r="H619" s="24"/>
    </row>
    <row r="620">
      <c r="H620" s="24"/>
    </row>
    <row r="621">
      <c r="H621" s="24"/>
    </row>
    <row r="622">
      <c r="H622" s="24"/>
    </row>
    <row r="623">
      <c r="H623" s="24"/>
    </row>
    <row r="624">
      <c r="H624" s="24"/>
    </row>
    <row r="625">
      <c r="H625" s="24"/>
    </row>
    <row r="626">
      <c r="H626" s="24"/>
    </row>
    <row r="627">
      <c r="H627" s="24"/>
    </row>
    <row r="628">
      <c r="H628" s="24"/>
    </row>
    <row r="629">
      <c r="H629" s="24"/>
    </row>
    <row r="630">
      <c r="H630" s="24"/>
    </row>
    <row r="631">
      <c r="H631" s="24"/>
    </row>
    <row r="632">
      <c r="H632" s="24"/>
    </row>
    <row r="633">
      <c r="H633" s="24"/>
    </row>
    <row r="634">
      <c r="H634" s="24"/>
    </row>
    <row r="635">
      <c r="H635" s="24"/>
    </row>
    <row r="636">
      <c r="H636" s="24"/>
    </row>
    <row r="637">
      <c r="H637" s="24"/>
    </row>
    <row r="638">
      <c r="H638" s="24"/>
    </row>
    <row r="639">
      <c r="H639" s="24"/>
    </row>
    <row r="640">
      <c r="H640" s="24"/>
    </row>
    <row r="641">
      <c r="H641" s="24"/>
    </row>
    <row r="642">
      <c r="H642" s="24"/>
    </row>
    <row r="643">
      <c r="H643" s="24"/>
    </row>
    <row r="644">
      <c r="H644" s="24"/>
    </row>
    <row r="645">
      <c r="H645" s="24"/>
    </row>
    <row r="646">
      <c r="H646" s="24"/>
    </row>
    <row r="647">
      <c r="H647" s="24"/>
    </row>
    <row r="648">
      <c r="H648" s="24"/>
    </row>
    <row r="649">
      <c r="H649" s="24"/>
    </row>
    <row r="650">
      <c r="H650" s="24"/>
    </row>
    <row r="651">
      <c r="H651" s="24"/>
    </row>
    <row r="652">
      <c r="H652" s="24"/>
    </row>
    <row r="653">
      <c r="H653" s="24"/>
    </row>
    <row r="654">
      <c r="H654" s="24"/>
    </row>
    <row r="655">
      <c r="H655" s="24"/>
    </row>
    <row r="656">
      <c r="H656" s="24"/>
    </row>
    <row r="657">
      <c r="H657" s="24"/>
    </row>
    <row r="658">
      <c r="H658" s="24"/>
    </row>
    <row r="659">
      <c r="H659" s="24"/>
    </row>
    <row r="660">
      <c r="H660" s="24"/>
    </row>
    <row r="661">
      <c r="H661" s="24"/>
    </row>
    <row r="662">
      <c r="H662" s="24"/>
    </row>
    <row r="663">
      <c r="H663" s="24"/>
    </row>
    <row r="664">
      <c r="H664" s="24"/>
    </row>
    <row r="665">
      <c r="H665" s="24"/>
    </row>
    <row r="666">
      <c r="H666" s="24"/>
    </row>
    <row r="667">
      <c r="H667" s="24"/>
    </row>
    <row r="668">
      <c r="H668" s="24"/>
    </row>
    <row r="669">
      <c r="H669" s="24"/>
    </row>
    <row r="670">
      <c r="H670" s="24"/>
    </row>
    <row r="671">
      <c r="H671" s="24"/>
    </row>
    <row r="672">
      <c r="H672" s="24"/>
    </row>
    <row r="673">
      <c r="H673" s="24"/>
    </row>
    <row r="674">
      <c r="H674" s="24"/>
    </row>
    <row r="675">
      <c r="H675" s="24"/>
    </row>
    <row r="676">
      <c r="H676" s="24"/>
    </row>
    <row r="677">
      <c r="H677" s="24"/>
    </row>
    <row r="678">
      <c r="H678" s="24"/>
    </row>
    <row r="679">
      <c r="H679" s="24"/>
    </row>
    <row r="680">
      <c r="H680" s="24"/>
    </row>
    <row r="681">
      <c r="H681" s="24"/>
    </row>
    <row r="682">
      <c r="H682" s="24"/>
    </row>
    <row r="683">
      <c r="H683" s="24"/>
    </row>
    <row r="684">
      <c r="H684" s="24"/>
    </row>
    <row r="685">
      <c r="H685" s="24"/>
    </row>
    <row r="686">
      <c r="H686" s="24"/>
    </row>
    <row r="687">
      <c r="H687" s="24"/>
    </row>
    <row r="688">
      <c r="H688" s="24"/>
    </row>
    <row r="689">
      <c r="H689" s="24"/>
    </row>
    <row r="690">
      <c r="H690" s="24"/>
    </row>
    <row r="691">
      <c r="H691" s="24"/>
    </row>
    <row r="692">
      <c r="H692" s="24"/>
    </row>
    <row r="693">
      <c r="H693" s="24"/>
    </row>
    <row r="694">
      <c r="H694" s="24"/>
    </row>
    <row r="695">
      <c r="H695" s="24"/>
    </row>
    <row r="696">
      <c r="H696" s="24"/>
    </row>
    <row r="697">
      <c r="H697" s="24"/>
    </row>
    <row r="698">
      <c r="H698" s="24"/>
    </row>
    <row r="699">
      <c r="H699" s="24"/>
    </row>
    <row r="700">
      <c r="H700" s="24"/>
    </row>
    <row r="701">
      <c r="H701" s="24"/>
    </row>
    <row r="702">
      <c r="H702" s="24"/>
    </row>
    <row r="703">
      <c r="H703" s="24"/>
    </row>
    <row r="704">
      <c r="H704" s="24"/>
    </row>
    <row r="705">
      <c r="H705" s="24"/>
    </row>
    <row r="706">
      <c r="H706" s="24"/>
    </row>
    <row r="707">
      <c r="H707" s="24"/>
    </row>
    <row r="708">
      <c r="H708" s="24"/>
    </row>
    <row r="709">
      <c r="H709" s="24"/>
    </row>
    <row r="710">
      <c r="H710" s="24"/>
    </row>
    <row r="711">
      <c r="H711" s="24"/>
    </row>
    <row r="712">
      <c r="H712" s="24"/>
    </row>
    <row r="713">
      <c r="H713" s="24"/>
    </row>
    <row r="714">
      <c r="H714" s="24"/>
    </row>
    <row r="715">
      <c r="H715" s="24"/>
    </row>
    <row r="716">
      <c r="H716" s="24"/>
    </row>
    <row r="717">
      <c r="H717" s="24"/>
    </row>
    <row r="718">
      <c r="H718" s="24"/>
    </row>
    <row r="719">
      <c r="H719" s="24"/>
    </row>
    <row r="720">
      <c r="H720" s="24"/>
    </row>
    <row r="721">
      <c r="H721" s="24"/>
    </row>
    <row r="722">
      <c r="H722" s="24"/>
    </row>
    <row r="723">
      <c r="H723" s="24"/>
    </row>
    <row r="724">
      <c r="H724" s="24"/>
    </row>
    <row r="725">
      <c r="H725" s="24"/>
    </row>
    <row r="726">
      <c r="H726" s="24"/>
    </row>
    <row r="727">
      <c r="H727" s="24"/>
    </row>
    <row r="728">
      <c r="H728" s="24"/>
    </row>
    <row r="729">
      <c r="H729" s="24"/>
    </row>
    <row r="730">
      <c r="H730" s="24"/>
    </row>
    <row r="731">
      <c r="H731" s="24"/>
    </row>
    <row r="732">
      <c r="H732" s="24"/>
    </row>
    <row r="733">
      <c r="H733" s="24"/>
    </row>
    <row r="734">
      <c r="H734" s="24"/>
    </row>
    <row r="735">
      <c r="H735" s="24"/>
    </row>
    <row r="736">
      <c r="H736" s="24"/>
    </row>
    <row r="737">
      <c r="H737" s="24"/>
    </row>
    <row r="738">
      <c r="H738" s="24"/>
    </row>
    <row r="739">
      <c r="H739" s="24"/>
    </row>
    <row r="740">
      <c r="H740" s="24"/>
    </row>
    <row r="741">
      <c r="H741" s="24"/>
    </row>
    <row r="742">
      <c r="H742" s="24"/>
    </row>
    <row r="743">
      <c r="H743" s="24"/>
    </row>
    <row r="744">
      <c r="H744" s="24"/>
    </row>
    <row r="745">
      <c r="H745" s="24"/>
    </row>
    <row r="746">
      <c r="H746" s="24"/>
    </row>
    <row r="747">
      <c r="H747" s="24"/>
    </row>
    <row r="748">
      <c r="H748" s="24"/>
    </row>
    <row r="749">
      <c r="H749" s="24"/>
    </row>
    <row r="750">
      <c r="H750" s="24"/>
    </row>
    <row r="751">
      <c r="H751" s="24"/>
    </row>
    <row r="752">
      <c r="H752" s="24"/>
    </row>
    <row r="753">
      <c r="H753" s="24"/>
    </row>
    <row r="754">
      <c r="H754" s="24"/>
    </row>
    <row r="755">
      <c r="H755" s="24"/>
    </row>
    <row r="756">
      <c r="H756" s="24"/>
    </row>
    <row r="757">
      <c r="H757" s="24"/>
    </row>
    <row r="758">
      <c r="H758" s="24"/>
    </row>
    <row r="759">
      <c r="H759" s="24"/>
    </row>
    <row r="760">
      <c r="H760" s="24"/>
    </row>
    <row r="761">
      <c r="H761" s="24"/>
    </row>
    <row r="762">
      <c r="H762" s="24"/>
    </row>
    <row r="763">
      <c r="H763" s="24"/>
    </row>
    <row r="764">
      <c r="H764" s="24"/>
    </row>
    <row r="765">
      <c r="H765" s="24"/>
    </row>
    <row r="766">
      <c r="H766" s="24"/>
    </row>
    <row r="767">
      <c r="H767" s="24"/>
    </row>
    <row r="768">
      <c r="H768" s="24"/>
    </row>
    <row r="769">
      <c r="H769" s="24"/>
    </row>
    <row r="770">
      <c r="H770" s="24"/>
    </row>
    <row r="771">
      <c r="H771" s="24"/>
    </row>
    <row r="772">
      <c r="H772" s="24"/>
    </row>
    <row r="773">
      <c r="H773" s="24"/>
    </row>
    <row r="774">
      <c r="H774" s="24"/>
    </row>
    <row r="775">
      <c r="H775" s="24"/>
    </row>
    <row r="776">
      <c r="H776" s="24"/>
    </row>
    <row r="777">
      <c r="H777" s="24"/>
    </row>
    <row r="778">
      <c r="H778" s="24"/>
    </row>
    <row r="779">
      <c r="H779" s="24"/>
    </row>
    <row r="780">
      <c r="H780" s="24"/>
    </row>
    <row r="781">
      <c r="H781" s="24"/>
    </row>
    <row r="782">
      <c r="H782" s="24"/>
    </row>
    <row r="783">
      <c r="H783" s="24"/>
    </row>
    <row r="784">
      <c r="H784" s="24"/>
    </row>
    <row r="785">
      <c r="H785" s="24"/>
    </row>
    <row r="786">
      <c r="H786" s="24"/>
    </row>
    <row r="787">
      <c r="H787" s="24"/>
    </row>
    <row r="788">
      <c r="H788" s="24"/>
    </row>
    <row r="789">
      <c r="H789" s="24"/>
    </row>
    <row r="790">
      <c r="H790" s="24"/>
    </row>
    <row r="791">
      <c r="H791" s="24"/>
    </row>
    <row r="792">
      <c r="H792" s="24"/>
    </row>
    <row r="793">
      <c r="H793" s="24"/>
    </row>
    <row r="794">
      <c r="H794" s="24"/>
    </row>
    <row r="795">
      <c r="H795" s="24"/>
    </row>
    <row r="796">
      <c r="H796" s="24"/>
    </row>
    <row r="797">
      <c r="H797" s="24"/>
    </row>
    <row r="798">
      <c r="H798" s="24"/>
    </row>
    <row r="799">
      <c r="H799" s="24"/>
    </row>
    <row r="800">
      <c r="H800" s="24"/>
    </row>
    <row r="801">
      <c r="H801" s="24"/>
    </row>
    <row r="802">
      <c r="H802" s="24"/>
    </row>
    <row r="803">
      <c r="H803" s="24"/>
    </row>
    <row r="804">
      <c r="H804" s="24"/>
    </row>
    <row r="805">
      <c r="H805" s="24"/>
    </row>
    <row r="806">
      <c r="H806" s="24"/>
    </row>
    <row r="807">
      <c r="H807" s="24"/>
    </row>
    <row r="808">
      <c r="H808" s="24"/>
    </row>
    <row r="809">
      <c r="H809" s="24"/>
    </row>
    <row r="810">
      <c r="H810" s="24"/>
    </row>
    <row r="811">
      <c r="H811" s="24"/>
    </row>
    <row r="812">
      <c r="H812" s="24"/>
    </row>
    <row r="813">
      <c r="H813" s="24"/>
    </row>
    <row r="814">
      <c r="H814" s="24"/>
    </row>
    <row r="815">
      <c r="H815" s="24"/>
    </row>
    <row r="816">
      <c r="H816" s="24"/>
    </row>
    <row r="817">
      <c r="H817" s="24"/>
    </row>
    <row r="818">
      <c r="H818" s="24"/>
    </row>
    <row r="819">
      <c r="H819" s="24"/>
    </row>
    <row r="820">
      <c r="H820" s="24"/>
    </row>
    <row r="821">
      <c r="H821" s="24"/>
    </row>
    <row r="822">
      <c r="H822" s="24"/>
    </row>
    <row r="823">
      <c r="H823" s="24"/>
    </row>
    <row r="824">
      <c r="H824" s="24"/>
    </row>
    <row r="825">
      <c r="H825" s="24"/>
    </row>
    <row r="826">
      <c r="H826" s="24"/>
    </row>
    <row r="827">
      <c r="H827" s="24"/>
    </row>
    <row r="828">
      <c r="H828" s="24"/>
    </row>
    <row r="829">
      <c r="H829" s="24"/>
    </row>
    <row r="830">
      <c r="H830" s="24"/>
    </row>
    <row r="831">
      <c r="H831" s="24"/>
    </row>
    <row r="832">
      <c r="H832" s="24"/>
    </row>
    <row r="833">
      <c r="H833" s="24"/>
    </row>
    <row r="834">
      <c r="H834" s="24"/>
    </row>
    <row r="835">
      <c r="H835" s="24"/>
    </row>
    <row r="836">
      <c r="H836" s="24"/>
    </row>
    <row r="837">
      <c r="H837" s="24"/>
    </row>
    <row r="838">
      <c r="H838" s="24"/>
    </row>
    <row r="839">
      <c r="H839" s="24"/>
    </row>
    <row r="840">
      <c r="H840" s="24"/>
    </row>
    <row r="841">
      <c r="H841" s="24"/>
    </row>
    <row r="842">
      <c r="H842" s="24"/>
    </row>
    <row r="843">
      <c r="H843" s="24"/>
    </row>
    <row r="844">
      <c r="H844" s="24"/>
    </row>
    <row r="845">
      <c r="H845" s="24"/>
    </row>
    <row r="846">
      <c r="H846" s="24"/>
    </row>
    <row r="847">
      <c r="H847" s="24"/>
    </row>
    <row r="848">
      <c r="H848" s="24"/>
    </row>
    <row r="849">
      <c r="H849" s="24"/>
    </row>
    <row r="850">
      <c r="H850" s="24"/>
    </row>
    <row r="851">
      <c r="H851" s="24"/>
    </row>
    <row r="852">
      <c r="H852" s="24"/>
    </row>
    <row r="853">
      <c r="H853" s="24"/>
    </row>
    <row r="854">
      <c r="H854" s="24"/>
    </row>
    <row r="855">
      <c r="H855" s="24"/>
    </row>
    <row r="856">
      <c r="H856" s="24"/>
    </row>
    <row r="857">
      <c r="H857" s="24"/>
    </row>
    <row r="858">
      <c r="H858" s="24"/>
    </row>
    <row r="859">
      <c r="H859" s="24"/>
    </row>
    <row r="860">
      <c r="H860" s="24"/>
    </row>
    <row r="861">
      <c r="H861" s="24"/>
    </row>
    <row r="862">
      <c r="H862" s="24"/>
    </row>
    <row r="863">
      <c r="H863" s="24"/>
    </row>
    <row r="864">
      <c r="H864" s="24"/>
    </row>
    <row r="865">
      <c r="H865" s="24"/>
    </row>
    <row r="866">
      <c r="H866" s="24"/>
    </row>
    <row r="867">
      <c r="H867" s="24"/>
    </row>
    <row r="868">
      <c r="H868" s="24"/>
    </row>
    <row r="869">
      <c r="H869" s="24"/>
    </row>
    <row r="870">
      <c r="H870" s="24"/>
    </row>
    <row r="871">
      <c r="H871" s="24"/>
    </row>
    <row r="872">
      <c r="H872" s="24"/>
    </row>
    <row r="873">
      <c r="H873" s="24"/>
    </row>
    <row r="874">
      <c r="H874" s="24"/>
    </row>
    <row r="875">
      <c r="H875" s="24"/>
    </row>
    <row r="876">
      <c r="H876" s="24"/>
    </row>
    <row r="877">
      <c r="H877" s="24"/>
    </row>
    <row r="878">
      <c r="H878" s="24"/>
    </row>
    <row r="879">
      <c r="H879" s="24"/>
    </row>
    <row r="880">
      <c r="H880" s="24"/>
    </row>
    <row r="881">
      <c r="H881" s="24"/>
    </row>
    <row r="882">
      <c r="H882" s="24"/>
    </row>
    <row r="883">
      <c r="H883" s="24"/>
    </row>
    <row r="884">
      <c r="H884" s="24"/>
    </row>
    <row r="885">
      <c r="H885" s="24"/>
    </row>
    <row r="886">
      <c r="H886" s="24"/>
    </row>
    <row r="887">
      <c r="H887" s="24"/>
    </row>
    <row r="888">
      <c r="H888" s="24"/>
    </row>
    <row r="889">
      <c r="H889" s="24"/>
    </row>
    <row r="890">
      <c r="H890" s="24"/>
    </row>
    <row r="891">
      <c r="H891" s="24"/>
    </row>
    <row r="892">
      <c r="H892" s="24"/>
    </row>
    <row r="893">
      <c r="H893" s="24"/>
    </row>
    <row r="894">
      <c r="H894" s="24"/>
    </row>
    <row r="895">
      <c r="H895" s="24"/>
    </row>
    <row r="896">
      <c r="H896" s="24"/>
    </row>
    <row r="897">
      <c r="H897" s="24"/>
    </row>
    <row r="898">
      <c r="H898" s="24"/>
    </row>
    <row r="899">
      <c r="H899" s="24"/>
    </row>
    <row r="900">
      <c r="H900" s="24"/>
    </row>
    <row r="901">
      <c r="H901" s="24"/>
    </row>
    <row r="902">
      <c r="H902" s="24"/>
    </row>
    <row r="903">
      <c r="H903" s="24"/>
    </row>
    <row r="904">
      <c r="H904" s="24"/>
    </row>
    <row r="905">
      <c r="H905" s="24"/>
    </row>
    <row r="906">
      <c r="H906" s="24"/>
    </row>
    <row r="907">
      <c r="H907" s="24"/>
    </row>
    <row r="908">
      <c r="H908" s="24"/>
    </row>
    <row r="909">
      <c r="H909" s="24"/>
    </row>
    <row r="910">
      <c r="H910" s="24"/>
    </row>
    <row r="911">
      <c r="H911" s="24"/>
    </row>
    <row r="912">
      <c r="H912" s="24"/>
    </row>
    <row r="913">
      <c r="H913" s="24"/>
    </row>
    <row r="914">
      <c r="H914" s="24"/>
    </row>
    <row r="915">
      <c r="H915" s="24"/>
    </row>
    <row r="916">
      <c r="H916" s="24"/>
    </row>
    <row r="917">
      <c r="H917" s="24"/>
    </row>
    <row r="918">
      <c r="H918" s="24"/>
    </row>
    <row r="919">
      <c r="H919" s="24"/>
    </row>
    <row r="920">
      <c r="H920" s="24"/>
    </row>
    <row r="921">
      <c r="H921" s="24"/>
    </row>
    <row r="922">
      <c r="H922" s="24"/>
    </row>
    <row r="923">
      <c r="H923" s="24"/>
    </row>
    <row r="924">
      <c r="H924" s="24"/>
    </row>
    <row r="925">
      <c r="H925" s="24"/>
    </row>
    <row r="926">
      <c r="H926" s="24"/>
    </row>
    <row r="927">
      <c r="H927" s="24"/>
    </row>
    <row r="928">
      <c r="H928" s="24"/>
    </row>
    <row r="929">
      <c r="H929" s="24"/>
    </row>
    <row r="930">
      <c r="H930" s="24"/>
    </row>
    <row r="931">
      <c r="H931" s="24"/>
    </row>
    <row r="932">
      <c r="H932" s="24"/>
    </row>
    <row r="933">
      <c r="H933" s="24"/>
    </row>
    <row r="934">
      <c r="H934" s="24"/>
    </row>
    <row r="935">
      <c r="H935" s="24"/>
    </row>
    <row r="936">
      <c r="H936" s="24"/>
    </row>
    <row r="937">
      <c r="H937" s="24"/>
    </row>
    <row r="938">
      <c r="H938" s="24"/>
    </row>
    <row r="939">
      <c r="H939" s="24"/>
    </row>
    <row r="940">
      <c r="H940" s="24"/>
    </row>
    <row r="941">
      <c r="H941" s="24"/>
    </row>
    <row r="942">
      <c r="H942" s="24"/>
    </row>
    <row r="943">
      <c r="H943" s="24"/>
    </row>
    <row r="944">
      <c r="H944" s="24"/>
    </row>
    <row r="945">
      <c r="H945" s="24"/>
    </row>
    <row r="946">
      <c r="H946" s="24"/>
    </row>
    <row r="947">
      <c r="H947" s="24"/>
    </row>
    <row r="948">
      <c r="H948" s="24"/>
    </row>
    <row r="949">
      <c r="H949" s="24"/>
    </row>
    <row r="950">
      <c r="H950" s="24"/>
    </row>
    <row r="951">
      <c r="H951" s="24"/>
    </row>
    <row r="952">
      <c r="H952" s="24"/>
    </row>
    <row r="953">
      <c r="H953" s="24"/>
    </row>
    <row r="954">
      <c r="H954" s="24"/>
    </row>
    <row r="955">
      <c r="H955" s="24"/>
    </row>
    <row r="956">
      <c r="H956" s="24"/>
    </row>
    <row r="957">
      <c r="H957" s="24"/>
    </row>
    <row r="958">
      <c r="H958" s="24"/>
    </row>
    <row r="959">
      <c r="H959" s="24"/>
    </row>
    <row r="960">
      <c r="H960" s="24"/>
    </row>
    <row r="961">
      <c r="H961" s="24"/>
    </row>
    <row r="962">
      <c r="H962" s="24"/>
    </row>
    <row r="963">
      <c r="H963" s="24"/>
    </row>
    <row r="964">
      <c r="H964" s="24"/>
    </row>
    <row r="965">
      <c r="H965" s="24"/>
    </row>
    <row r="966">
      <c r="H966" s="24"/>
    </row>
    <row r="967">
      <c r="H967" s="24"/>
    </row>
    <row r="968">
      <c r="H968" s="24"/>
    </row>
    <row r="969">
      <c r="H969" s="24"/>
    </row>
    <row r="970">
      <c r="H970" s="24"/>
    </row>
    <row r="971">
      <c r="H971" s="24"/>
    </row>
    <row r="972">
      <c r="H972" s="24"/>
    </row>
    <row r="973">
      <c r="H973" s="24"/>
    </row>
    <row r="974">
      <c r="H974" s="24"/>
    </row>
    <row r="975">
      <c r="H975" s="24"/>
    </row>
    <row r="976">
      <c r="H976" s="24"/>
    </row>
    <row r="977">
      <c r="H977" s="24"/>
    </row>
    <row r="978">
      <c r="H978" s="24"/>
    </row>
    <row r="979">
      <c r="H979" s="24"/>
    </row>
    <row r="980">
      <c r="H980" s="24"/>
    </row>
    <row r="981">
      <c r="H981" s="24"/>
    </row>
    <row r="982">
      <c r="H982" s="24"/>
    </row>
    <row r="983">
      <c r="H983" s="24"/>
    </row>
    <row r="984">
      <c r="H984" s="24"/>
    </row>
    <row r="985">
      <c r="H985" s="24"/>
    </row>
    <row r="986">
      <c r="H986" s="24"/>
    </row>
    <row r="987">
      <c r="H987" s="24"/>
    </row>
    <row r="988">
      <c r="H988" s="24"/>
    </row>
    <row r="989">
      <c r="H989" s="24"/>
    </row>
    <row r="990">
      <c r="H990" s="24"/>
    </row>
    <row r="991">
      <c r="H991" s="24"/>
    </row>
    <row r="992">
      <c r="H992" s="24"/>
    </row>
    <row r="993">
      <c r="H993" s="24"/>
    </row>
    <row r="994">
      <c r="H994" s="24"/>
    </row>
    <row r="995">
      <c r="H995" s="24"/>
    </row>
    <row r="996">
      <c r="H996" s="24"/>
    </row>
    <row r="997">
      <c r="H997" s="24"/>
    </row>
    <row r="998">
      <c r="H998" s="24"/>
    </row>
    <row r="999">
      <c r="H999" s="24"/>
    </row>
    <row r="1000">
      <c r="H1000" s="24"/>
    </row>
  </sheetData>
  <drawing r:id="rId1"/>
  <tableParts count="1">
    <tablePart r:id="rId3"/>
  </tableParts>
</worksheet>
</file>