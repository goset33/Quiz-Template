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йнкрафт" sheetId="1" r:id="rId4"/>
  </sheets>
  <definedNames/>
  <calcPr/>
  <extLst>
    <ext uri="GoogleSheetsCustomDataVersion2">
      <go:sheetsCustomData xmlns:go="http://customooxmlschemas.google.com/" r:id="rId5" roundtripDataChecksum="gVBNkmKdi+dDCvwPPtXxa3fgw9k0naNubUGEw0o3EfM="/>
    </ext>
  </extLst>
</workbook>
</file>

<file path=xl/sharedStrings.xml><?xml version="1.0" encoding="utf-8"?>
<sst xmlns="http://schemas.openxmlformats.org/spreadsheetml/2006/main" count="217" uniqueCount="217">
  <si>
    <t>Вопрос</t>
  </si>
  <si>
    <t>Тип вопроса</t>
  </si>
  <si>
    <t>Изображение</t>
  </si>
  <si>
    <t>Правильный ответ</t>
  </si>
  <si>
    <t>Неправильный ответ 1</t>
  </si>
  <si>
    <t>Неправильный ответ 2</t>
  </si>
  <si>
    <t>Неправильный ответ 3</t>
  </si>
  <si>
    <t>Общие вопросы</t>
  </si>
  <si>
    <t>1. Какой блок является основным строительным материалом в Minecraft? а) Камень б) Песок в) Земля г) Гравий</t>
  </si>
  <si>
    <t>2. Как называется измерение, где обитает Эндер-дракон? а) Край б) Ад в) Верхний мир г) Измерение грибов</t>
  </si>
  <si>
    <r>
      <rPr>
        <rFont val="Quattrocento Sans"/>
        <color rgb="FF212529"/>
        <sz val="12.0"/>
      </rPr>
      <t>4. Какой моб взрывается при приближении к игроку? </t>
    </r>
    <r>
      <rPr>
        <rFont val="Segoe UI"/>
        <b/>
        <color rgb="FF212529"/>
        <sz val="12.0"/>
      </rPr>
      <t>а) Крипер</t>
    </r>
    <r>
      <rPr>
        <rFont val="Segoe UI"/>
        <color rgb="FF212529"/>
        <sz val="12.0"/>
      </rPr>
      <t> б) Скелет в) Зомби г) Паук</t>
    </r>
  </si>
  <si>
    <r>
      <rPr>
        <rFont val="Quattrocento Sans"/>
        <color rgb="FF212529"/>
        <sz val="12.0"/>
      </rPr>
      <t>6. Какой моб сбрасывает стрелы? </t>
    </r>
    <r>
      <rPr>
        <rFont val="Segoe UI"/>
        <b/>
        <color rgb="FF212529"/>
        <sz val="12.0"/>
      </rPr>
      <t>а) Скелет</t>
    </r>
    <r>
      <rPr>
        <rFont val="Segoe UI"/>
        <color rgb="FF212529"/>
        <sz val="12.0"/>
      </rPr>
      <t> б) Зомби в) Крипер г) Паук</t>
    </r>
  </si>
  <si>
    <r>
      <rPr>
        <rFont val="Quattrocento Sans"/>
        <color rgb="FF212529"/>
        <sz val="12.0"/>
      </rPr>
      <t>7. Какой моб плавает в воде и может атаковать игрока? </t>
    </r>
    <r>
      <rPr>
        <rFont val="Segoe UI"/>
        <b/>
        <color rgb="FF212529"/>
        <sz val="12.0"/>
      </rPr>
      <t>а) Утопленник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</si>
  <si>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8. Какого моба можно приручить с помощью костей? </t>
    </r>
    <r>
      <rPr>
        <rFont val="Segoe UI"/>
        <b/>
        <color rgb="FF212529"/>
        <sz val="12.0"/>
      </rPr>
      <t>а) Волк</t>
    </r>
    <r>
      <rPr>
        <rFont val="Segoe UI"/>
        <color rgb="FF212529"/>
        <sz val="12.0"/>
      </rPr>
      <t> б) Кошка в) Лошадь г) Попугай</t>
    </r>
  </si>
  <si>
    <r>
      <rPr>
        <rFont val="Quattrocento Sans"/>
        <color rgb="FF212529"/>
        <sz val="12.0"/>
      </rPr>
      <t>9. Какой моб можно найти в аду и он стреляет огненными шарами? </t>
    </r>
    <r>
      <rPr>
        <rFont val="Segoe UI"/>
        <b/>
        <color rgb="FF212529"/>
        <sz val="12.0"/>
      </rPr>
      <t>а) Гаст</t>
    </r>
    <r>
      <rPr>
        <rFont val="Segoe UI"/>
        <color rgb="FF212529"/>
        <sz val="12.0"/>
      </rPr>
      <t> б) Эндермен в) Зомби-свиночеловек г) Страж</t>
    </r>
  </si>
  <si>
    <r>
      <rPr>
        <rFont val="Quattrocento Sans"/>
        <color rgb="FF212529"/>
        <sz val="12.0"/>
      </rPr>
      <t>10. Какой моб даёт шерсть? </t>
    </r>
    <r>
      <rPr>
        <rFont val="Segoe UI"/>
        <b/>
        <color rgb="FF212529"/>
        <sz val="12.0"/>
      </rPr>
      <t>а) Овца</t>
    </r>
    <r>
      <rPr>
        <rFont val="Segoe UI"/>
        <color rgb="FF212529"/>
        <sz val="12.0"/>
      </rPr>
      <t> б) Курица в) Свинья г) Корова</t>
    </r>
  </si>
  <si>
    <r>
      <rPr>
        <rFont val="Quattrocento Sans"/>
        <color rgb="FF212529"/>
        <sz val="12.0"/>
      </rPr>
      <t>11. Какой предмет используется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</si>
  <si>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12. Какой предмет нужен для создания хлеба? </t>
    </r>
    <r>
      <rPr>
        <rFont val="Segoe UI"/>
        <b/>
        <color rgb="FF212529"/>
        <sz val="12.0"/>
      </rPr>
      <t>а) Пшеница</t>
    </r>
    <r>
      <rPr>
        <rFont val="Segoe UI"/>
        <color rgb="FF212529"/>
        <sz val="12.0"/>
      </rPr>
      <t> б) Камень в) Дерево г) Уголь</t>
    </r>
  </si>
  <si>
    <r>
      <rPr>
        <rFont val="Quattrocento Sans"/>
        <color rgb="FF212529"/>
        <sz val="12.0"/>
      </rPr>
      <t>15. Какой предмет используется для создания факелов? </t>
    </r>
    <r>
      <rPr>
        <rFont val="Segoe UI"/>
        <b/>
        <color rgb="FF212529"/>
        <sz val="12.0"/>
      </rPr>
      <t>а) Уголь</t>
    </r>
    <r>
      <rPr>
        <rFont val="Segoe UI"/>
        <color rgb="FF212529"/>
        <sz val="12.0"/>
      </rPr>
      <t> б) Алмаз в) Золото г) Железо</t>
    </r>
  </si>
  <si>
    <r>
      <rPr>
        <rFont val="Quattrocento Sans"/>
        <color rgb="FF212529"/>
        <sz val="12.0"/>
      </rPr>
      <t>16. В каком биоме растут кактусы? </t>
    </r>
    <r>
      <rPr>
        <rFont val="Segoe UI"/>
        <b/>
        <color rgb="FF212529"/>
        <sz val="12.0"/>
      </rPr>
      <t>а) Пустыня</t>
    </r>
    <r>
      <rPr>
        <rFont val="Segoe UI"/>
        <color rgb="FF212529"/>
        <sz val="12.0"/>
      </rPr>
      <t> б) Лес в) Тундра г) Джунгли</t>
    </r>
  </si>
  <si>
    <r>
      <rPr>
        <rFont val="Quattrocento Sans"/>
        <color rgb="FF212529"/>
        <sz val="12.0"/>
      </rPr>
      <t>17. Какой биом содержит много воды и лилий? </t>
    </r>
    <r>
      <rPr>
        <rFont val="Segoe UI"/>
        <b/>
        <color rgb="FF212529"/>
        <sz val="12.0"/>
      </rPr>
      <t>а) Болото</t>
    </r>
    <r>
      <rPr>
        <rFont val="Segoe UI"/>
        <color rgb="FF212529"/>
        <sz val="12.0"/>
      </rPr>
      <t> б) Горы в) Равнина г) Саванна</t>
    </r>
  </si>
  <si>
    <r>
      <rPr>
        <rFont val="Quattrocento Sans"/>
        <color rgb="FF212529"/>
        <sz val="12.0"/>
      </rPr>
      <t>18. В каком биоме выпадает снег? </t>
    </r>
    <r>
      <rPr>
        <rFont val="Segoe UI"/>
        <b/>
        <color rgb="FF212529"/>
        <sz val="12.0"/>
      </rPr>
      <t>а) Тундра</t>
    </r>
    <r>
      <rPr>
        <rFont val="Segoe UI"/>
        <color rgb="FF212529"/>
        <sz val="12.0"/>
      </rPr>
      <t> б) Пустыня в) Джунгли г) Саванна</t>
    </r>
  </si>
  <si>
    <r>
      <rPr>
        <rFont val="Quattrocento Sans"/>
        <color rgb="FF212529"/>
        <sz val="12.0"/>
      </rPr>
      <t>19. Какой биом известен своими высокими деревьями и лианами? </t>
    </r>
    <r>
      <rPr>
        <rFont val="Segoe UI"/>
        <b/>
        <color rgb="FF212529"/>
        <sz val="12.0"/>
      </rPr>
      <t>а) Джунгли</t>
    </r>
    <r>
      <rPr>
        <rFont val="Segoe UI"/>
        <color rgb="FF212529"/>
        <sz val="12.0"/>
      </rPr>
      <t> б) Равнина в) Горы г) Тундра</t>
    </r>
  </si>
  <si>
    <r>
      <rPr>
        <rFont val="Quattrocento Sans"/>
        <color rgb="FF212529"/>
        <sz val="12.0"/>
      </rPr>
      <t>20. Какой биом содержит много грибов? </t>
    </r>
    <r>
      <rPr>
        <rFont val="Segoe UI"/>
        <b/>
        <color rgb="FF212529"/>
        <sz val="12.0"/>
      </rPr>
      <t>а) Грибной остров</t>
    </r>
    <r>
      <rPr>
        <rFont val="Segoe UI"/>
        <color rgb="FF212529"/>
        <sz val="12.0"/>
      </rPr>
      <t> б) Лес в) Пустыня г) Тайга</t>
    </r>
  </si>
  <si>
    <r>
      <rPr>
        <rFont val="Quattrocento Sans"/>
        <color rgb="FF212529"/>
        <sz val="12.0"/>
      </rPr>
      <t>21. Какую структуру можно найти в пустыне? </t>
    </r>
    <r>
      <rPr>
        <rFont val="Segoe UI"/>
        <b/>
        <color rgb="FF212529"/>
        <sz val="12.0"/>
      </rPr>
      <t>а) Пирамида</t>
    </r>
    <r>
      <rPr>
        <rFont val="Segoe UI"/>
        <color rgb="FF212529"/>
        <sz val="12.0"/>
      </rPr>
      <t> б) Деревня в) Крепость г) Шахта</t>
    </r>
  </si>
  <si>
    <r>
      <rPr>
        <rFont val="Quattrocento Sans"/>
        <color rgb="FF212529"/>
        <sz val="12.0"/>
      </rPr>
      <t>22. Какую структуру можно найти в океане? </t>
    </r>
    <r>
      <rPr>
        <rFont val="Segoe UI"/>
        <b/>
        <color rgb="FF212529"/>
        <sz val="12.0"/>
      </rPr>
      <t>а) Морской монумент</t>
    </r>
    <r>
      <rPr>
        <rFont val="Segoe UI"/>
        <color rgb="FF212529"/>
        <sz val="12.0"/>
      </rPr>
      <t> б) Храм джунглей в) Иглу г) Заброшенная шахта</t>
    </r>
  </si>
  <si>
    <r>
      <rPr>
        <rFont val="Quattrocento Sans"/>
        <color rgb="FF212529"/>
        <sz val="12.0"/>
      </rPr>
      <t>23. В какой структуре можно найти сокровище? </t>
    </r>
    <r>
      <rPr>
        <rFont val="Segoe UI"/>
        <b/>
        <color rgb="FF212529"/>
        <sz val="12.0"/>
      </rPr>
      <t>а) Сундук с сокровищами</t>
    </r>
    <r>
      <rPr>
        <rFont val="Segoe UI"/>
        <color rgb="FF212529"/>
        <sz val="12.0"/>
      </rPr>
      <t> б) Дом деревенского жителя в) Верстак г) Печь</t>
    </r>
  </si>
  <si>
    <r>
      <rPr>
        <rFont val="Quattrocento Sans"/>
        <color rgb="FF212529"/>
        <sz val="12.0"/>
      </rPr>
      <t>24. Какую структуру можно найти в Нижнем мире? </t>
    </r>
    <r>
      <rPr>
        <rFont val="Segoe UI"/>
        <b/>
        <color rgb="FF212529"/>
        <sz val="12.0"/>
      </rPr>
      <t>а) Крепость Нижнего мира</t>
    </r>
    <r>
      <rPr>
        <rFont val="Segoe UI"/>
        <color rgb="FF212529"/>
        <sz val="12.0"/>
      </rPr>
      <t> б) Деревня в) Иглу г) Шахта</t>
    </r>
  </si>
  <si>
    <r>
      <rPr>
        <rFont val="Quattrocento Sans"/>
        <color rgb="FF212529"/>
        <sz val="12.0"/>
      </rPr>
      <t>26. Какой ингредиент нужен для создания зелья силы? </t>
    </r>
    <r>
      <rPr>
        <rFont val="Segoe UI"/>
        <b/>
        <color rgb="FF212529"/>
        <sz val="12.0"/>
      </rPr>
      <t>а) Адский нарост</t>
    </r>
    <r>
      <rPr>
        <rFont val="Segoe UI"/>
        <color rgb="FF212529"/>
        <sz val="12.0"/>
      </rPr>
      <t> б) Слеза гаста в) Красная пыль г) Золотая морковь</t>
    </r>
  </si>
  <si>
    <r>
      <rPr>
        <rFont val="Quattrocento Sans"/>
        <color rgb="FF212529"/>
        <sz val="12.0"/>
      </rPr>
      <t>28. Какое зачарование позволяет ходить по воде? </t>
    </r>
    <r>
      <rPr>
        <rFont val="Segoe UI"/>
        <b/>
        <color rgb="FF212529"/>
        <sz val="12.0"/>
      </rPr>
      <t>а) Ледоход</t>
    </r>
    <r>
      <rPr>
        <rFont val="Segoe UI"/>
        <color rgb="FF212529"/>
        <sz val="12.0"/>
      </rPr>
      <t> б) Починка в) Небесная кара г) Отдача</t>
    </r>
  </si>
  <si>
    <r>
      <rPr>
        <rFont val="Quattrocento Sans"/>
        <color rgb="FF212529"/>
        <sz val="12.0"/>
      </rPr>
      <t>29. Какое зачарование позволяет дышать под водой? </t>
    </r>
    <r>
      <rPr>
        <rFont val="Segoe UI"/>
        <b/>
        <color rgb="FF212529"/>
        <sz val="12.0"/>
      </rPr>
      <t>а) Подводное дыхание</t>
    </r>
    <r>
      <rPr>
        <rFont val="Segoe UI"/>
        <color rgb="FF212529"/>
        <sz val="12.0"/>
      </rPr>
      <t> б) Невесомость в) Регенерация г) Отдача</t>
    </r>
  </si>
  <si>
    <r>
      <rPr>
        <rFont val="Quattrocento Sans"/>
        <color rgb="FF212529"/>
        <sz val="12.0"/>
      </rPr>
      <t>30. Какой ингредиент используется для приготовления зелья невидимости? </t>
    </r>
    <r>
      <rPr>
        <rFont val="Segoe UI"/>
        <b/>
        <color rgb="FF212529"/>
        <sz val="12.0"/>
      </rPr>
      <t>а) Золотая морковь</t>
    </r>
    <r>
      <rPr>
        <rFont val="Segoe UI"/>
        <color rgb="FF212529"/>
        <sz val="12.0"/>
      </rPr>
      <t> б) Слеза гаста в) Адский нарост г) Красная пыль</t>
    </r>
  </si>
  <si>
    <r>
      <rPr>
        <rFont val="Quattrocento Sans"/>
        <color rgb="FF212529"/>
        <sz val="12.0"/>
      </rPr>
      <t>31. Какой блок передает редстоун сигнал? </t>
    </r>
    <r>
      <rPr>
        <rFont val="Segoe UI"/>
        <b/>
        <color rgb="FF212529"/>
        <sz val="12.0"/>
      </rPr>
      <t>а) Рычаг</t>
    </r>
    <r>
      <rPr>
        <rFont val="Segoe UI"/>
        <color rgb="FF212529"/>
        <sz val="12.0"/>
      </rPr>
      <t> б) Сундук в) Верстак г) Печь</t>
    </r>
  </si>
  <si>
    <r>
      <rPr>
        <rFont val="Quattrocento Sans"/>
        <color rgb="FF212529"/>
        <sz val="12.0"/>
      </rPr>
      <t>32. Какой блок используется для создания сложных механизмов? </t>
    </r>
    <r>
      <rPr>
        <rFont val="Segoe UI"/>
        <b/>
        <color rgb="FF212529"/>
        <sz val="12.0"/>
      </rPr>
      <t>а) Поршень</t>
    </r>
    <r>
      <rPr>
        <rFont val="Segoe UI"/>
        <color rgb="FF212529"/>
        <sz val="12.0"/>
      </rPr>
      <t> б) Дерево в) Камень г) Стекло</t>
    </r>
  </si>
  <si>
    <r>
      <rPr>
        <rFont val="Quattrocento Sans"/>
        <color rgb="FF212529"/>
        <sz val="12.0"/>
      </rPr>
      <t>35. Какой блок может передавать редстоун сигнал без проводов? </t>
    </r>
    <r>
      <rPr>
        <rFont val="Segoe UI"/>
        <b/>
        <color rgb="FF212529"/>
        <sz val="12.0"/>
      </rPr>
      <t>а) Наблюдатель</t>
    </r>
    <r>
      <rPr>
        <rFont val="Segoe UI"/>
        <color rgb="FF212529"/>
        <sz val="12.0"/>
      </rPr>
      <t> б) Компаратор в) Повторитель г) Поршень</t>
    </r>
  </si>
  <si>
    <r>
      <rPr>
        <rFont val="Quattrocento Sans"/>
        <color rgb="FF212529"/>
        <sz val="12.0"/>
      </rPr>
      <t>36. Какой предмет нужно использовать для создания брони? </t>
    </r>
    <r>
      <rPr>
        <rFont val="Segoe UI"/>
        <b/>
        <color rgb="FF212529"/>
        <sz val="12.0"/>
      </rPr>
      <t>а) Кожа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</si>
  <si>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37. Какой предмет позволяет быстро перемещаться по рельсам? </t>
    </r>
    <r>
      <rPr>
        <rFont val="Segoe UI"/>
        <b/>
        <color rgb="FF212529"/>
        <sz val="12.0"/>
      </rPr>
      <t>а) Вагонетка</t>
    </r>
    <r>
      <rPr>
        <rFont val="Segoe UI"/>
        <color rgb="FF212529"/>
        <sz val="12.0"/>
      </rPr>
      <t> б) Лодка в) Весло г) Лопата</t>
    </r>
  </si>
  <si>
    <r>
      <rPr>
        <rFont val="Quattrocento Sans"/>
        <color rgb="FF212529"/>
        <sz val="12.0"/>
      </rPr>
      <t>38. Какой блок нужен для создания зелья? </t>
    </r>
    <r>
      <rPr>
        <rFont val="Segoe UI"/>
        <b/>
        <color rgb="FF212529"/>
        <sz val="12.0"/>
      </rPr>
      <t>а) Варочная стойка</t>
    </r>
    <r>
      <rPr>
        <rFont val="Segoe UI"/>
        <color rgb="FF212529"/>
        <sz val="12.0"/>
      </rPr>
      <t> б) Верстак в) Печь г) Сундук</t>
    </r>
  </si>
  <si>
    <r>
      <rPr>
        <rFont val="Quattrocento Sans"/>
        <color rgb="FF212529"/>
        <sz val="12.0"/>
      </rPr>
      <t>39. Какой блок нужен для хранения предметов? </t>
    </r>
    <r>
      <rPr>
        <rFont val="Segoe UI"/>
        <b/>
        <color rgb="FF212529"/>
        <sz val="12.0"/>
      </rPr>
      <t>а) Сундук</t>
    </r>
    <r>
      <rPr>
        <rFont val="Segoe UI"/>
        <color rgb="FF212529"/>
        <sz val="12.0"/>
      </rPr>
      <t> б) Верстак в) Печь г) Камень</t>
    </r>
  </si>
  <si>
    <r>
      <rPr>
        <rFont val="Quattrocento Sans"/>
        <color rgb="FF212529"/>
        <sz val="12.0"/>
      </rPr>
      <t>40. Какой предмет используется для зачарования? </t>
    </r>
    <r>
      <rPr>
        <rFont val="Segoe UI"/>
        <b/>
        <color rgb="FF212529"/>
        <sz val="12.0"/>
      </rPr>
      <t>а) Зачаровальный стол</t>
    </r>
    <r>
      <rPr>
        <rFont val="Segoe UI"/>
        <color rgb="FF212529"/>
        <sz val="12.0"/>
      </rPr>
      <t> б) Печь в) Верстак г) Сундук</t>
    </r>
  </si>
  <si>
    <r>
      <rPr>
        <rFont val="Quattrocento Sans"/>
        <color rgb="FF212529"/>
        <sz val="12.0"/>
      </rPr>
      <t>41. Какое достижение дается за вход в Нижний мир? </t>
    </r>
    <r>
      <rPr>
        <rFont val="Segoe UI"/>
        <b/>
        <color rgb="FF212529"/>
        <sz val="12.0"/>
      </rPr>
      <t>а) “Огненные недра”</t>
    </r>
    <r>
      <rPr>
        <rFont val="Segoe UI"/>
        <color rgb="FF212529"/>
        <sz val="12.0"/>
      </rPr>
      <t> б) “На дно” в) “Свободное падение” г) “Начать гонку”</t>
    </r>
  </si>
  <si>
    <r>
      <rPr>
        <rFont val="Quattrocento Sans"/>
        <color rgb="FF212529"/>
        <sz val="12.0"/>
      </rPr>
      <t>42. Какое достижение дается за попадание в Край? </t>
    </r>
    <r>
      <rPr>
        <rFont val="Segoe UI"/>
        <b/>
        <color rgb="FF212529"/>
        <sz val="12.0"/>
      </rPr>
      <t>а) “Конец?”</t>
    </r>
    <r>
      <rPr>
        <rFont val="Segoe UI"/>
        <color rgb="FF212529"/>
        <sz val="12.0"/>
      </rPr>
      <t> б) “Выйти за рамки” в) “Начать гонку” г) “Дикий”</t>
    </r>
  </si>
  <si>
    <r>
      <rPr>
        <rFont val="Quattrocento Sans"/>
        <color rgb="FF212529"/>
        <sz val="12.0"/>
      </rPr>
      <t>43. Какое достижение дается за создание алмазной брони? </t>
    </r>
    <r>
      <rPr>
        <rFont val="Segoe UI"/>
        <b/>
        <color rgb="FF212529"/>
        <sz val="12.0"/>
      </rPr>
      <t>а) “Осыпь меня алмазами”</t>
    </r>
    <r>
      <rPr>
        <rFont val="Segoe UI"/>
        <color rgb="FF212529"/>
        <sz val="12.0"/>
      </rPr>
      <t> б) “Отправиться на войну” в) “Мы богачи” г) “Железный человек”</t>
    </r>
  </si>
  <si>
    <r>
      <rPr>
        <rFont val="Quattrocento Sans"/>
        <color rgb="FF212529"/>
        <sz val="12.0"/>
      </rPr>
      <t>51. Как называется моб, который охраняет сокровищницу в лесном особняке? </t>
    </r>
    <r>
      <rPr>
        <rFont val="Segoe UI"/>
        <b/>
        <color rgb="FF212529"/>
        <sz val="12.0"/>
      </rPr>
      <t>а) Разоритель</t>
    </r>
    <r>
      <rPr>
        <rFont val="Segoe UI"/>
        <color rgb="FF212529"/>
        <sz val="12.0"/>
      </rPr>
      <t> б) Страж в) Эндермен г) Гаст</t>
    </r>
  </si>
  <si>
    <r>
      <rPr>
        <rFont val="Quattrocento Sans"/>
        <color rgb="FF212529"/>
        <sz val="12.0"/>
      </rPr>
      <t>52. Какой предмет нужен для призыва Иссушителя?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Алмазный блок в) Железный слиток г) Золотой слиток</t>
    </r>
  </si>
  <si>
    <r>
      <rPr>
        <rFont val="Quattrocento Sans"/>
        <color rgb="FF212529"/>
        <sz val="12.0"/>
      </rPr>
      <t>53. Какой моб может телепортироваться и красть блоки? </t>
    </r>
    <r>
      <rPr>
        <rFont val="Segoe UI"/>
        <b/>
        <color rgb="FF212529"/>
        <sz val="12.0"/>
      </rPr>
      <t>а) Эндермен</t>
    </r>
    <r>
      <rPr>
        <rFont val="Segoe UI"/>
        <color rgb="FF212529"/>
        <sz val="12.0"/>
      </rPr>
      <t> б) Зомби в) Крипер г) Скелет</t>
    </r>
  </si>
  <si>
    <r>
      <rPr>
        <rFont val="Quattrocento Sans"/>
        <color rgb="FF212529"/>
        <sz val="12.0"/>
      </rPr>
      <t>54. Какой моб является боссом океанического монумента? </t>
    </r>
    <r>
      <rPr>
        <rFont val="Segoe UI"/>
        <b/>
        <color rgb="FF212529"/>
        <sz val="12.0"/>
      </rPr>
      <t>а) Древний страж</t>
    </r>
    <r>
      <rPr>
        <rFont val="Segoe UI"/>
        <color rgb="FF212529"/>
        <sz val="12.0"/>
      </rPr>
      <t> б) Страж в) Утопленник г) Гаст</t>
    </r>
  </si>
  <si>
    <r>
      <rPr>
        <rFont val="Quattrocento Sans"/>
        <color rgb="FF212529"/>
        <sz val="12.0"/>
      </rPr>
      <t>55. Какой моб является враждебной версией жителя деревни? </t>
    </r>
    <r>
      <rPr>
        <rFont val="Segoe UI"/>
        <b/>
        <color rgb="FF212529"/>
        <sz val="12.0"/>
      </rPr>
      <t>а) Разбойник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</si>
  <si>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56. Какой инструмент используется для копания земли и песка? </t>
    </r>
    <r>
      <rPr>
        <rFont val="Segoe UI"/>
        <b/>
        <color rgb="FF212529"/>
        <sz val="12.0"/>
      </rPr>
      <t>а) Лопата</t>
    </r>
    <r>
      <rPr>
        <rFont val="Segoe UI"/>
        <color rgb="FF212529"/>
        <sz val="12.0"/>
      </rPr>
      <t> б) Кирка в) Топор г) Мотыга</t>
    </r>
  </si>
  <si>
    <r>
      <rPr>
        <rFont val="Quattrocento Sans"/>
        <color rgb="FF212529"/>
        <sz val="12.0"/>
      </rPr>
      <t>57. Какой инструмент используется для рубки дерева? </t>
    </r>
    <r>
      <rPr>
        <rFont val="Segoe UI"/>
        <b/>
        <color rgb="FF212529"/>
        <sz val="12.0"/>
      </rPr>
      <t>а) Топор</t>
    </r>
    <r>
      <rPr>
        <rFont val="Segoe UI"/>
        <color rgb="FF212529"/>
        <sz val="12.0"/>
      </rPr>
      <t> б) Кирка в) Лопата г) Мотыга</t>
    </r>
  </si>
  <si>
    <r>
      <rPr>
        <rFont val="Quattrocento Sans"/>
        <color rgb="FF212529"/>
        <sz val="12.0"/>
      </rPr>
      <t>58. Какой предмет используется для создания стрел? </t>
    </r>
    <r>
      <rPr>
        <rFont val="Segoe UI"/>
        <b/>
        <color rgb="FF212529"/>
        <sz val="12.0"/>
      </rPr>
      <t>а) Кремний</t>
    </r>
    <r>
      <rPr>
        <rFont val="Segoe UI"/>
        <color rgb="FF212529"/>
        <sz val="12.0"/>
      </rPr>
      <t> б) Уголь в) Железо г) Золото</t>
    </r>
  </si>
  <si>
    <r>
      <rPr>
        <rFont val="Quattrocento Sans"/>
        <color rgb="FF212529"/>
        <sz val="12.0"/>
      </rPr>
      <t>60. Какой предмет используется для стрельбы стрелами? </t>
    </r>
    <r>
      <rPr>
        <rFont val="Segoe UI"/>
        <b/>
        <color rgb="FF212529"/>
        <sz val="12.0"/>
      </rPr>
      <t>а) Лук</t>
    </r>
    <r>
      <rPr>
        <rFont val="Segoe UI"/>
        <color rgb="FF212529"/>
        <sz val="12.0"/>
      </rPr>
      <t> б) Меч в) Топор г) Мотыга</t>
    </r>
  </si>
  <si>
    <r>
      <rPr>
        <rFont val="Quattrocento Sans"/>
        <color rgb="FF212529"/>
        <sz val="12.0"/>
      </rPr>
      <t>62. Какой блок можно использовать для создания света? </t>
    </r>
    <r>
      <rPr>
        <rFont val="Segoe UI"/>
        <b/>
        <color rgb="FF212529"/>
        <sz val="12.0"/>
      </rPr>
      <t>а) Факел</t>
    </r>
    <r>
      <rPr>
        <rFont val="Segoe UI"/>
        <color rgb="FF212529"/>
        <sz val="12.0"/>
      </rPr>
      <t> б) Земля в) Камень г) Песок</t>
    </r>
  </si>
  <si>
    <r>
      <rPr>
        <rFont val="Quattrocento Sans"/>
        <color rgb="FF212529"/>
        <sz val="12.0"/>
      </rPr>
      <t>63. Какой блок используется для плавки руды? </t>
    </r>
    <r>
      <rPr>
        <rFont val="Segoe UI"/>
        <b/>
        <color rgb="FF212529"/>
        <sz val="12.0"/>
      </rPr>
      <t>а) Печь</t>
    </r>
    <r>
      <rPr>
        <rFont val="Segoe UI"/>
        <color rgb="FF212529"/>
        <sz val="12.0"/>
      </rPr>
      <t> б) Верстак в) Сундук г) Камень</t>
    </r>
  </si>
  <si>
    <r>
      <rPr>
        <rFont val="Quattrocento Sans"/>
        <color rgb="FF212529"/>
        <sz val="12.0"/>
      </rPr>
      <t>65. Какой блок используется для создания водяных лифтов? </t>
    </r>
    <r>
      <rPr>
        <rFont val="Segoe UI"/>
        <b/>
        <color rgb="FF212529"/>
        <sz val="12.0"/>
      </rPr>
      <t>а) Песок душ</t>
    </r>
    <r>
      <rPr>
        <rFont val="Segoe UI"/>
        <color rgb="FF212529"/>
        <sz val="12.0"/>
      </rPr>
      <t> б) Факел в) Камень г) Земля</t>
    </r>
  </si>
  <si>
    <r>
      <rPr>
        <rFont val="Quattrocento Sans"/>
        <color rgb="FF212529"/>
        <sz val="12.0"/>
      </rPr>
      <t>71. Как называется мир, который является “адом” в Minecraft? </t>
    </r>
    <r>
      <rPr>
        <rFont val="Segoe UI"/>
        <b/>
        <color rgb="FF212529"/>
        <sz val="12.0"/>
      </rPr>
      <t>а) Нижний мир</t>
    </r>
    <r>
      <rPr>
        <rFont val="Segoe UI"/>
        <color rgb="FF212529"/>
        <sz val="12.0"/>
      </rPr>
      <t> б) Край в) Верхний мир г) Измерение грибов</t>
    </r>
  </si>
  <si>
    <r>
      <rPr>
        <rFont val="Quattrocento Sans"/>
        <color rgb="FF212529"/>
        <sz val="12.0"/>
      </rPr>
      <t>74. Что является основной валютой для торговли с жителями деревни? </t>
    </r>
    <r>
      <rPr>
        <rFont val="Segoe UI"/>
        <b/>
        <color rgb="FF212529"/>
        <sz val="12.0"/>
      </rPr>
      <t>а) Изумруды</t>
    </r>
    <r>
      <rPr>
        <rFont val="Segoe UI"/>
        <color rgb="FF212529"/>
        <sz val="12.0"/>
      </rPr>
      <t> б) Золото в) Железо г) Алмазы</t>
    </r>
  </si>
  <si>
    <r>
      <rPr>
        <rFont val="Quattrocento Sans"/>
        <color rgb="FF212529"/>
        <sz val="12.0"/>
      </rPr>
      <t>76. Какое животное можно вырастить из яйца? </t>
    </r>
    <r>
      <rPr>
        <rFont val="Segoe UI"/>
        <b/>
        <color rgb="FF212529"/>
        <sz val="12.0"/>
      </rPr>
      <t>а) Курица</t>
    </r>
    <r>
      <rPr>
        <rFont val="Segoe UI"/>
        <color rgb="FF212529"/>
        <sz val="12.0"/>
      </rPr>
      <t> б) Овца в) Свинья г) Корова</t>
    </r>
  </si>
  <si>
    <r>
      <rPr>
        <rFont val="Quattrocento Sans"/>
        <color rgb="FF212529"/>
        <sz val="12.0"/>
      </rPr>
      <t>77. Какой предмет используется для создания лодки? </t>
    </r>
    <r>
      <rPr>
        <rFont val="Segoe UI"/>
        <b/>
        <color rgb="FF212529"/>
        <sz val="12.0"/>
      </rPr>
      <t>а) Дерево</t>
    </r>
    <r>
      <rPr>
        <rFont val="Segoe UI"/>
        <color rgb="FF212529"/>
        <sz val="12.0"/>
      </rPr>
      <t> б) Железо в) Алмазы г) Обсидиан</t>
    </r>
  </si>
  <si>
    <r>
      <rPr>
        <rFont val="Quattrocento Sans"/>
        <color rgb="FF212529"/>
        <sz val="12.0"/>
      </rPr>
      <t>79. Какой блок можно использовать для создания портала в Нижний мир? </t>
    </r>
    <r>
      <rPr>
        <rFont val="Segoe UI"/>
        <b/>
        <color rgb="FF212529"/>
        <sz val="12.0"/>
      </rPr>
      <t>а) Обсидиан</t>
    </r>
    <r>
      <rPr>
        <rFont val="Segoe UI"/>
        <color rgb="FF212529"/>
        <sz val="12.0"/>
      </rPr>
      <t> б) Железо в) Золото г) Алмаз</t>
    </r>
  </si>
  <si>
    <r>
      <rPr>
        <rFont val="Quattrocento Sans"/>
        <color rgb="FF212529"/>
        <sz val="12.0"/>
      </rPr>
      <t>82. Как называется режим игры, в котором у игрока есть только одна жизнь? </t>
    </r>
    <r>
      <rPr>
        <rFont val="Segoe UI"/>
        <b/>
        <color rgb="FF212529"/>
        <sz val="12.0"/>
      </rPr>
      <t>а) Хардкор</t>
    </r>
    <r>
      <rPr>
        <rFont val="Segoe UI"/>
        <color rgb="FF212529"/>
        <sz val="12.0"/>
      </rPr>
      <t> б) Выживание в) Приключение г) Креатив</t>
    </r>
  </si>
  <si>
    <r>
      <rPr>
        <rFont val="Quattrocento Sans"/>
        <color rgb="FF212529"/>
        <sz val="12.0"/>
      </rPr>
      <t>83. Как называется режим игры, в котором нужно добывать ресурсы и выживать? </t>
    </r>
    <r>
      <rPr>
        <rFont val="Segoe UI"/>
        <b/>
        <color rgb="FF212529"/>
        <sz val="12.0"/>
      </rPr>
      <t>а) Выживание</t>
    </r>
    <r>
      <rPr>
        <rFont val="Segoe UI"/>
        <color rgb="FF212529"/>
        <sz val="12.0"/>
      </rPr>
      <t> б) Хардкор в) Креатив г) Приключение</t>
    </r>
  </si>
  <si>
    <r>
      <rPr>
        <rFont val="Quattrocento Sans"/>
        <color rgb="FF212529"/>
        <sz val="12.0"/>
      </rPr>
      <t>84. Как называется режим игры, в котором нельзя ломать блоки? </t>
    </r>
    <r>
      <rPr>
        <rFont val="Segoe UI"/>
        <b/>
        <color rgb="FF212529"/>
        <sz val="12.0"/>
      </rPr>
      <t>а) Приключение</t>
    </r>
    <r>
      <rPr>
        <rFont val="Segoe UI"/>
        <color rgb="FF212529"/>
        <sz val="12.0"/>
      </rPr>
      <t> б) Хардкор в) Выживание г) Креатив</t>
    </r>
  </si>
  <si>
    <r>
      <rPr>
        <rFont val="Quattrocento Sans"/>
        <color rgb="FF212529"/>
        <sz val="12.0"/>
      </rPr>
      <t>86. В каком обновлении были добавлены лисы? </t>
    </r>
    <r>
      <rPr>
        <rFont val="Segoe UI"/>
        <b/>
        <color rgb="FF212529"/>
        <sz val="12.0"/>
      </rPr>
      <t>а) 1.14</t>
    </r>
    <r>
      <rPr>
        <rFont val="Segoe UI"/>
        <color rgb="FF212529"/>
        <sz val="12.0"/>
      </rPr>
      <t> б) 1.16 в) 1.17 г) 1.18</t>
    </r>
  </si>
  <si>
    <r>
      <rPr>
        <rFont val="Quattrocento Sans"/>
        <color rgb="FF212529"/>
        <sz val="12.0"/>
      </rPr>
      <t>87. В каком обновлении были добавлены незеритовые предметы? </t>
    </r>
    <r>
      <rPr>
        <rFont val="Segoe UI"/>
        <b/>
        <color rgb="FF212529"/>
        <sz val="12.0"/>
      </rPr>
      <t>а) 1.16</t>
    </r>
    <r>
      <rPr>
        <rFont val="Segoe UI"/>
        <color rgb="FF212529"/>
        <sz val="12.0"/>
      </rPr>
      <t> б) 1.14 в) 1.17 г) 1.18</t>
    </r>
  </si>
  <si>
    <r>
      <rPr>
        <rFont val="Quattrocento Sans"/>
        <color rgb="FF212529"/>
        <sz val="12.0"/>
      </rPr>
      <t>88. В каком обновлении был добавлен Варден? </t>
    </r>
    <r>
      <rPr>
        <rFont val="Segoe UI"/>
        <b/>
        <color rgb="FF212529"/>
        <sz val="12.0"/>
      </rPr>
      <t>а) 1.19</t>
    </r>
    <r>
      <rPr>
        <rFont val="Segoe UI"/>
        <color rgb="FF212529"/>
        <sz val="12.0"/>
      </rPr>
      <t> б) 1.17 в) 1.16 г) 1.15</t>
    </r>
  </si>
  <si>
    <r>
      <rPr>
        <rFont val="Quattrocento Sans"/>
        <color rgb="FF212529"/>
        <sz val="12.0"/>
      </rPr>
      <t>89. В каком обновлении были добавлены аксолотли? </t>
    </r>
    <r>
      <rPr>
        <rFont val="Segoe UI"/>
        <b/>
        <color rgb="FF212529"/>
        <sz val="12.0"/>
      </rPr>
      <t>а) 1.17</t>
    </r>
    <r>
      <rPr>
        <rFont val="Segoe UI"/>
        <color rgb="FF212529"/>
        <sz val="12.0"/>
      </rPr>
      <t> б) 1.19 в) 1.16 г) 1.15</t>
    </r>
  </si>
  <si>
    <r>
      <rPr>
        <rFont val="Quattrocento Sans"/>
        <color rgb="FF212529"/>
        <sz val="12.0"/>
      </rPr>
      <t>90. В каком обновлении были добавлены пещеры и скалы? </t>
    </r>
    <r>
      <rPr>
        <rFont val="Segoe UI"/>
        <b/>
        <color rgb="FF212529"/>
        <sz val="12.0"/>
      </rPr>
      <t>а) 1.18</t>
    </r>
    <r>
      <rPr>
        <rFont val="Segoe UI"/>
        <color rgb="FF212529"/>
        <sz val="12.0"/>
      </rPr>
      <t> б) 1.17 в) 1.19 г) 1.16</t>
    </r>
  </si>
  <si>
    <r>
      <rPr>
        <rFont val="Quattrocento Sans"/>
        <color rgb="FF212529"/>
        <sz val="12.0"/>
      </rPr>
      <t>91. Какая механика используется для создания сложных механизмов? </t>
    </r>
    <r>
      <rPr>
        <rFont val="Segoe UI"/>
        <b/>
        <color rgb="FF212529"/>
        <sz val="12.0"/>
      </rPr>
      <t>а) Редстоун</t>
    </r>
    <r>
      <rPr>
        <rFont val="Segoe UI"/>
        <color rgb="FF212529"/>
        <sz val="12.0"/>
      </rPr>
      <t> б) Камень в) Дерево г) Песок</t>
    </r>
  </si>
  <si>
    <r>
      <rPr>
        <rFont val="Quattrocento Sans"/>
        <color rgb="FF212529"/>
        <sz val="12.0"/>
      </rPr>
      <t>92. Как называется эффект от использования тотема бессмертия? </t>
    </r>
    <r>
      <rPr>
        <rFont val="Segoe UI"/>
        <b/>
        <color rgb="FF212529"/>
        <sz val="12.0"/>
      </rPr>
      <t>а) Поглощение урона</t>
    </r>
    <r>
      <rPr>
        <rFont val="Segoe UI"/>
        <color rgb="FF212529"/>
        <sz val="12.0"/>
      </rPr>
      <t> б) Скорость в) Ночное зрение г) Сила</t>
    </r>
  </si>
  <si>
    <r>
      <rPr>
        <rFont val="Quattrocento Sans"/>
        <color rgb="FF212529"/>
        <sz val="12.0"/>
      </rPr>
      <t>93. Как называется еда для приручения лошадей? </t>
    </r>
    <r>
      <rPr>
        <rFont val="Segoe UI"/>
        <b/>
        <color rgb="FF212529"/>
        <sz val="12.0"/>
      </rPr>
      <t>а) Золотое яблоко</t>
    </r>
    <r>
      <rPr>
        <rFont val="Segoe UI"/>
        <color rgb="FF212529"/>
        <sz val="12.0"/>
      </rPr>
      <t> б) Пшеница в) Морковь г) Сахар</t>
    </r>
  </si>
  <si>
    <r>
      <rPr>
        <rFont val="Quattrocento Sans"/>
        <color rgb="FF212529"/>
        <sz val="12.0"/>
      </rPr>
      <t>94. Какой инструмент используется для сбора меда? </t>
    </r>
    <r>
      <rPr>
        <rFont val="Segoe UI"/>
        <b/>
        <color rgb="FF212529"/>
        <sz val="12.0"/>
      </rPr>
      <t>а) Стеклянная бутылка</t>
    </r>
    <r>
      <rPr>
        <rFont val="Segoe UI"/>
        <color rgb="FF212529"/>
        <sz val="12.0"/>
      </rPr>
      <t> б) Топор в) Кирка г) Лопата</t>
    </r>
  </si>
  <si>
    <r>
      <rPr>
        <rFont val="Quattrocento Sans"/>
        <color rgb="FF212529"/>
        <sz val="12.0"/>
      </rPr>
      <t>95. Какой блок позволяет игроку спать ночью? </t>
    </r>
    <r>
      <rPr>
        <rFont val="Segoe UI"/>
        <b/>
        <color rgb="FF212529"/>
        <sz val="12.0"/>
      </rPr>
      <t>а) Кровать</t>
    </r>
    <r>
      <rPr>
        <rFont val="Segoe UI"/>
        <color rgb="FF212529"/>
        <sz val="12.0"/>
      </rPr>
      <t> б) Верстак в) Сундук г) Печь</t>
    </r>
  </si>
  <si>
    <r>
      <rPr>
        <rFont val="Quattrocento Sans"/>
        <color rgb="FF212529"/>
        <sz val="12.0"/>
      </rPr>
      <t>96. Какой моб в Minecraft не имеет ног? </t>
    </r>
    <r>
      <rPr>
        <rFont val="Segoe UI"/>
        <b/>
        <color rgb="FF212529"/>
        <sz val="12.0"/>
      </rPr>
      <t>а) Слизень</t>
    </r>
    <r>
      <rPr>
        <rFont val="Segoe UI"/>
        <color rgb="FF212529"/>
        <sz val="12.0"/>
      </rPr>
      <t> б) Зомби в) Скелет г) Крипер</t>
    </r>
  </si>
  <si>
    <r>
      <rPr>
        <rFont val="Quattrocento Sans"/>
        <color rgb="FF212529"/>
        <sz val="12.0"/>
      </rPr>
      <t>97. Какой блок используется для создания красителей? </t>
    </r>
    <r>
      <rPr>
        <rFont val="Segoe UI"/>
        <b/>
        <color rgb="FF212529"/>
        <sz val="12.0"/>
      </rPr>
      <t>а) Цветы</t>
    </r>
    <r>
      <rPr>
        <rFont val="Segoe UI"/>
        <color rgb="FF212529"/>
        <sz val="12.0"/>
      </rPr>
      <t> б) Камни в) Дерево г) Земля</t>
    </r>
  </si>
  <si>
    <r>
      <rPr>
        <rFont val="Quattrocento Sans"/>
        <color rgb="FF212529"/>
        <sz val="12.0"/>
      </rPr>
      <t>99. Какой предмет используется для создания фейерверков? </t>
    </r>
    <r>
      <rPr>
        <rFont val="Segoe UI"/>
        <b/>
        <color rgb="FF212529"/>
        <sz val="12.0"/>
      </rPr>
      <t>а) Порох</t>
    </r>
    <r>
      <rPr>
        <rFont val="Segoe UI"/>
        <color rgb="FF212529"/>
        <sz val="12.0"/>
      </rPr>
      <t> б) Алмазы в) Железо г) Золото</t>
    </r>
  </si>
  <si>
    <r>
      <rPr>
        <rFont val="Quattrocento Sans"/>
        <color rgb="FF212529"/>
        <sz val="12.0"/>
      </rPr>
      <t>100. Как называется предмет, позволяющий убирать зачарования с предметов? </t>
    </r>
    <r>
      <rPr>
        <rFont val="Segoe UI"/>
        <b/>
        <color rgb="FF212529"/>
        <sz val="12.0"/>
      </rPr>
      <t>а) Жернов</t>
    </r>
    <r>
      <rPr>
        <rFont val="Segoe UI"/>
        <color rgb="FF212529"/>
        <sz val="12.0"/>
      </rPr>
      <t> б) Верстак в) Печь г) Сундук</t>
    </r>
  </si>
  <si>
    <t>Какой моб является символом Minecraft? а) Крипер б) Скелет в) Зомби г) Эндермен</t>
  </si>
  <si>
    <t>Что необходимо для создания портала в Нижний мир? а) Обсидиан б) Лава в) Вода г) Алмазы</t>
  </si>
  <si>
    <t>Какой ресурс позволяет создавать прочнейшую броню? а) Незерит б) Алмаз в) Железо г) Золото</t>
  </si>
  <si>
    <t>Какой моб является боссом в измерении “Край”? а) Эндер-дракон б) Иссушитель в) Страж г) Гаст</t>
  </si>
  <si>
    <t>Какой эффект даёт золотое яблоко? а) Регенерация б) Скорость в) Сила г) Невидимость</t>
  </si>
  <si>
    <t>Какой блок используется для приготовления зелий? а) Варочная стойка б) Печь в) Верстак г) Компостер</t>
  </si>
  <si>
    <t>Какой моб спаунится только в темноте? а) Зомби б) Овца в) Курица г) Свинья</t>
  </si>
  <si>
    <t>Какой биом состоит в основном из песка? а) Пустыня б) Саванна в) Тайга г) Джунгли</t>
  </si>
  <si>
    <t>Что необходимо для создания хлеба? а) Пшеница б) Яблоки в) Морковь г) Картофель</t>
  </si>
  <si>
    <t>Какой моб дает молоко? а) Корова б) Свинья в) Овца г) Курица</t>
  </si>
  <si>
    <t>С помощью чего можно приручить лошадь? а) Яблоко б) Семена в) Кость г) Рыба</t>
  </si>
  <si>
    <t>Какой блок является источником света, который можно разместить на стене? а) Факел б) Лампа в) Фонарь г) Светокамень</t>
  </si>
  <si>
    <t>Какой предмет позволяет быстро передвигаться под водой? а) Трезубец б) Лодка в) Ведро г) Удочка</t>
  </si>
  <si>
    <t>Какой моб появляется из яйца, брошенного игроком? а) Курица б) Свинья в) Овца г) Корова</t>
  </si>
  <si>
    <t>Что позволяет быстро добывать листву? а) Ножницы б) Топор в) Кирка г) Лопата</t>
  </si>
  <si>
    <t>С помощью чего можно приручить волка? а) Кость б) Мясо в) Рыба г) Семена</t>
  </si>
  <si>
    <t>Какой блок используется для передачи сигнала редстоуна на расстояние? а) Повторитель б) Компаратор в) Поршень г) Наблюдатель</t>
  </si>
  <si>
    <t>Какой моб обладает способностью взбираться по стенам? а) Паук б) Зомби в) Скелет г) Крипер</t>
  </si>
  <si>
    <t>Какой моб появляется в аду и стреляет огненными шарами? а) Гаст б) Зомби-свиночеловек в) Скелет г) Лавовый куб</t>
  </si>
  <si>
    <t>Что является основным ресурсом для создания строительных лесов? а) Бамбук б) Дерево в) Камень г) Железо</t>
  </si>
  <si>
    <t>С помощью чего можно быстро вспахивать землю? а) Мотыга б) Лопата в) Кирка г) Топор</t>
  </si>
  <si>
    <t>Какой моб нападает на жителей деревень? а) Зомби б) Скелет в) Крипер г) Паук</t>
  </si>
  <si>
    <t>С помощью чего можно собирать мед из улья? а) Стеклянная бутылка б) Ведро в) Лопата г) Топор</t>
  </si>
  <si>
    <t>Какой предмет необходим для создания зелья невидимости? а) Золотая морковь б) Слеза гаста в) Алмаз г) Лава</t>
  </si>
  <si>
    <t>Что используется для создания музыкальных блоков? а) Дерево б) Камень в) Железо г) Алмаз</t>
  </si>
  <si>
    <t>Какой моб плавает в воде и может атаковать игрока? а) Утопленник б) Скелет в) Зомби г) Крипер</t>
  </si>
  <si>
    <t>Для чего нужно кострище? а) Для приготовления пищи б) Для украшения в) Для отпугивания мобов г) Для освещения территории</t>
  </si>
  <si>
    <t>С помощью чего можно быстро срубить огромное дерево? а) Топор б) Кирка в) Мотыга г) Лопата</t>
  </si>
  <si>
    <t>Что нужно для создания стола картографа? а) Бумага б) Камень в) Листья г) Редстоун</t>
  </si>
  <si>
    <t>Для чего нужен компас? а) Что бы не заблудиться б) Для ориентирования во времени в) Для поиска сокровищ г) Для полёта</t>
  </si>
  <si>
    <t>Что нужно для создания динамита? а) Порох б) Уголь в) Редстоун г) Железо</t>
  </si>
  <si>
    <t>Какой предмет можно использовать для телепортации? а) Жемчуг Края б) Камень Края в) Обсидиан г) Камень</t>
  </si>
  <si>
    <t>Как называется блок, который может липнуть к другим блокам? а) Липкий поршень б) Обычный поршень в) Слизь г) Мед</t>
  </si>
  <si>
    <t>Какую еду любят панды? а) Бамбук б) Яблоки в) Торт г) Семена</t>
  </si>
  <si>
    <t>Какой инструмент позволяет быстро копать песок и гравий? а) Лопата б) Кирка в) Топор г) Мотыга</t>
  </si>
  <si>
    <t>Какой моб превращается в ведьму от удара молнии? а) Житель б) Зомби в) Скелет г) Крипер</t>
  </si>
  <si>
    <t>Какой ресурс используется для создания стекла? а) Песок б) Камень в) Земля г) Гравий</t>
  </si>
  <si>
    <t>Какой блок используется для создания костра? а) Уголь б) Железо в) Золото г) Алмазы</t>
  </si>
  <si>
    <t>Где можно найти элитры? а) В корабле Края б) В сокровищнице в) В шахте г) В пещере</t>
  </si>
  <si>
    <t>Что используется для создания динамита? а) Порох б) Уголь в) Редстоун г) Железо</t>
  </si>
  <si>
    <t>Какой ресурс используется для создания фейерверков? а) Порох б) Уголь в) Редстоун г) Железо</t>
  </si>
  <si>
    <t>Какое животное можно найти в снежном биоме? а) Белый медведь б) Корова в) Овца г) Свинья</t>
  </si>
  <si>
    <t>Какой инструмент используется для создания карты? а) Компас б) Кирка в) Топор г) Лопата</t>
  </si>
  <si>
    <t>Какой блок позволяет получить случайный предмет? а) Раздатчик б) Сундук в) Верстак г) Печь</t>
  </si>
  <si>
    <t>Какой моб используется для передвижения в аду? а) Страйдер б) Зомби в) Крипер г) Скелет</t>
  </si>
  <si>
    <t>Что нужно для создания костра? а) Дерево б) Камень в) Железо г) Алмазы</t>
  </si>
  <si>
    <t>Какое растение можно использовать для создания красителя? а) Маки б) Пшеница в) Сахарный тростник г) Бамбук</t>
  </si>
  <si>
    <t>Как зовут главного врага жителей деревни? а) Разбойник б) Зомби в) Крипер г) Скелет</t>
  </si>
  <si>
    <t>Что необходимо для создания верстака? а) Деревянные доски б) Камень в) Железо г) Алмазы</t>
  </si>
  <si>
    <t>Какой моб боится кошек? а) Крипер б) Зомби в) Скелет г) Эндермен</t>
  </si>
  <si>
    <t>Каким образом можно усмирить оцелота? а) Рыбой б) Костью в) Семенами г) Яблоками</t>
  </si>
  <si>
    <t>С помощью чего можно добывать воду? а) Ведро б) Лопата в) Топор г) Кирка</t>
  </si>
  <si>
    <t>Какой блок нужен для разведения коров? а) Пшеница б) Камень в) Дерево г) Песок</t>
  </si>
  <si>
    <t>Какой моб дает нитки? а) Паук б) Слизень в) Зомби г) Крипер</t>
  </si>
  <si>
    <t>Какой инструмент используется для посадки семян? а) Мотыга б) Лопата в) Топор г) Кирка</t>
  </si>
  <si>
    <t>Что нужно для приручения попугая? а) Семена б) Кости в) Печенье г) Рыба</t>
  </si>
  <si>
    <t>Что едят кролики? а) Морковь б) Сено в) Яблоки г) Рыба</t>
  </si>
  <si>
    <t>Где можно найти глину? а) Возле водоёмов б) В шахтах в) В лесах г) В пустынях</t>
  </si>
  <si>
    <t>Какой моб всегда нападает группами? а) Волки б) Зомби в) Скелеты г) Криперы</t>
  </si>
  <si>
    <t>Что можно получить из переплавленного песка? а) Стекло б) Камень в) Кирпич г) Глину</t>
  </si>
  <si>
    <t>Кто это?  а) Курица б) Цыпа в) Петушок г) Наседка</t>
  </si>
  <si>
    <t>Кто это?  а) Корова б) Му-му в) Теленок г) Буренка</t>
  </si>
  <si>
    <t>Кто это?  а) Свинья б) Хрюшка в) Пятачок г) Землеройка</t>
  </si>
  <si>
    <t>Кто это?  а) Овца б) Барашек в) Шерстяной комок г) Кудряшка</t>
  </si>
  <si>
    <t>Кто это?  а) Лошадь б) Игого в) Жеребенок г) Скакун</t>
  </si>
  <si>
    <t>Кто это?  а) Осел б) Иа в) Упрямый г) Грузовик</t>
  </si>
  <si>
    <t>Кто это?  а) Мул б) Гибрид в) Работяга г) Ушастый</t>
  </si>
  <si>
    <t>Кто это?  а) Кролик б) Заяц в) Пушистик г) Прыгун</t>
  </si>
  <si>
    <t>Кто это?  а) Кошка б) Мурка в) Домашний питомец г) Царапка</t>
  </si>
  <si>
    <t>Кто это?  а) Попугай б) Говорун в) Пернатый г) Пиратский</t>
  </si>
  <si>
    <t>Кто это?  а) Черепаха б) Тортилла в) Медленная г) Морская</t>
  </si>
  <si>
    <t>Кто это?  а) Торговец б) Коммивояжер в) Барыга г) Меняла</t>
  </si>
  <si>
    <t>Кто это?  а) Белый медведь б) Умка в) Арктический г) Снежный</t>
  </si>
  <si>
    <t>Кто это?  а) Лиса б) Рыжая плутовка в) Хитрая морда г) Лесной житель</t>
  </si>
  <si>
    <t>Кто это?  а) Пчела б) Жужжалка в) Медоносная г) Полосатая</t>
  </si>
  <si>
    <t>Кто это?  а) Коза б) Бодалка в) Рогатая г) Горная</t>
  </si>
  <si>
    <t>Кто это?  а) Нюхач б) Древний в) Травоядный г) Искатель</t>
  </si>
  <si>
    <t>Кто это?  а) Верблюд б) Плюющийся в) Пустынный г) Двугорбый</t>
  </si>
  <si>
    <t>Кто это?  а) Спрут б) Кальмар в) Чернильник г) Морской житель</t>
  </si>
  <si>
    <t>Кто это?  а) Пещерный паук б) Ядовитый паук в) Подземный г) Синий</t>
  </si>
  <si>
    <t>Кто это?  а) Дельфин б) Эхолокатор в)Морской друг г)Пловец</t>
  </si>
  <si>
    <t>Кто это?   а) Лама б) Плюющаяся в)Горная г)Вьючная</t>
  </si>
  <si>
    <t>Кто это?  а) Странствующий торговец б) Кочевник в) Путешественник г) Меняла с ламами</t>
  </si>
  <si>
    <t>Кто это?  а) Зомбированный пиглин б) Зомби-свинья в) Гнилой хряк г) Квази-кабан</t>
  </si>
  <si>
    <t>Кто это?  а) Эндермен б) Телепортер в) Длинноногий г) Теневой</t>
  </si>
  <si>
    <t>Кто это?  а) Волк б) Лесной пес в) Бродяга г) Серый охотник</t>
  </si>
  <si>
    <t>Кто это?  а) Аксолотль б) Водяной дракон в) Подводный питомец г) Нежный слизень</t>
  </si>
  <si>
    <t>Кто это?  а) Стражник б) Житель-охранник в) Деревенский воин г) Вооруженный крестьянин</t>
  </si>
  <si>
    <t>Кто это?  а) Железный голем б) Механический защитник в) Ржавый силач г) Деревенский страж</t>
  </si>
  <si>
    <t>Кто это?  а) Снежный голем б) Снеговик в) Ледяной помощник г) Морковный нос</t>
  </si>
  <si>
    <t>Кто это?  а) Пчела б) Медоносная оса в) Насекомое г) Крылатый</t>
  </si>
  <si>
    <t>Кто это?  а) Зомби б) Живой мертвец в) Гниющий г) Бродяга</t>
  </si>
  <si>
    <t>Кто это?  а) Скелет б) Костяной лучник в) Сухой г) Дряхлый воитель</t>
  </si>
  <si>
    <t>Кто это?  а) Крипер б) Зеленый взрыватель в) Шипящий монстр г) Шахтер-подрывник</t>
  </si>
  <si>
    <t>Кто это?  а) Слизень б) Зеленая жижа в) Прыгучий куб г) Желейный монстр</t>
  </si>
  <si>
    <t>Кто это?  а) Гаст б) Белый призрак в) Летающий крикун г) Огненный дух</t>
  </si>
  <si>
    <t>Кто это?  а) Магмовый куб б) Огненный слизень в) Лавовый прыгун г) Раскаленный кубик</t>
  </si>
  <si>
    <t>Кто это?  а) Ифрит б) Огненный элементаль в) Летающий поджигатель г) Дымный дух</t>
  </si>
  <si>
    <t>Кто это?  а) Ведьма б) Зельеварка в) Колдунья г) Знахарка</t>
  </si>
  <si>
    <t>Кто это?  а) Скелет-иссушитель б) Черный скелет в) Костяной воин ада г) Угрюмый лучник</t>
  </si>
  <si>
    <t>Кто это?  а) Зомби-житель б) Мертвый горожанин в) Инфицированный крестьянин г) Зомби-фермер</t>
  </si>
  <si>
    <t>Кто это?  а) Утопленник б) Водный зомби в) Морской мертвец г) Затонувший</t>
  </si>
  <si>
    <t>Кто это?  а) Фантом б) Ночной кошмар в) Летающий монстр г) Кожаный крылан</t>
  </si>
  <si>
    <t>Кто это?  а) Досаждатель б) Вредный дух в) Летающий вредитель г) Маленький злыдень</t>
  </si>
  <si>
    <t>Кто это?  а) Поборник б) Разбойник с топором в) Лесной головорез г) Темный воин</t>
  </si>
  <si>
    <t>Кто это?  а) Вызыватель б) Заклинатель в) Маг-разбойник г) Темный чародей</t>
  </si>
  <si>
    <t>Кто это?  а) Разбойник б) Грабитель в) Деревенский головорез г) Арбалетчик</t>
  </si>
  <si>
    <t>Кто это?  а) Разоритель б) Зверь-крушитель в) Голем-разрушитель г) Ездовой монстр разбойников</t>
  </si>
  <si>
    <t>Кто это?  а) Пиглин б) Свин-бандит в) Житель ада г) Золотой любитель</t>
  </si>
  <si>
    <t>Кто это?  а) Хоблин б) Адский гоблин в) Маленький бандит г) Обитатель недр</t>
  </si>
  <si>
    <t>Кто это?  а) Варден б) Глубинный страж в) Тюремщик г) Слепой ужас</t>
  </si>
  <si>
    <t>Кто это?  а) Шалкер б) Парящая коробка в) Засадный куб г) Фиолетовый вредитель</t>
  </si>
  <si>
    <t>Кто это?  а) Древний страж б) Затопленный робот в) Охраник храма г) Подводный босс</t>
  </si>
  <si>
    <t>Кто это?  а) Иссушитель б) Трехголовый скелет в) Костяной демон г) Владыка смерти</t>
  </si>
  <si>
    <t>Кто это?  а) Эндер-дракон б) Краевой дракон в) Финальный босс г) Летающий ящер</t>
  </si>
  <si>
    <t>Выберите в порядке увеличения количества сердец у мобов:  а) Курица б) Свинья в) Железный голем г) Иссушитель</t>
  </si>
  <si>
    <t>Выберите в порядке увеличения прочности инструментов:  а) Золотая кирка б) Деревянная лопата в) Каменная мотыга г) Железный топор</t>
  </si>
  <si>
    <t>Выберите в порядке увеличения времени роста растений:  а) Пшеница б) Морковь в) Картофель г) Свекла</t>
  </si>
  <si>
    <t>Выберите в порядке увеличения количества добываемого опыта при убийстве моба:  а) Курица б) Зомби в) Скелет г) Эндермен</t>
  </si>
  <si>
    <t>Выберите в порядке увеличения высоты прыжка:  а) Лягушка б) Кролик в) Лошадь г) Игрок с зельем прыгучести II</t>
  </si>
  <si>
    <t>Выберите в порядке увеличения прочности брони:  а) Кожаный шлем б) Золотой нагрудник в) Железные поножи г) Алмазные ботинки</t>
  </si>
  <si>
    <t>Выберите в порядке увеличения скорости передвижения по воде:  а) Игрок б) Лодка в) Дельфин г) Игрок с зачарованными ботинками на “Ледоход”</t>
  </si>
  <si>
    <t>Выберите в порядке уменьшенья количества блоков, разрушаемых динамитом:  а) Земля б) Камень в) Обсидиан г) Коренная порода</t>
  </si>
  <si>
    <t>Выберите в порядке увеличения силы взрыва:  а) Крипер б) Заряженный крипер в) Кровать в Нижнем мире г)Спавн Исушителя</t>
  </si>
  <si>
    <t>Выберите в порядке увеличения уровня освещенности:  а) Земля б) Факел в) Лампа из редстоуна г) Маяк</t>
  </si>
  <si>
    <t>Выберите в порядке увеличения дальности слышимости Вардена:  а) Шаг б) Бросок снежка в) Открытие сундука г) Падение на землю</t>
  </si>
  <si>
    <t>Выберите в порядке увеличения сопротивляемости к взрыву:  а) Стекло б) Камень в) Обсидиан г) Коренная порода</t>
  </si>
  <si>
    <t>Выберите в порядке увеличения голода, восстанавливаемого при поедании:  а) Яблоко б) Хлеб в) Стейк г) Тушоный кролик</t>
  </si>
  <si>
    <t>Выберите в порядке увеличения насыщения, восстанавливаемого при поедании:  а) Сырая курица б) Печёная картошка в) Стейк г) Золотая морковь</t>
  </si>
  <si>
    <t>Выберите в порядке увеличения времени, необходимого для выплавки одного предмета в плавильной печи:  а) Табличка б) Уголь в)Блок сушоной ламинарии  г)Ведро лавы</t>
  </si>
  <si>
    <t>Выберите в порядке увеличения частоты спавна моба:  а) Курица б) Зомби в) Эндермен г) Варден</t>
  </si>
  <si>
    <t>Выберите в порядке увеличения времени, которое нужно для прохождения одного блока в плавании:  а) Без эффектов б) Зелье скорости I в) Течение дельфина г) Течение дельфина + зелье скорости II</t>
  </si>
  <si>
    <t>Выберите в порядке увеличения длительности нахождения под водой без ущерба:  а) Без всего б) С зачарованным шлемом “Дыхание I” в) С зельем дыхания г) С раковиной наутилуса</t>
  </si>
  <si>
    <t>Выберите в порядке увеличения редкости нахождения структуры:  а) Деревня б) Заброшенная шахта в) Крепость г) Подводный монумент</t>
  </si>
  <si>
    <t>Выберите в порядке увеличения дальности полёта стрелы:  а) Обычный лук б) Лук + сила I в) Арбалет г) Арбалет + фейерверк</t>
  </si>
  <si>
    <t>Выберите в порядке увеличения необходимого времени для приготовления пищи на костре:  а) Курица б) Свинина в) Баранина г) Крольчатина</t>
  </si>
  <si>
    <t>Выберите в порядке увеличения скорости передвижения по льду:  а) Без ботинок б) Обычные ботинки в) Ботинки с “Ледоходом I” г) Ботинки с “Ледоходом II”</t>
  </si>
  <si>
    <t>Выберите в порядке увеличения количества дней, необходимых для созревания урожая:  а) Пшеница б) Морковь в) Тыква г) Арбуз</t>
  </si>
  <si>
    <t>Выберите в порядке увеличения количества лута в сундуках:  а) В деревне б) В заброшенной шахте в) В крепости г) В сокровищнице Древнего города</t>
  </si>
  <si>
    <t>Выберите в порядке увеличения прочности построек из блоков:  а) Земляная хижина б) Деревянный дом в) Каменный замок г) Бункер из обсидиана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</si>
</sst>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242F26"/>
      <name val="Arial"/>
    </font>
    <font>
      <sz val="10.0"/>
      <color theme="1"/>
      <name val="Arial"/>
    </font>
    <font>
      <sz val="12.0"/>
      <color rgb="FF212529"/>
      <name val="Quattrocento Sans"/>
    </font>
    <font>
      <sz val="10.0"/>
      <color rgb="FF000000"/>
      <name val="Arial"/>
    </font>
    <font>
      <color theme="1"/>
      <name val="Arial"/>
      <scheme val="minor"/>
    </font>
    <font>
      <sz val="12.0"/>
      <color rgb="FF212529"/>
      <name val="-apple-system"/>
    </font>
    <font>
      <sz val="12.0"/>
      <color rgb="FF212529"/>
      <name val="Arial"/>
    </font>
    <font>
      <sz val="12.0"/>
      <color theme="1"/>
      <name val="Arial"/>
      <scheme val="minor"/>
    </font>
    <font>
      <sz val="12.0"/>
      <color rgb="FFFFFFF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C37D"/>
        <bgColor rgb="FF19C37D"/>
      </patternFill>
    </fill>
  </fills>
  <borders count="3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0" fontId="5" numFmtId="0" xfId="0" applyBorder="1" applyFont="1"/>
    <xf borderId="2" fillId="0" fontId="6" numFmtId="0" xfId="0" applyBorder="1" applyFont="1"/>
    <xf borderId="0" fillId="2" fontId="7" numFmtId="0" xfId="0" applyAlignment="1" applyFill="1" applyFont="1">
      <alignment horizontal="left" readingOrder="0" shrinkToFit="0" wrapText="1"/>
    </xf>
    <xf borderId="0" fillId="2" fontId="8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Майнкрафт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G3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Майнкраф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3" max="3" width="16.38"/>
    <col customWidth="1" min="4" max="7" width="23.25"/>
    <col customWidth="1" min="8" max="8" width="5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tr">
        <f>IFERROR(__xludf.DUMMYFUNCTION("REGEXEXTRACT(H2, ""\d+\.\s*(.*?)\s*а\)"")"),"Какой блок является основным строительным материалом в Minecraft? ")</f>
        <v>Какой блок является основным строительным материалом в Minecraft? </v>
      </c>
      <c r="B2" s="3">
        <v>1.0</v>
      </c>
      <c r="C2" s="3"/>
      <c r="D2" s="3" t="str">
        <f>IFERROR(__xludf.DUMMYFUNCTION("REGEXREPLACE(REGEXEXTRACT(H2, ""а\)\s*(.*?)\s*б\)""), ""^\s*"", """")"),"Камень ")</f>
        <v>Камень </v>
      </c>
      <c r="E2" s="3" t="str">
        <f>IFERROR(__xludf.DUMMYFUNCTION("REGEXREPLACE(REGEXEXTRACT(H2, ""б\)\s*(.*?)\s*в\)""), ""^\s*"", """")"),"Песок")</f>
        <v>Песок</v>
      </c>
      <c r="F2" s="3" t="str">
        <f>IFERROR(__xludf.DUMMYFUNCTION("REGEXREPLACE(REGEXEXTRACT(H2, ""в\)\s*(.*?)\s*г\)""), ""^\s*"", """")"),"Земля")</f>
        <v>Земля</v>
      </c>
      <c r="G2" s="3" t="str">
        <f>IFERROR(__xludf.DUMMYFUNCTION("REGEXREPLACE(REGEXEXTRACT(H2, ""г\)\s*(.*)""), ""^\s*"", """")"),"Гравий")</f>
        <v>Гравий</v>
      </c>
      <c r="H2" s="4" t="s">
        <v>8</v>
      </c>
    </row>
    <row r="3">
      <c r="A3" s="3" t="str">
        <f>IFERROR(__xludf.DUMMYFUNCTION("REGEXEXTRACT(H3, ""\d+\.\s*(.*?)\s*а\)"")"),"Как называется измерение, где обитает Эндер-дракон? ")</f>
        <v>Как называется измерение, где обитает Эндер-дракон? </v>
      </c>
      <c r="B3" s="3">
        <v>1.0</v>
      </c>
      <c r="C3" s="3"/>
      <c r="D3" s="3" t="str">
        <f>IFERROR(__xludf.DUMMYFUNCTION("REGEXREPLACE(REGEXEXTRACT(H3, ""а\)\s*(.*?)\s*б\)""), ""^\s*"", """")"),"Край ")</f>
        <v>Край </v>
      </c>
      <c r="E3" s="3" t="str">
        <f>IFERROR(__xludf.DUMMYFUNCTION("REGEXREPLACE(REGEXEXTRACT(H3, ""б\)\s*(.*?)\s*в\)""), ""^\s*"", """")"),"Ад")</f>
        <v>Ад</v>
      </c>
      <c r="F3" s="3" t="str">
        <f>IFERROR(__xludf.DUMMYFUNCTION("REGEXREPLACE(REGEXEXTRACT(H3, ""в\)\s*(.*?)\s*г\)""), ""^\s*"", """")"),"Верхний мир")</f>
        <v>Верхний мир</v>
      </c>
      <c r="G3" s="3" t="str">
        <f>IFERROR(__xludf.DUMMYFUNCTION("REGEXREPLACE(REGEXEXTRACT(H3, ""г\)\s*(.*)""), ""^\s*"", """")"),"Измерение грибов")</f>
        <v>Измерение грибов</v>
      </c>
      <c r="H3" s="5" t="s">
        <v>9</v>
      </c>
    </row>
    <row r="4">
      <c r="A4" s="3" t="str">
        <f>IFERROR(__xludf.DUMMYFUNCTION("REGEXEXTRACT(H4, ""\d+\.\s*(.*?)\s*а\)"")"),"Какой моб взрывается при приближении к игроку? ")</f>
        <v>Какой моб взрывается при приближении к игроку? </v>
      </c>
      <c r="B4" s="3">
        <v>1.0</v>
      </c>
      <c r="C4" s="3"/>
      <c r="D4" s="3" t="str">
        <f>IFERROR(__xludf.DUMMYFUNCTION("REGEXREPLACE(REGEXEXTRACT(H4, ""а\)\s*(.*?)\s*б\)""), ""^\s*"", """")"),"Крипер ")</f>
        <v>Крипер </v>
      </c>
      <c r="E4" s="3" t="str">
        <f>IFERROR(__xludf.DUMMYFUNCTION("REGEXREPLACE(REGEXEXTRACT(H4, ""б\)\s*(.*?)\s*в\)""), ""^\s*"", """")"),"Скелет")</f>
        <v>Скелет</v>
      </c>
      <c r="F4" s="3" t="str">
        <f>IFERROR(__xludf.DUMMYFUNCTION("REGEXREPLACE(REGEXEXTRACT(H4, ""в\)\s*(.*?)\s*г\)""), ""^\s*"", """")"),"Зомби")</f>
        <v>Зомби</v>
      </c>
      <c r="G4" s="3" t="str">
        <f>IFERROR(__xludf.DUMMYFUNCTION("REGEXREPLACE(REGEXEXTRACT(H4, ""г\)\s*(.*)""), ""^\s*"", """")"),"Паук")</f>
        <v>Паук</v>
      </c>
      <c r="H4" s="4" t="s">
        <v>10</v>
      </c>
    </row>
    <row r="5">
      <c r="A5" s="3" t="str">
        <f>IFERROR(__xludf.DUMMYFUNCTION("REGEXEXTRACT(H5, ""\d+\.\s*(.*?)\s*а\)"")"),"Какой моб сбрасывает стрелы? ")</f>
        <v>Какой моб сбрасывает стрелы? </v>
      </c>
      <c r="B5" s="3">
        <v>1.0</v>
      </c>
      <c r="C5" s="6"/>
      <c r="D5" s="3" t="str">
        <f>IFERROR(__xludf.DUMMYFUNCTION("REGEXREPLACE(REGEXEXTRACT(H5, ""а\)\s*(.*?)\s*б\)""), ""^\s*"", """")"),"Скелет ")</f>
        <v>Скелет </v>
      </c>
      <c r="E5" s="3" t="str">
        <f>IFERROR(__xludf.DUMMYFUNCTION("REGEXREPLACE(REGEXEXTRACT(H5, ""б\)\s*(.*?)\s*в\)""), ""^\s*"", """")"),"Зомби")</f>
        <v>Зомби</v>
      </c>
      <c r="F5" s="3" t="str">
        <f>IFERROR(__xludf.DUMMYFUNCTION("REGEXREPLACE(REGEXEXTRACT(H5, ""в\)\s*(.*?)\s*г\)""), ""^\s*"", """")"),"Крипер")</f>
        <v>Крипер</v>
      </c>
      <c r="G5" s="3" t="str">
        <f>IFERROR(__xludf.DUMMYFUNCTION("REGEXREPLACE(REGEXEXTRACT(H5, ""г\)\s*(.*)""), ""^\s*"", """")"),"Паук")</f>
        <v>Паук</v>
      </c>
      <c r="H5" s="4" t="s">
        <v>11</v>
      </c>
    </row>
    <row r="6">
      <c r="A6" s="3" t="str">
        <f>IFERROR(__xludf.DUMMYFUNCTION("REGEXEXTRACT(H6, ""\d+\.\s*(.*?)\s*а\)"")"),"Какой моб плавает в воде и может атаковать игрока? ")</f>
        <v>Какой моб плавает в воде и может атаковать игрока? </v>
      </c>
      <c r="B6" s="3">
        <v>1.0</v>
      </c>
      <c r="C6" s="6"/>
      <c r="D6" s="3" t="str">
        <f>IFERROR(__xludf.DUMMYFUNCTION("REGEXREPLACE(REGEXEXTRACT(H6, ""а\)\s*(.*?)\s*б\)""), ""^\s*"", """")"),"Утопленник ")</f>
        <v>Утопленник </v>
      </c>
      <c r="E6" s="3" t="str">
        <f>IFERROR(__xludf.DUMMYFUNCTION("REGEXREPLACE(REGEXEXTRACT(H6, ""б\)\s*(.*?)\s*в\)""), ""^\s*"", """")"),"Овца")</f>
        <v>Овца</v>
      </c>
      <c r="F6" s="3" t="str">
        <f>IFERROR(__xludf.DUMMYFUNCTION("REGEXREPLACE(REGEXEXTRACT(H6, ""в\)\s*(.*?)\s*г\)""), ""^\s*"", """")"),"Свинья")</f>
        <v>Свинья</v>
      </c>
      <c r="G6" s="3" t="str">
        <f>IFERROR(__xludf.DUMMYFUNCTION("REGEXREPLACE(REGEXEXTRACT(H6, ""г\)\s*(.*)""), ""^\s*"", """")"),"Корова")</f>
        <v>Корова</v>
      </c>
      <c r="H6" s="4" t="s">
        <v>12</v>
      </c>
    </row>
    <row r="7">
      <c r="A7" s="3" t="str">
        <f>IFERROR(__xludf.DUMMYFUNCTION("REGEXEXTRACT(H7, ""\d+\.\s*(.*?)\s*а\)"")"),"Какого моба можно приручить с помощью костей? ")</f>
        <v>Какого моба можно приручить с помощью костей? </v>
      </c>
      <c r="B7" s="3">
        <v>1.0</v>
      </c>
      <c r="C7" s="6"/>
      <c r="D7" s="3" t="str">
        <f>IFERROR(__xludf.DUMMYFUNCTION("REGEXREPLACE(REGEXEXTRACT(H7, ""а\)\s*(.*?)\s*б\)""), ""^\s*"", """")"),"Волк ")</f>
        <v>Волк </v>
      </c>
      <c r="E7" s="3" t="str">
        <f>IFERROR(__xludf.DUMMYFUNCTION("REGEXREPLACE(REGEXEXTRACT(H7, ""б\)\s*(.*?)\s*в\)""), ""^\s*"", """")"),"Кошка")</f>
        <v>Кошка</v>
      </c>
      <c r="F7" s="3" t="str">
        <f>IFERROR(__xludf.DUMMYFUNCTION("REGEXREPLACE(REGEXEXTRACT(H7, ""в\)\s*(.*?)\s*г\)""), ""^\s*"", """")"),"Лошадь")</f>
        <v>Лошадь</v>
      </c>
      <c r="G7" s="3" t="str">
        <f>IFERROR(__xludf.DUMMYFUNCTION("REGEXREPLACE(REGEXEXTRACT(H7, ""г\)\s*(.*)""), ""^\s*"", """")"),"Попугай")</f>
        <v>Попугай</v>
      </c>
      <c r="H7" s="4" t="s">
        <v>13</v>
      </c>
    </row>
    <row r="8">
      <c r="A8" s="3" t="str">
        <f>IFERROR(__xludf.DUMMYFUNCTION("REGEXEXTRACT(H8, ""\d+\.\s*(.*?)\s*а\)"")"),"Какой моб можно найти в аду и он стреляет огненными шарами? ")</f>
        <v>Какой моб можно найти в аду и он стреляет огненными шарами? </v>
      </c>
      <c r="B8" s="3">
        <v>1.0</v>
      </c>
      <c r="C8" s="6"/>
      <c r="D8" s="3" t="str">
        <f>IFERROR(__xludf.DUMMYFUNCTION("REGEXREPLACE(REGEXEXTRACT(H8, ""а\)\s*(.*?)\s*б\)""), ""^\s*"", """")"),"Гаст ")</f>
        <v>Гаст </v>
      </c>
      <c r="E8" s="3" t="str">
        <f>IFERROR(__xludf.DUMMYFUNCTION("REGEXREPLACE(REGEXEXTRACT(H8, ""б\)\s*(.*?)\s*в\)""), ""^\s*"", """")"),"Эндермен")</f>
        <v>Эндермен</v>
      </c>
      <c r="F8" s="3" t="str">
        <f>IFERROR(__xludf.DUMMYFUNCTION("REGEXREPLACE(REGEXEXTRACT(H8, ""в\)\s*(.*?)\s*г\)""), ""^\s*"", """")"),"Зомби-свиночеловек")</f>
        <v>Зомби-свиночеловек</v>
      </c>
      <c r="G8" s="3" t="str">
        <f>IFERROR(__xludf.DUMMYFUNCTION("REGEXREPLACE(REGEXEXTRACT(H8, ""г\)\s*(.*)""), ""^\s*"", """")"),"Страж")</f>
        <v>Страж</v>
      </c>
      <c r="H8" s="4" t="s">
        <v>14</v>
      </c>
    </row>
    <row r="9">
      <c r="A9" s="3" t="str">
        <f>IFERROR(__xludf.DUMMYFUNCTION("REGEXEXTRACT(H9, ""\d+\.\s*(.*?)\s*а\)"")"),"Какой моб даёт шерсть? ")</f>
        <v>Какой моб даёт шерсть? </v>
      </c>
      <c r="B9" s="3">
        <v>1.0</v>
      </c>
      <c r="C9" s="6"/>
      <c r="D9" s="3" t="str">
        <f>IFERROR(__xludf.DUMMYFUNCTION("REGEXREPLACE(REGEXEXTRACT(H9, ""а\)\s*(.*?)\s*б\)""), ""^\s*"", """")"),"Овца ")</f>
        <v>Овца </v>
      </c>
      <c r="E9" s="3" t="str">
        <f>IFERROR(__xludf.DUMMYFUNCTION("REGEXREPLACE(REGEXEXTRACT(H9, ""б\)\s*(.*?)\s*в\)""), ""^\s*"", """")"),"Курица")</f>
        <v>Курица</v>
      </c>
      <c r="F9" s="3" t="str">
        <f>IFERROR(__xludf.DUMMYFUNCTION("REGEXREPLACE(REGEXEXTRACT(H9, ""в\)\s*(.*?)\s*г\)""), ""^\s*"", """")"),"Свинья")</f>
        <v>Свинья</v>
      </c>
      <c r="G9" s="3" t="str">
        <f>IFERROR(__xludf.DUMMYFUNCTION("REGEXREPLACE(REGEXEXTRACT(H9, ""г\)\s*(.*)""), ""^\s*"", """")"),"Корова")</f>
        <v>Корова</v>
      </c>
      <c r="H9" s="4" t="s">
        <v>15</v>
      </c>
    </row>
    <row r="10">
      <c r="A10" s="3" t="str">
        <f>IFERROR(__xludf.DUMMYFUNCTION("REGEXEXTRACT(H10, ""\d+\.\s*(.*?)\s*а\)"")"),"Какой предмет используется для создания портала в Нижний мир? ")</f>
        <v>Какой предмет используется для создания портала в Нижний мир? </v>
      </c>
      <c r="B10" s="3">
        <v>1.0</v>
      </c>
      <c r="C10" s="6"/>
      <c r="D10" s="3" t="str">
        <f>IFERROR(__xludf.DUMMYFUNCTION("REGEXREPLACE(REGEXEXTRACT(H10, ""а\)\s*(.*?)\s*б\)""), ""^\s*"", """")"),"Обсидиан ")</f>
        <v>Обсидиан </v>
      </c>
      <c r="E10" s="3" t="str">
        <f>IFERROR(__xludf.DUMMYFUNCTION("REGEXREPLACE(REGEXEXTRACT(H10, ""б\)\s*(.*?)\s*в\)""), ""^\s*"", """")"),"Алмаз")</f>
        <v>Алмаз</v>
      </c>
      <c r="F10" s="3" t="str">
        <f>IFERROR(__xludf.DUMMYFUNCTION("REGEXREPLACE(REGEXEXTRACT(H10, ""в\)\s*(.*?)\s*г\)""), ""^\s*"", """")"),"Золото")</f>
        <v>Золото</v>
      </c>
      <c r="G10" s="3" t="str">
        <f>IFERROR(__xludf.DUMMYFUNCTION("REGEXREPLACE(REGEXEXTRACT(H10, ""г\)\s*(.*)""), ""^\s*"", """")"),"Железо")</f>
        <v>Железо</v>
      </c>
      <c r="H10" s="4" t="s">
        <v>16</v>
      </c>
    </row>
    <row r="11">
      <c r="A11" s="3" t="str">
        <f>IFERROR(__xludf.DUMMYFUNCTION("REGEXEXTRACT(H11, ""\d+\.\s*(.*?)\s*а\)"")"),"Какой предмет нужен для создания хлеба? ")</f>
        <v>Какой предмет нужен для создания хлеба? </v>
      </c>
      <c r="B11" s="3">
        <v>1.0</v>
      </c>
      <c r="C11" s="6"/>
      <c r="D11" s="3" t="str">
        <f>IFERROR(__xludf.DUMMYFUNCTION("REGEXREPLACE(REGEXEXTRACT(H11, ""а\)\s*(.*?)\s*б\)""), ""^\s*"", """")"),"Пшеница ")</f>
        <v>Пшеница </v>
      </c>
      <c r="E11" s="3" t="str">
        <f>IFERROR(__xludf.DUMMYFUNCTION("REGEXREPLACE(REGEXEXTRACT(H11, ""б\)\s*(.*?)\s*в\)""), ""^\s*"", """")"),"Камень")</f>
        <v>Камень</v>
      </c>
      <c r="F11" s="3" t="str">
        <f>IFERROR(__xludf.DUMMYFUNCTION("REGEXREPLACE(REGEXEXTRACT(H11, ""в\)\s*(.*?)\s*г\)""), ""^\s*"", """")"),"Дерево")</f>
        <v>Дерево</v>
      </c>
      <c r="G11" s="3" t="str">
        <f>IFERROR(__xludf.DUMMYFUNCTION("REGEXREPLACE(REGEXEXTRACT(H11, ""г\)\s*(.*)""), ""^\s*"", """")"),"Уголь")</f>
        <v>Уголь</v>
      </c>
      <c r="H11" s="4" t="s">
        <v>17</v>
      </c>
    </row>
    <row r="12">
      <c r="A12" s="3" t="str">
        <f>IFERROR(__xludf.DUMMYFUNCTION("REGEXEXTRACT(H12, ""\d+\.\s*(.*?)\s*а\)"")"),"Какой предмет используется для создания факелов? ")</f>
        <v>Какой предмет используется для создания факелов? </v>
      </c>
      <c r="B12" s="3">
        <v>1.0</v>
      </c>
      <c r="C12" s="6"/>
      <c r="D12" s="3" t="str">
        <f>IFERROR(__xludf.DUMMYFUNCTION("REGEXREPLACE(REGEXEXTRACT(H12, ""а\)\s*(.*?)\s*б\)""), ""^\s*"", """")"),"Уголь ")</f>
        <v>Уголь </v>
      </c>
      <c r="E12" s="3" t="str">
        <f>IFERROR(__xludf.DUMMYFUNCTION("REGEXREPLACE(REGEXEXTRACT(H12, ""б\)\s*(.*?)\s*в\)""), ""^\s*"", """")"),"Алмаз")</f>
        <v>Алмаз</v>
      </c>
      <c r="F12" s="3" t="str">
        <f>IFERROR(__xludf.DUMMYFUNCTION("REGEXREPLACE(REGEXEXTRACT(H12, ""в\)\s*(.*?)\s*г\)""), ""^\s*"", """")"),"Золото")</f>
        <v>Золото</v>
      </c>
      <c r="G12" s="3" t="str">
        <f>IFERROR(__xludf.DUMMYFUNCTION("REGEXREPLACE(REGEXEXTRACT(H12, ""г\)\s*(.*)""), ""^\s*"", """")"),"Железо")</f>
        <v>Железо</v>
      </c>
      <c r="H12" s="4" t="s">
        <v>18</v>
      </c>
    </row>
    <row r="13">
      <c r="A13" s="3" t="str">
        <f>IFERROR(__xludf.DUMMYFUNCTION("REGEXEXTRACT(H13, ""\d+\.\s*(.*?)\s*а\)"")"),"В каком биоме растут кактусы? ")</f>
        <v>В каком биоме растут кактусы? </v>
      </c>
      <c r="B13" s="3">
        <v>1.0</v>
      </c>
      <c r="C13" s="6"/>
      <c r="D13" s="3" t="str">
        <f>IFERROR(__xludf.DUMMYFUNCTION("REGEXREPLACE(REGEXEXTRACT(H13, ""а\)\s*(.*?)\s*б\)""), ""^\s*"", """")"),"Пустыня ")</f>
        <v>Пустыня </v>
      </c>
      <c r="E13" s="3" t="str">
        <f>IFERROR(__xludf.DUMMYFUNCTION("REGEXREPLACE(REGEXEXTRACT(H13, ""б\)\s*(.*?)\s*в\)""), ""^\s*"", """")"),"Лес")</f>
        <v>Лес</v>
      </c>
      <c r="F13" s="3" t="str">
        <f>IFERROR(__xludf.DUMMYFUNCTION("REGEXREPLACE(REGEXEXTRACT(H13, ""в\)\s*(.*?)\s*г\)""), ""^\s*"", """")"),"Тундра")</f>
        <v>Тундра</v>
      </c>
      <c r="G13" s="3" t="str">
        <f>IFERROR(__xludf.DUMMYFUNCTION("REGEXREPLACE(REGEXEXTRACT(H13, ""г\)\s*(.*)""), ""^\s*"", """")"),"Джунгли")</f>
        <v>Джунгли</v>
      </c>
      <c r="H13" s="4" t="s">
        <v>19</v>
      </c>
    </row>
    <row r="14">
      <c r="A14" s="3" t="str">
        <f>IFERROR(__xludf.DUMMYFUNCTION("REGEXEXTRACT(H14, ""\d+\.\s*(.*?)\s*а\)"")"),"Какой биом содержит много воды и лилий? ")</f>
        <v>Какой биом содержит много воды и лилий? </v>
      </c>
      <c r="B14" s="3">
        <v>1.0</v>
      </c>
      <c r="C14" s="6"/>
      <c r="D14" s="3" t="str">
        <f>IFERROR(__xludf.DUMMYFUNCTION("REGEXREPLACE(REGEXEXTRACT(H14, ""а\)\s*(.*?)\s*б\)""), ""^\s*"", """")"),"Болото ")</f>
        <v>Болото </v>
      </c>
      <c r="E14" s="3" t="str">
        <f>IFERROR(__xludf.DUMMYFUNCTION("REGEXREPLACE(REGEXEXTRACT(H14, ""б\)\s*(.*?)\s*в\)""), ""^\s*"", """")"),"Горы")</f>
        <v>Горы</v>
      </c>
      <c r="F14" s="3" t="str">
        <f>IFERROR(__xludf.DUMMYFUNCTION("REGEXREPLACE(REGEXEXTRACT(H14, ""в\)\s*(.*?)\s*г\)""), ""^\s*"", """")"),"Равнина")</f>
        <v>Равнина</v>
      </c>
      <c r="G14" s="3" t="str">
        <f>IFERROR(__xludf.DUMMYFUNCTION("REGEXREPLACE(REGEXEXTRACT(H14, ""г\)\s*(.*)""), ""^\s*"", """")"),"Саванна")</f>
        <v>Саванна</v>
      </c>
      <c r="H14" s="4" t="s">
        <v>20</v>
      </c>
    </row>
    <row r="15">
      <c r="A15" s="3" t="str">
        <f>IFERROR(__xludf.DUMMYFUNCTION("REGEXEXTRACT(H15, ""\d+\.\s*(.*?)\s*а\)"")"),"В каком биоме выпадает снег? ")</f>
        <v>В каком биоме выпадает снег? </v>
      </c>
      <c r="B15" s="3">
        <v>1.0</v>
      </c>
      <c r="C15" s="6"/>
      <c r="D15" s="3" t="str">
        <f>IFERROR(__xludf.DUMMYFUNCTION("REGEXREPLACE(REGEXEXTRACT(H15, ""а\)\s*(.*?)\s*б\)""), ""^\s*"", """")"),"Тундра ")</f>
        <v>Тундра </v>
      </c>
      <c r="E15" s="3" t="str">
        <f>IFERROR(__xludf.DUMMYFUNCTION("REGEXREPLACE(REGEXEXTRACT(H15, ""б\)\s*(.*?)\s*в\)""), ""^\s*"", """")"),"Пустыня")</f>
        <v>Пустыня</v>
      </c>
      <c r="F15" s="3" t="str">
        <f>IFERROR(__xludf.DUMMYFUNCTION("REGEXREPLACE(REGEXEXTRACT(H15, ""в\)\s*(.*?)\s*г\)""), ""^\s*"", """")"),"Джунгли")</f>
        <v>Джунгли</v>
      </c>
      <c r="G15" s="3" t="str">
        <f>IFERROR(__xludf.DUMMYFUNCTION("REGEXREPLACE(REGEXEXTRACT(H15, ""г\)\s*(.*)""), ""^\s*"", """")"),"Саванна")</f>
        <v>Саванна</v>
      </c>
      <c r="H15" s="4" t="s">
        <v>21</v>
      </c>
    </row>
    <row r="16">
      <c r="A16" s="3" t="str">
        <f>IFERROR(__xludf.DUMMYFUNCTION("REGEXEXTRACT(H16, ""\d+\.\s*(.*?)\s*а\)"")"),"Какой биом известен своими высокими деревьями и лианами? ")</f>
        <v>Какой биом известен своими высокими деревьями и лианами? </v>
      </c>
      <c r="B16" s="3">
        <v>1.0</v>
      </c>
      <c r="C16" s="6"/>
      <c r="D16" s="3" t="str">
        <f>IFERROR(__xludf.DUMMYFUNCTION("REGEXREPLACE(REGEXEXTRACT(H16, ""а\)\s*(.*?)\s*б\)""), ""^\s*"", """")"),"Джунгли ")</f>
        <v>Джунгли </v>
      </c>
      <c r="E16" s="3" t="str">
        <f>IFERROR(__xludf.DUMMYFUNCTION("REGEXREPLACE(REGEXEXTRACT(H16, ""б\)\s*(.*?)\s*в\)""), ""^\s*"", """")"),"Равнина")</f>
        <v>Равнина</v>
      </c>
      <c r="F16" s="3" t="str">
        <f>IFERROR(__xludf.DUMMYFUNCTION("REGEXREPLACE(REGEXEXTRACT(H16, ""в\)\s*(.*?)\s*г\)""), ""^\s*"", """")"),"Горы")</f>
        <v>Горы</v>
      </c>
      <c r="G16" s="3" t="str">
        <f>IFERROR(__xludf.DUMMYFUNCTION("REGEXREPLACE(REGEXEXTRACT(H16, ""г\)\s*(.*)""), ""^\s*"", """")"),"Тундра")</f>
        <v>Тундра</v>
      </c>
      <c r="H16" s="4" t="s">
        <v>22</v>
      </c>
    </row>
    <row r="17">
      <c r="A17" s="3" t="str">
        <f>IFERROR(__xludf.DUMMYFUNCTION("REGEXEXTRACT(H17, ""\d+\.\s*(.*?)\s*а\)"")"),"Какой биом содержит много грибов? ")</f>
        <v>Какой биом содержит много грибов? </v>
      </c>
      <c r="B17" s="3">
        <v>1.0</v>
      </c>
      <c r="C17" s="6"/>
      <c r="D17" s="3" t="str">
        <f>IFERROR(__xludf.DUMMYFUNCTION("REGEXREPLACE(REGEXEXTRACT(H17, ""а\)\s*(.*?)\s*б\)""), ""^\s*"", """")"),"Грибной остров ")</f>
        <v>Грибной остров </v>
      </c>
      <c r="E17" s="3" t="str">
        <f>IFERROR(__xludf.DUMMYFUNCTION("REGEXREPLACE(REGEXEXTRACT(H17, ""б\)\s*(.*?)\s*в\)""), ""^\s*"", """")"),"Лес")</f>
        <v>Лес</v>
      </c>
      <c r="F17" s="3" t="str">
        <f>IFERROR(__xludf.DUMMYFUNCTION("REGEXREPLACE(REGEXEXTRACT(H17, ""в\)\s*(.*?)\s*г\)""), ""^\s*"", """")"),"Пустыня")</f>
        <v>Пустыня</v>
      </c>
      <c r="G17" s="3" t="str">
        <f>IFERROR(__xludf.DUMMYFUNCTION("REGEXREPLACE(REGEXEXTRACT(H17, ""г\)\s*(.*)""), ""^\s*"", """")"),"Тайга")</f>
        <v>Тайга</v>
      </c>
      <c r="H17" s="4" t="s">
        <v>23</v>
      </c>
    </row>
    <row r="18">
      <c r="A18" s="3" t="str">
        <f>IFERROR(__xludf.DUMMYFUNCTION("REGEXEXTRACT(H18, ""\d+\.\s*(.*?)\s*а\)"")"),"Какую структуру можно найти в пустыне? ")</f>
        <v>Какую структуру можно найти в пустыне? </v>
      </c>
      <c r="B18" s="3">
        <v>1.0</v>
      </c>
      <c r="C18" s="6"/>
      <c r="D18" s="3" t="str">
        <f>IFERROR(__xludf.DUMMYFUNCTION("REGEXREPLACE(REGEXEXTRACT(H18, ""а\)\s*(.*?)\s*б\)""), ""^\s*"", """")"),"Пирамида ")</f>
        <v>Пирамида </v>
      </c>
      <c r="E18" s="3" t="str">
        <f>IFERROR(__xludf.DUMMYFUNCTION("REGEXREPLACE(REGEXEXTRACT(H18, ""б\)\s*(.*?)\s*в\)""), ""^\s*"", """")"),"Деревня")</f>
        <v>Деревня</v>
      </c>
      <c r="F18" s="3" t="str">
        <f>IFERROR(__xludf.DUMMYFUNCTION("REGEXREPLACE(REGEXEXTRACT(H18, ""в\)\s*(.*?)\s*г\)""), ""^\s*"", """")"),"Крепость")</f>
        <v>Крепость</v>
      </c>
      <c r="G18" s="3" t="str">
        <f>IFERROR(__xludf.DUMMYFUNCTION("REGEXREPLACE(REGEXEXTRACT(H18, ""г\)\s*(.*)""), ""^\s*"", """")"),"Шахта")</f>
        <v>Шахта</v>
      </c>
      <c r="H18" s="4" t="s">
        <v>24</v>
      </c>
    </row>
    <row r="19">
      <c r="A19" s="3" t="str">
        <f>IFERROR(__xludf.DUMMYFUNCTION("REGEXEXTRACT(H19, ""\d+\.\s*(.*?)\s*а\)"")"),"Какую структуру можно найти в океане? ")</f>
        <v>Какую структуру можно найти в океане? </v>
      </c>
      <c r="B19" s="3">
        <v>1.0</v>
      </c>
      <c r="C19" s="6"/>
      <c r="D19" s="3" t="str">
        <f>IFERROR(__xludf.DUMMYFUNCTION("REGEXREPLACE(REGEXEXTRACT(H19, ""а\)\s*(.*?)\s*б\)""), ""^\s*"", """")"),"Морской монумент ")</f>
        <v>Морской монумент </v>
      </c>
      <c r="E19" s="3" t="str">
        <f>IFERROR(__xludf.DUMMYFUNCTION("REGEXREPLACE(REGEXEXTRACT(H19, ""б\)\s*(.*?)\s*в\)""), ""^\s*"", """")"),"Храм джунглей")</f>
        <v>Храм джунглей</v>
      </c>
      <c r="F19" s="3" t="str">
        <f>IFERROR(__xludf.DUMMYFUNCTION("REGEXREPLACE(REGEXEXTRACT(H19, ""в\)\s*(.*?)\s*г\)""), ""^\s*"", """")"),"Иглу")</f>
        <v>Иглу</v>
      </c>
      <c r="G19" s="3" t="str">
        <f>IFERROR(__xludf.DUMMYFUNCTION("REGEXREPLACE(REGEXEXTRACT(H19, ""г\)\s*(.*)""), ""^\s*"", """")"),"Заброшенная шахта")</f>
        <v>Заброшенная шахта</v>
      </c>
      <c r="H19" s="4" t="s">
        <v>25</v>
      </c>
    </row>
    <row r="20">
      <c r="A20" s="3" t="str">
        <f>IFERROR(__xludf.DUMMYFUNCTION("REGEXEXTRACT(H20, ""\d+\.\s*(.*?)\s*а\)"")"),"В какой структуре можно найти сокровище? ")</f>
        <v>В какой структуре можно найти сокровище? </v>
      </c>
      <c r="B20" s="3">
        <v>1.0</v>
      </c>
      <c r="C20" s="6"/>
      <c r="D20" s="3" t="str">
        <f>IFERROR(__xludf.DUMMYFUNCTION("REGEXREPLACE(REGEXEXTRACT(H20, ""а\)\s*(.*?)\s*б\)""), ""^\s*"", """")"),"Сундук с сокровищами ")</f>
        <v>Сундук с сокровищами </v>
      </c>
      <c r="E20" s="3" t="str">
        <f>IFERROR(__xludf.DUMMYFUNCTION("REGEXREPLACE(REGEXEXTRACT(H20, ""б\)\s*(.*?)\s*в\)""), ""^\s*"", """")"),"Дом деревенского жителя")</f>
        <v>Дом деревенского жителя</v>
      </c>
      <c r="F20" s="3" t="str">
        <f>IFERROR(__xludf.DUMMYFUNCTION("REGEXREPLACE(REGEXEXTRACT(H20, ""в\)\s*(.*?)\s*г\)""), ""^\s*"", """")"),"Верстак")</f>
        <v>Верстак</v>
      </c>
      <c r="G20" s="3" t="str">
        <f>IFERROR(__xludf.DUMMYFUNCTION("REGEXREPLACE(REGEXEXTRACT(H20, ""г\)\s*(.*)""), ""^\s*"", """")"),"Печь")</f>
        <v>Печь</v>
      </c>
      <c r="H20" s="4" t="s">
        <v>26</v>
      </c>
    </row>
    <row r="21">
      <c r="A21" s="3" t="str">
        <f>IFERROR(__xludf.DUMMYFUNCTION("REGEXEXTRACT(H21, ""\d+\.\s*(.*?)\s*а\)"")"),"Какую структуру можно найти в Нижнем мире? ")</f>
        <v>Какую структуру можно найти в Нижнем мире? </v>
      </c>
      <c r="B21" s="3">
        <v>1.0</v>
      </c>
      <c r="C21" s="6"/>
      <c r="D21" s="3" t="str">
        <f>IFERROR(__xludf.DUMMYFUNCTION("REGEXREPLACE(REGEXEXTRACT(H21, ""а\)\s*(.*?)\s*б\)""), ""^\s*"", """")"),"Крепость Нижнего мира ")</f>
        <v>Крепость Нижнего мира </v>
      </c>
      <c r="E21" s="3" t="str">
        <f>IFERROR(__xludf.DUMMYFUNCTION("REGEXREPLACE(REGEXEXTRACT(H21, ""б\)\s*(.*?)\s*в\)""), ""^\s*"", """")"),"Деревня")</f>
        <v>Деревня</v>
      </c>
      <c r="F21" s="3" t="str">
        <f>IFERROR(__xludf.DUMMYFUNCTION("REGEXREPLACE(REGEXEXTRACT(H21, ""в\)\s*(.*?)\s*г\)""), ""^\s*"", """")"),"Иглу")</f>
        <v>Иглу</v>
      </c>
      <c r="G21" s="3" t="str">
        <f>IFERROR(__xludf.DUMMYFUNCTION("REGEXREPLACE(REGEXEXTRACT(H21, ""г\)\s*(.*)""), ""^\s*"", """")"),"Шахта")</f>
        <v>Шахта</v>
      </c>
      <c r="H21" s="4" t="s">
        <v>27</v>
      </c>
    </row>
    <row r="22">
      <c r="A22" s="3" t="str">
        <f>IFERROR(__xludf.DUMMYFUNCTION("REGEXEXTRACT(H22, ""\d+\.\s*(.*?)\s*а\)"")"),"Какой ингредиент нужен для создания зелья силы? ")</f>
        <v>Какой ингредиент нужен для создания зелья силы? </v>
      </c>
      <c r="B22" s="3">
        <v>1.0</v>
      </c>
      <c r="C22" s="6"/>
      <c r="D22" s="3" t="str">
        <f>IFERROR(__xludf.DUMMYFUNCTION("REGEXREPLACE(REGEXEXTRACT(H22, ""а\)\s*(.*?)\s*б\)""), ""^\s*"", """")"),"Адский нарост ")</f>
        <v>Адский нарост </v>
      </c>
      <c r="E22" s="3" t="str">
        <f>IFERROR(__xludf.DUMMYFUNCTION("REGEXREPLACE(REGEXEXTRACT(H22, ""б\)\s*(.*?)\s*в\)""), ""^\s*"", """")"),"Слеза гаста")</f>
        <v>Слеза гаста</v>
      </c>
      <c r="F22" s="3" t="str">
        <f>IFERROR(__xludf.DUMMYFUNCTION("REGEXREPLACE(REGEXEXTRACT(H22, ""в\)\s*(.*?)\s*г\)""), ""^\s*"", """")"),"Красная пыль")</f>
        <v>Красная пыль</v>
      </c>
      <c r="G22" s="3" t="str">
        <f>IFERROR(__xludf.DUMMYFUNCTION("REGEXREPLACE(REGEXEXTRACT(H22, ""г\)\s*(.*)""), ""^\s*"", """")"),"Золотая морковь")</f>
        <v>Золотая морковь</v>
      </c>
      <c r="H22" s="4" t="s">
        <v>28</v>
      </c>
    </row>
    <row r="23">
      <c r="A23" s="3" t="str">
        <f>IFERROR(__xludf.DUMMYFUNCTION("REGEXEXTRACT(H23, ""\d+\.\s*(.*?)\s*а\)"")"),"Какое зачарование позволяет ходить по воде? ")</f>
        <v>Какое зачарование позволяет ходить по воде? </v>
      </c>
      <c r="B23" s="3">
        <v>1.0</v>
      </c>
      <c r="C23" s="6"/>
      <c r="D23" s="3" t="str">
        <f>IFERROR(__xludf.DUMMYFUNCTION("REGEXREPLACE(REGEXEXTRACT(H23, ""а\)\s*(.*?)\s*б\)""), ""^\s*"", """")"),"Ледоход ")</f>
        <v>Ледоход </v>
      </c>
      <c r="E23" s="3" t="str">
        <f>IFERROR(__xludf.DUMMYFUNCTION("REGEXREPLACE(REGEXEXTRACT(H23, ""б\)\s*(.*?)\s*в\)""), ""^\s*"", """")"),"Починка")</f>
        <v>Починка</v>
      </c>
      <c r="F23" s="3" t="str">
        <f>IFERROR(__xludf.DUMMYFUNCTION("REGEXREPLACE(REGEXEXTRACT(H23, ""в\)\s*(.*?)\s*г\)""), ""^\s*"", """")"),"Небесная кара")</f>
        <v>Небесная кара</v>
      </c>
      <c r="G23" s="3" t="str">
        <f>IFERROR(__xludf.DUMMYFUNCTION("REGEXREPLACE(REGEXEXTRACT(H23, ""г\)\s*(.*)""), ""^\s*"", """")"),"Отдача")</f>
        <v>Отдача</v>
      </c>
      <c r="H23" s="4" t="s">
        <v>29</v>
      </c>
    </row>
    <row r="24">
      <c r="A24" s="3" t="str">
        <f>IFERROR(__xludf.DUMMYFUNCTION("REGEXEXTRACT(H24, ""\d+\.\s*(.*?)\s*а\)"")"),"Какое зачарование позволяет дышать под водой? ")</f>
        <v>Какое зачарование позволяет дышать под водой? </v>
      </c>
      <c r="B24" s="3">
        <v>1.0</v>
      </c>
      <c r="C24" s="6"/>
      <c r="D24" s="3" t="str">
        <f>IFERROR(__xludf.DUMMYFUNCTION("REGEXREPLACE(REGEXEXTRACT(H24, ""а\)\s*(.*?)\s*б\)""), ""^\s*"", """")"),"Подводное дыхание ")</f>
        <v>Подводное дыхание </v>
      </c>
      <c r="E24" s="3" t="str">
        <f>IFERROR(__xludf.DUMMYFUNCTION("REGEXREPLACE(REGEXEXTRACT(H24, ""б\)\s*(.*?)\s*в\)""), ""^\s*"", """")"),"Невесомость")</f>
        <v>Невесомость</v>
      </c>
      <c r="F24" s="3" t="str">
        <f>IFERROR(__xludf.DUMMYFUNCTION("REGEXREPLACE(REGEXEXTRACT(H24, ""в\)\s*(.*?)\s*г\)""), ""^\s*"", """")"),"Регенерация")</f>
        <v>Регенерация</v>
      </c>
      <c r="G24" s="3" t="str">
        <f>IFERROR(__xludf.DUMMYFUNCTION("REGEXREPLACE(REGEXEXTRACT(H24, ""г\)\s*(.*)""), ""^\s*"", """")"),"Отдача")</f>
        <v>Отдача</v>
      </c>
      <c r="H24" s="4" t="s">
        <v>30</v>
      </c>
    </row>
    <row r="25">
      <c r="A25" s="3" t="str">
        <f>IFERROR(__xludf.DUMMYFUNCTION("REGEXEXTRACT(H25, ""\d+\.\s*(.*?)\s*а\)"")"),"Какой ингредиент используется для приготовления зелья невидимости? ")</f>
        <v>Какой ингредиент используется для приготовления зелья невидимости? </v>
      </c>
      <c r="B25" s="3">
        <v>1.0</v>
      </c>
      <c r="C25" s="6"/>
      <c r="D25" s="3" t="str">
        <f>IFERROR(__xludf.DUMMYFUNCTION("REGEXREPLACE(REGEXEXTRACT(H25, ""а\)\s*(.*?)\s*б\)""), ""^\s*"", """")"),"Золотая морковь ")</f>
        <v>Золотая морковь </v>
      </c>
      <c r="E25" s="3" t="str">
        <f>IFERROR(__xludf.DUMMYFUNCTION("REGEXREPLACE(REGEXEXTRACT(H25, ""б\)\s*(.*?)\s*в\)""), ""^\s*"", """")"),"Слеза гаста")</f>
        <v>Слеза гаста</v>
      </c>
      <c r="F25" s="3" t="str">
        <f>IFERROR(__xludf.DUMMYFUNCTION("REGEXREPLACE(REGEXEXTRACT(H25, ""в\)\s*(.*?)\s*г\)""), ""^\s*"", """")"),"Адский нарост")</f>
        <v>Адский нарост</v>
      </c>
      <c r="G25" s="3" t="str">
        <f>IFERROR(__xludf.DUMMYFUNCTION("REGEXREPLACE(REGEXEXTRACT(H25, ""г\)\s*(.*)""), ""^\s*"", """")"),"Красная пыль")</f>
        <v>Красная пыль</v>
      </c>
      <c r="H25" s="4" t="s">
        <v>31</v>
      </c>
    </row>
    <row r="26">
      <c r="A26" s="3" t="str">
        <f>IFERROR(__xludf.DUMMYFUNCTION("REGEXEXTRACT(H26, ""\d+\.\s*(.*?)\s*а\)"")"),"Какой блок передает редстоун сигнал? ")</f>
        <v>Какой блок передает редстоун сигнал? </v>
      </c>
      <c r="B26" s="3">
        <v>1.0</v>
      </c>
      <c r="C26" s="6"/>
      <c r="D26" s="3" t="str">
        <f>IFERROR(__xludf.DUMMYFUNCTION("REGEXREPLACE(REGEXEXTRACT(H26, ""а\)\s*(.*?)\s*б\)""), ""^\s*"", """")"),"Рычаг ")</f>
        <v>Рычаг </v>
      </c>
      <c r="E26" s="3" t="str">
        <f>IFERROR(__xludf.DUMMYFUNCTION("REGEXREPLACE(REGEXEXTRACT(H26, ""б\)\s*(.*?)\s*в\)""), ""^\s*"", """")"),"Сундук")</f>
        <v>Сундук</v>
      </c>
      <c r="F26" s="3" t="str">
        <f>IFERROR(__xludf.DUMMYFUNCTION("REGEXREPLACE(REGEXEXTRACT(H26, ""в\)\s*(.*?)\s*г\)""), ""^\s*"", """")"),"Верстак")</f>
        <v>Верстак</v>
      </c>
      <c r="G26" s="3" t="str">
        <f>IFERROR(__xludf.DUMMYFUNCTION("REGEXREPLACE(REGEXEXTRACT(H26, ""г\)\s*(.*)""), ""^\s*"", """")"),"Печь")</f>
        <v>Печь</v>
      </c>
      <c r="H26" s="4" t="s">
        <v>32</v>
      </c>
    </row>
    <row r="27">
      <c r="A27" s="3" t="str">
        <f>IFERROR(__xludf.DUMMYFUNCTION("REGEXEXTRACT(H27, ""\d+\.\s*(.*?)\s*а\)"")"),"Какой блок используется для создания сложных механизмов? ")</f>
        <v>Какой блок используется для создания сложных механизмов? </v>
      </c>
      <c r="B27" s="3">
        <v>1.0</v>
      </c>
      <c r="C27" s="6"/>
      <c r="D27" s="3" t="str">
        <f>IFERROR(__xludf.DUMMYFUNCTION("REGEXREPLACE(REGEXEXTRACT(H27, ""а\)\s*(.*?)\s*б\)""), ""^\s*"", """")"),"Поршень ")</f>
        <v>Поршень </v>
      </c>
      <c r="E27" s="3" t="str">
        <f>IFERROR(__xludf.DUMMYFUNCTION("REGEXREPLACE(REGEXEXTRACT(H27, ""б\)\s*(.*?)\s*в\)""), ""^\s*"", """")"),"Дерево")</f>
        <v>Дерево</v>
      </c>
      <c r="F27" s="3" t="str">
        <f>IFERROR(__xludf.DUMMYFUNCTION("REGEXREPLACE(REGEXEXTRACT(H27, ""в\)\s*(.*?)\s*г\)""), ""^\s*"", """")"),"Камень")</f>
        <v>Камень</v>
      </c>
      <c r="G27" s="3" t="str">
        <f>IFERROR(__xludf.DUMMYFUNCTION("REGEXREPLACE(REGEXEXTRACT(H27, ""г\)\s*(.*)""), ""^\s*"", """")"),"Стекло")</f>
        <v>Стекло</v>
      </c>
      <c r="H27" s="4" t="s">
        <v>33</v>
      </c>
    </row>
    <row r="28">
      <c r="A28" s="3" t="str">
        <f>IFERROR(__xludf.DUMMYFUNCTION("REGEXEXTRACT(H28, ""\d+\.\s*(.*?)\s*а\)"")"),"Какой блок может передавать редстоун сигнал без проводов? ")</f>
        <v>Какой блок может передавать редстоун сигнал без проводов? </v>
      </c>
      <c r="B28" s="3">
        <v>1.0</v>
      </c>
      <c r="C28" s="6"/>
      <c r="D28" s="3" t="str">
        <f>IFERROR(__xludf.DUMMYFUNCTION("REGEXREPLACE(REGEXEXTRACT(H28, ""а\)\s*(.*?)\s*б\)""), ""^\s*"", """")"),"Наблюдатель ")</f>
        <v>Наблюдатель </v>
      </c>
      <c r="E28" s="3" t="str">
        <f>IFERROR(__xludf.DUMMYFUNCTION("REGEXREPLACE(REGEXEXTRACT(H28, ""б\)\s*(.*?)\s*в\)""), ""^\s*"", """")"),"Компаратор")</f>
        <v>Компаратор</v>
      </c>
      <c r="F28" s="3" t="str">
        <f>IFERROR(__xludf.DUMMYFUNCTION("REGEXREPLACE(REGEXEXTRACT(H28, ""в\)\s*(.*?)\s*г\)""), ""^\s*"", """")"),"Повторитель")</f>
        <v>Повторитель</v>
      </c>
      <c r="G28" s="3" t="str">
        <f>IFERROR(__xludf.DUMMYFUNCTION("REGEXREPLACE(REGEXEXTRACT(H28, ""г\)\s*(.*)""), ""^\s*"", """")"),"Поршень")</f>
        <v>Поршень</v>
      </c>
      <c r="H28" s="4" t="s">
        <v>34</v>
      </c>
    </row>
    <row r="29">
      <c r="A29" s="3" t="str">
        <f>IFERROR(__xludf.DUMMYFUNCTION("REGEXEXTRACT(H29, ""\d+\.\s*(.*?)\s*а\)"")"),"Какой предмет нужно использовать для создания брони? ")</f>
        <v>Какой предмет нужно использовать для создания брони? </v>
      </c>
      <c r="B29" s="3">
        <v>1.0</v>
      </c>
      <c r="C29" s="6"/>
      <c r="D29" s="3" t="str">
        <f>IFERROR(__xludf.DUMMYFUNCTION("REGEXREPLACE(REGEXEXTRACT(H29, ""а\)\s*(.*?)\s*б\)""), ""^\s*"", """")"),"Кожа ")</f>
        <v>Кожа </v>
      </c>
      <c r="E29" s="3" t="str">
        <f>IFERROR(__xludf.DUMMYFUNCTION("REGEXREPLACE(REGEXEXTRACT(H29, ""б\)\s*(.*?)\s*в\)""), ""^\s*"", """")"),"Земля")</f>
        <v>Земля</v>
      </c>
      <c r="F29" s="3" t="str">
        <f>IFERROR(__xludf.DUMMYFUNCTION("REGEXREPLACE(REGEXEXTRACT(H29, ""в\)\s*(.*?)\s*г\)""), ""^\s*"", """")"),"Камень")</f>
        <v>Камень</v>
      </c>
      <c r="G29" s="3" t="str">
        <f>IFERROR(__xludf.DUMMYFUNCTION("REGEXREPLACE(REGEXEXTRACT(H29, ""г\)\s*(.*)""), ""^\s*"", """")"),"Песок")</f>
        <v>Песок</v>
      </c>
      <c r="H29" s="4" t="s">
        <v>35</v>
      </c>
    </row>
    <row r="30">
      <c r="A30" s="3" t="str">
        <f>IFERROR(__xludf.DUMMYFUNCTION("REGEXEXTRACT(H30, ""\d+\.\s*(.*?)\s*а\)"")"),"Какой предмет позволяет быстро перемещаться по рельсам? ")</f>
        <v>Какой предмет позволяет быстро перемещаться по рельсам? </v>
      </c>
      <c r="B30" s="3">
        <v>1.0</v>
      </c>
      <c r="C30" s="6"/>
      <c r="D30" s="3" t="str">
        <f>IFERROR(__xludf.DUMMYFUNCTION("REGEXREPLACE(REGEXEXTRACT(H30, ""а\)\s*(.*?)\s*б\)""), ""^\s*"", """")"),"Вагонетка ")</f>
        <v>Вагонетка </v>
      </c>
      <c r="E30" s="3" t="str">
        <f>IFERROR(__xludf.DUMMYFUNCTION("REGEXREPLACE(REGEXEXTRACT(H30, ""б\)\s*(.*?)\s*в\)""), ""^\s*"", """")"),"Лодка")</f>
        <v>Лодка</v>
      </c>
      <c r="F30" s="3" t="str">
        <f>IFERROR(__xludf.DUMMYFUNCTION("REGEXREPLACE(REGEXEXTRACT(H30, ""в\)\s*(.*?)\s*г\)""), ""^\s*"", """")"),"Весло")</f>
        <v>Весло</v>
      </c>
      <c r="G30" s="3" t="str">
        <f>IFERROR(__xludf.DUMMYFUNCTION("REGEXREPLACE(REGEXEXTRACT(H30, ""г\)\s*(.*)""), ""^\s*"", """")"),"Лопата")</f>
        <v>Лопата</v>
      </c>
      <c r="H30" s="4" t="s">
        <v>36</v>
      </c>
    </row>
    <row r="31">
      <c r="A31" s="3" t="str">
        <f>IFERROR(__xludf.DUMMYFUNCTION("REGEXEXTRACT(H31, ""\d+\.\s*(.*?)\s*а\)"")"),"Какой блок нужен для создания зелья? ")</f>
        <v>Какой блок нужен для создания зелья? </v>
      </c>
      <c r="B31" s="3">
        <v>1.0</v>
      </c>
      <c r="C31" s="6"/>
      <c r="D31" s="3" t="str">
        <f>IFERROR(__xludf.DUMMYFUNCTION("REGEXREPLACE(REGEXEXTRACT(H31, ""а\)\s*(.*?)\s*б\)""), ""^\s*"", """")"),"Варочная стойка ")</f>
        <v>Варочная стойка </v>
      </c>
      <c r="E31" s="3" t="str">
        <f>IFERROR(__xludf.DUMMYFUNCTION("REGEXREPLACE(REGEXEXTRACT(H31, ""б\)\s*(.*?)\s*в\)""), ""^\s*"", """")"),"Верстак")</f>
        <v>Верстак</v>
      </c>
      <c r="F31" s="3" t="str">
        <f>IFERROR(__xludf.DUMMYFUNCTION("REGEXREPLACE(REGEXEXTRACT(H31, ""в\)\s*(.*?)\s*г\)""), ""^\s*"", """")"),"Печь")</f>
        <v>Печь</v>
      </c>
      <c r="G31" s="3" t="str">
        <f>IFERROR(__xludf.DUMMYFUNCTION("REGEXREPLACE(REGEXEXTRACT(H31, ""г\)\s*(.*)""), ""^\s*"", """")"),"Сундук")</f>
        <v>Сундук</v>
      </c>
      <c r="H31" s="4" t="s">
        <v>37</v>
      </c>
    </row>
    <row r="32">
      <c r="A32" s="3" t="str">
        <f>IFERROR(__xludf.DUMMYFUNCTION("REGEXEXTRACT(H32, ""\d+\.\s*(.*?)\s*а\)"")"),"Какой блок нужен для хранения предметов? ")</f>
        <v>Какой блок нужен для хранения предметов? </v>
      </c>
      <c r="B32" s="3">
        <v>1.0</v>
      </c>
      <c r="C32" s="6"/>
      <c r="D32" s="3" t="str">
        <f>IFERROR(__xludf.DUMMYFUNCTION("REGEXREPLACE(REGEXEXTRACT(H32, ""а\)\s*(.*?)\s*б\)""), ""^\s*"", """")"),"Сундук ")</f>
        <v>Сундук </v>
      </c>
      <c r="E32" s="3" t="str">
        <f>IFERROR(__xludf.DUMMYFUNCTION("REGEXREPLACE(REGEXEXTRACT(H32, ""б\)\s*(.*?)\s*в\)""), ""^\s*"", """")"),"Верстак")</f>
        <v>Верстак</v>
      </c>
      <c r="F32" s="3" t="str">
        <f>IFERROR(__xludf.DUMMYFUNCTION("REGEXREPLACE(REGEXEXTRACT(H32, ""в\)\s*(.*?)\s*г\)""), ""^\s*"", """")"),"Печь")</f>
        <v>Печь</v>
      </c>
      <c r="G32" s="3" t="str">
        <f>IFERROR(__xludf.DUMMYFUNCTION("REGEXREPLACE(REGEXEXTRACT(H32, ""г\)\s*(.*)""), ""^\s*"", """")"),"Камень")</f>
        <v>Камень</v>
      </c>
      <c r="H32" s="4" t="s">
        <v>38</v>
      </c>
    </row>
    <row r="33">
      <c r="A33" s="3" t="str">
        <f>IFERROR(__xludf.DUMMYFUNCTION("REGEXEXTRACT(H33, ""\d+\.\s*(.*?)\s*а\)"")"),"Какой предмет используется для зачарования? ")</f>
        <v>Какой предмет используется для зачарования? </v>
      </c>
      <c r="B33" s="3">
        <v>1.0</v>
      </c>
      <c r="C33" s="6"/>
      <c r="D33" s="3" t="str">
        <f>IFERROR(__xludf.DUMMYFUNCTION("REGEXREPLACE(REGEXEXTRACT(H33, ""а\)\s*(.*?)\s*б\)""), ""^\s*"", """")"),"Зачаровальный стол ")</f>
        <v>Зачаровальный стол </v>
      </c>
      <c r="E33" s="3" t="str">
        <f>IFERROR(__xludf.DUMMYFUNCTION("REGEXREPLACE(REGEXEXTRACT(H33, ""б\)\s*(.*?)\s*в\)""), ""^\s*"", """")"),"Печь")</f>
        <v>Печь</v>
      </c>
      <c r="F33" s="3" t="str">
        <f>IFERROR(__xludf.DUMMYFUNCTION("REGEXREPLACE(REGEXEXTRACT(H33, ""в\)\s*(.*?)\s*г\)""), ""^\s*"", """")"),"Верстак")</f>
        <v>Верстак</v>
      </c>
      <c r="G33" s="3" t="str">
        <f>IFERROR(__xludf.DUMMYFUNCTION("REGEXREPLACE(REGEXEXTRACT(H33, ""г\)\s*(.*)""), ""^\s*"", """")"),"Сундук")</f>
        <v>Сундук</v>
      </c>
      <c r="H33" s="4" t="s">
        <v>39</v>
      </c>
    </row>
    <row r="34">
      <c r="A34" s="3" t="str">
        <f>IFERROR(__xludf.DUMMYFUNCTION("REGEXEXTRACT(H34, ""\d+\.\s*(.*?)\s*а\)"")"),"Какое достижение дается за вход в Нижний мир? ")</f>
        <v>Какое достижение дается за вход в Нижний мир? </v>
      </c>
      <c r="B34" s="3">
        <v>1.0</v>
      </c>
      <c r="C34" s="6"/>
      <c r="D34" s="3" t="str">
        <f>IFERROR(__xludf.DUMMYFUNCTION("REGEXREPLACE(REGEXEXTRACT(H34, ""а\)\s*(.*?)\s*б\)""), ""^\s*"", """")"),"“Огненные недра” ")</f>
        <v>“Огненные недра” </v>
      </c>
      <c r="E34" s="3" t="str">
        <f>IFERROR(__xludf.DUMMYFUNCTION("REGEXREPLACE(REGEXEXTRACT(H34, ""б\)\s*(.*?)\s*в\)""), ""^\s*"", """")"),"“На дно”")</f>
        <v>“На дно”</v>
      </c>
      <c r="F34" s="3" t="str">
        <f>IFERROR(__xludf.DUMMYFUNCTION("REGEXREPLACE(REGEXEXTRACT(H34, ""в\)\s*(.*?)\s*г\)""), ""^\s*"", """")"),"“Свободное падение”")</f>
        <v>“Свободное падение”</v>
      </c>
      <c r="G34" s="3" t="str">
        <f>IFERROR(__xludf.DUMMYFUNCTION("REGEXREPLACE(REGEXEXTRACT(H34, ""г\)\s*(.*)""), ""^\s*"", """")"),"“Начать гонку”")</f>
        <v>“Начать гонку”</v>
      </c>
      <c r="H34" s="4" t="s">
        <v>40</v>
      </c>
    </row>
    <row r="35">
      <c r="A35" s="3" t="str">
        <f>IFERROR(__xludf.DUMMYFUNCTION("REGEXEXTRACT(H35, ""\d+\.\s*(.*?)\s*а\)"")"),"Какое достижение дается за попадание в Край? ")</f>
        <v>Какое достижение дается за попадание в Край? </v>
      </c>
      <c r="B35" s="3">
        <v>1.0</v>
      </c>
      <c r="C35" s="7"/>
      <c r="D35" s="3" t="str">
        <f>IFERROR(__xludf.DUMMYFUNCTION("REGEXREPLACE(REGEXEXTRACT(H35, ""а\)\s*(.*?)\s*б\)""), ""^\s*"", """")"),"“Конец?” ")</f>
        <v>“Конец?” </v>
      </c>
      <c r="E35" s="3" t="str">
        <f>IFERROR(__xludf.DUMMYFUNCTION("REGEXREPLACE(REGEXEXTRACT(H35, ""б\)\s*(.*?)\s*в\)""), ""^\s*"", """")"),"“Выйти за рамки”")</f>
        <v>“Выйти за рамки”</v>
      </c>
      <c r="F35" s="3" t="str">
        <f>IFERROR(__xludf.DUMMYFUNCTION("REGEXREPLACE(REGEXEXTRACT(H35, ""в\)\s*(.*?)\s*г\)""), ""^\s*"", """")"),"“Начать гонку”")</f>
        <v>“Начать гонку”</v>
      </c>
      <c r="G35" s="3" t="str">
        <f>IFERROR(__xludf.DUMMYFUNCTION("REGEXREPLACE(REGEXEXTRACT(H35, ""г\)\s*(.*)""), ""^\s*"", """")"),"“Дикий”")</f>
        <v>“Дикий”</v>
      </c>
      <c r="H35" s="4" t="s">
        <v>41</v>
      </c>
    </row>
    <row r="36">
      <c r="A36" s="3" t="str">
        <f>IFERROR(__xludf.DUMMYFUNCTION("REGEXEXTRACT(H36, ""\d+\.\s*(.*?)\s*а\)"")"),"Какое достижение дается за создание алмазной брони? ")</f>
        <v>Какое достижение дается за создание алмазной брони? </v>
      </c>
      <c r="B36" s="3">
        <v>1.0</v>
      </c>
      <c r="C36" s="7"/>
      <c r="D36" s="3" t="str">
        <f>IFERROR(__xludf.DUMMYFUNCTION("REGEXREPLACE(REGEXEXTRACT(H36, ""а\)\s*(.*?)\s*б\)""), ""^\s*"", """")"),"“Осыпь меня алмазами” ")</f>
        <v>“Осыпь меня алмазами” </v>
      </c>
      <c r="E36" s="3" t="str">
        <f>IFERROR(__xludf.DUMMYFUNCTION("REGEXREPLACE(REGEXEXTRACT(H36, ""б\)\s*(.*?)\s*в\)""), ""^\s*"", """")"),"“Отправиться на войну”")</f>
        <v>“Отправиться на войну”</v>
      </c>
      <c r="F36" s="3" t="str">
        <f>IFERROR(__xludf.DUMMYFUNCTION("REGEXREPLACE(REGEXEXTRACT(H36, ""в\)\s*(.*?)\s*г\)""), ""^\s*"", """")"),"“Мы богачи”")</f>
        <v>“Мы богачи”</v>
      </c>
      <c r="G36" s="3" t="str">
        <f>IFERROR(__xludf.DUMMYFUNCTION("REGEXREPLACE(REGEXEXTRACT(H36, ""г\)\s*(.*)""), ""^\s*"", """")"),"“Железный человек”")</f>
        <v>“Железный человек”</v>
      </c>
      <c r="H36" s="4" t="s">
        <v>42</v>
      </c>
    </row>
    <row r="37">
      <c r="A37" s="3" t="str">
        <f>IFERROR(__xludf.DUMMYFUNCTION("REGEXEXTRACT(H37, ""\d+\.\s*(.*?)\s*а\)"")"),"Как называется моб, который охраняет сокровищницу в лесном особняке? ")</f>
        <v>Как называется моб, который охраняет сокровищницу в лесном особняке? </v>
      </c>
      <c r="B37" s="3">
        <v>1.0</v>
      </c>
      <c r="C37" s="7"/>
      <c r="D37" s="3" t="str">
        <f>IFERROR(__xludf.DUMMYFUNCTION("REGEXREPLACE(REGEXEXTRACT(H37, ""а\)\s*(.*?)\s*б\)""), ""^\s*"", """")"),"Разоритель ")</f>
        <v>Разоритель </v>
      </c>
      <c r="E37" s="3" t="str">
        <f>IFERROR(__xludf.DUMMYFUNCTION("REGEXREPLACE(REGEXEXTRACT(H37, ""б\)\s*(.*?)\s*в\)""), ""^\s*"", """")"),"Страж")</f>
        <v>Страж</v>
      </c>
      <c r="F37" s="3" t="str">
        <f>IFERROR(__xludf.DUMMYFUNCTION("REGEXREPLACE(REGEXEXTRACT(H37, ""в\)\s*(.*?)\s*г\)""), ""^\s*"", """")"),"Эндермен")</f>
        <v>Эндермен</v>
      </c>
      <c r="G37" s="3" t="str">
        <f>IFERROR(__xludf.DUMMYFUNCTION("REGEXREPLACE(REGEXEXTRACT(H37, ""г\)\s*(.*)""), ""^\s*"", """")"),"Гаст")</f>
        <v>Гаст</v>
      </c>
      <c r="H37" s="4" t="s">
        <v>43</v>
      </c>
    </row>
    <row r="38">
      <c r="A38" s="3" t="str">
        <f>IFERROR(__xludf.DUMMYFUNCTION("REGEXEXTRACT(H38, ""\d+\.\s*(.*?)\s*а\)"")"),"Какой предмет нужен для призыва Иссушителя? ")</f>
        <v>Какой предмет нужен для призыва Иссушителя? </v>
      </c>
      <c r="B38" s="3">
        <v>1.0</v>
      </c>
      <c r="C38" s="7"/>
      <c r="D38" s="3" t="str">
        <f>IFERROR(__xludf.DUMMYFUNCTION("REGEXREPLACE(REGEXEXTRACT(H38, ""а\)\s*(.*?)\s*б\)""), ""^\s*"", """")"),"Песок душ ")</f>
        <v>Песок душ </v>
      </c>
      <c r="E38" s="3" t="str">
        <f>IFERROR(__xludf.DUMMYFUNCTION("REGEXREPLACE(REGEXEXTRACT(H38, ""б\)\s*(.*?)\s*в\)""), ""^\s*"", """")"),"Алмазный блок")</f>
        <v>Алмазный блок</v>
      </c>
      <c r="F38" s="3" t="str">
        <f>IFERROR(__xludf.DUMMYFUNCTION("REGEXREPLACE(REGEXEXTRACT(H38, ""в\)\s*(.*?)\s*г\)""), ""^\s*"", """")"),"Железный слиток")</f>
        <v>Железный слиток</v>
      </c>
      <c r="G38" s="3" t="str">
        <f>IFERROR(__xludf.DUMMYFUNCTION("REGEXREPLACE(REGEXEXTRACT(H38, ""г\)\s*(.*)""), ""^\s*"", """")"),"Золотой слиток")</f>
        <v>Золотой слиток</v>
      </c>
      <c r="H38" s="4" t="s">
        <v>44</v>
      </c>
    </row>
    <row r="39">
      <c r="A39" s="3" t="str">
        <f>IFERROR(__xludf.DUMMYFUNCTION("REGEXEXTRACT(H39, ""\d+\.\s*(.*?)\s*а\)"")"),"Какой моб может телепортироваться и красть блоки? ")</f>
        <v>Какой моб может телепортироваться и красть блоки? </v>
      </c>
      <c r="B39" s="3">
        <v>1.0</v>
      </c>
      <c r="C39" s="7"/>
      <c r="D39" s="3" t="str">
        <f>IFERROR(__xludf.DUMMYFUNCTION("REGEXREPLACE(REGEXEXTRACT(H39, ""а\)\s*(.*?)\s*б\)""), ""^\s*"", """")"),"Эндермен ")</f>
        <v>Эндермен </v>
      </c>
      <c r="E39" s="3" t="str">
        <f>IFERROR(__xludf.DUMMYFUNCTION("REGEXREPLACE(REGEXEXTRACT(H39, ""б\)\s*(.*?)\s*в\)""), ""^\s*"", """")"),"Зомби")</f>
        <v>Зомби</v>
      </c>
      <c r="F39" s="3" t="str">
        <f>IFERROR(__xludf.DUMMYFUNCTION("REGEXREPLACE(REGEXEXTRACT(H39, ""в\)\s*(.*?)\s*г\)""), ""^\s*"", """")"),"Крипер")</f>
        <v>Крипер</v>
      </c>
      <c r="G39" s="3" t="str">
        <f>IFERROR(__xludf.DUMMYFUNCTION("REGEXREPLACE(REGEXEXTRACT(H39, ""г\)\s*(.*)""), ""^\s*"", """")"),"Скелет")</f>
        <v>Скелет</v>
      </c>
      <c r="H39" s="4" t="s">
        <v>45</v>
      </c>
    </row>
    <row r="40">
      <c r="A40" s="3" t="str">
        <f>IFERROR(__xludf.DUMMYFUNCTION("REGEXEXTRACT(H40, ""\d+\.\s*(.*?)\s*а\)"")"),"Какой моб является боссом океанического монумента? ")</f>
        <v>Какой моб является боссом океанического монумента? </v>
      </c>
      <c r="B40" s="3">
        <v>1.0</v>
      </c>
      <c r="C40" s="7"/>
      <c r="D40" s="3" t="str">
        <f>IFERROR(__xludf.DUMMYFUNCTION("REGEXREPLACE(REGEXEXTRACT(H40, ""а\)\s*(.*?)\s*б\)""), ""^\s*"", """")"),"Древний страж ")</f>
        <v>Древний страж </v>
      </c>
      <c r="E40" s="3" t="str">
        <f>IFERROR(__xludf.DUMMYFUNCTION("REGEXREPLACE(REGEXEXTRACT(H40, ""б\)\s*(.*?)\s*в\)""), ""^\s*"", """")"),"Страж")</f>
        <v>Страж</v>
      </c>
      <c r="F40" s="3" t="str">
        <f>IFERROR(__xludf.DUMMYFUNCTION("REGEXREPLACE(REGEXEXTRACT(H40, ""в\)\s*(.*?)\s*г\)""), ""^\s*"", """")"),"Утопленник")</f>
        <v>Утопленник</v>
      </c>
      <c r="G40" s="3" t="str">
        <f>IFERROR(__xludf.DUMMYFUNCTION("REGEXREPLACE(REGEXEXTRACT(H40, ""г\)\s*(.*)""), ""^\s*"", """")"),"Гаст")</f>
        <v>Гаст</v>
      </c>
      <c r="H40" s="4" t="s">
        <v>46</v>
      </c>
    </row>
    <row r="41">
      <c r="A41" s="3" t="str">
        <f>IFERROR(__xludf.DUMMYFUNCTION("REGEXEXTRACT(H41, ""\d+\.\s*(.*?)\s*а\)"")"),"Какой моб является враждебной версией жителя деревни? ")</f>
        <v>Какой моб является враждебной версией жителя деревни? </v>
      </c>
      <c r="B41" s="3">
        <v>1.0</v>
      </c>
      <c r="C41" s="7"/>
      <c r="D41" s="3" t="str">
        <f>IFERROR(__xludf.DUMMYFUNCTION("REGEXREPLACE(REGEXEXTRACT(H41, ""а\)\s*(.*?)\s*б\)""), ""^\s*"", """")"),"Разбойник ")</f>
        <v>Разбойник </v>
      </c>
      <c r="E41" s="3" t="str">
        <f>IFERROR(__xludf.DUMMYFUNCTION("REGEXREPLACE(REGEXEXTRACT(H41, ""б\)\s*(.*?)\s*в\)""), ""^\s*"", """")"),"Зомби")</f>
        <v>Зомби</v>
      </c>
      <c r="F41" s="3" t="str">
        <f>IFERROR(__xludf.DUMMYFUNCTION("REGEXREPLACE(REGEXEXTRACT(H41, ""в\)\s*(.*?)\s*г\)""), ""^\s*"", """")"),"Скелет")</f>
        <v>Скелет</v>
      </c>
      <c r="G41" s="3" t="str">
        <f>IFERROR(__xludf.DUMMYFUNCTION("REGEXREPLACE(REGEXEXTRACT(H41, ""г\)\s*(.*)""), ""^\s*"", """")"),"Крипер")</f>
        <v>Крипер</v>
      </c>
      <c r="H41" s="4" t="s">
        <v>47</v>
      </c>
    </row>
    <row r="42">
      <c r="A42" s="3" t="str">
        <f>IFERROR(__xludf.DUMMYFUNCTION("REGEXEXTRACT(H42, ""\d+\.\s*(.*?)\s*а\)"")"),"Какой инструмент используется для копания земли и песка? ")</f>
        <v>Какой инструмент используется для копания земли и песка? </v>
      </c>
      <c r="B42" s="3">
        <v>1.0</v>
      </c>
      <c r="C42" s="7"/>
      <c r="D42" s="3" t="str">
        <f>IFERROR(__xludf.DUMMYFUNCTION("REGEXREPLACE(REGEXEXTRACT(H42, ""а\)\s*(.*?)\s*б\)""), ""^\s*"", """")"),"Лопата ")</f>
        <v>Лопата </v>
      </c>
      <c r="E42" s="3" t="str">
        <f>IFERROR(__xludf.DUMMYFUNCTION("REGEXREPLACE(REGEXEXTRACT(H42, ""б\)\s*(.*?)\s*в\)""), ""^\s*"", """")"),"Кирка")</f>
        <v>Кирка</v>
      </c>
      <c r="F42" s="3" t="str">
        <f>IFERROR(__xludf.DUMMYFUNCTION("REGEXREPLACE(REGEXEXTRACT(H42, ""в\)\s*(.*?)\s*г\)""), ""^\s*"", """")"),"Топор")</f>
        <v>Топор</v>
      </c>
      <c r="G42" s="3" t="str">
        <f>IFERROR(__xludf.DUMMYFUNCTION("REGEXREPLACE(REGEXEXTRACT(H42, ""г\)\s*(.*)""), ""^\s*"", """")"),"Мотыга")</f>
        <v>Мотыга</v>
      </c>
      <c r="H42" s="4" t="s">
        <v>48</v>
      </c>
    </row>
    <row r="43">
      <c r="A43" s="3" t="str">
        <f>IFERROR(__xludf.DUMMYFUNCTION("REGEXEXTRACT(H43, ""\d+\.\s*(.*?)\s*а\)"")"),"Какой инструмент используется для рубки дерева? ")</f>
        <v>Какой инструмент используется для рубки дерева? </v>
      </c>
      <c r="B43" s="3">
        <v>1.0</v>
      </c>
      <c r="C43" s="7"/>
      <c r="D43" s="3" t="str">
        <f>IFERROR(__xludf.DUMMYFUNCTION("REGEXREPLACE(REGEXEXTRACT(H43, ""а\)\s*(.*?)\s*б\)""), ""^\s*"", """")"),"Топор ")</f>
        <v>Топор </v>
      </c>
      <c r="E43" s="3" t="str">
        <f>IFERROR(__xludf.DUMMYFUNCTION("REGEXREPLACE(REGEXEXTRACT(H43, ""б\)\s*(.*?)\s*в\)""), ""^\s*"", """")"),"Кирка")</f>
        <v>Кирка</v>
      </c>
      <c r="F43" s="3" t="str">
        <f>IFERROR(__xludf.DUMMYFUNCTION("REGEXREPLACE(REGEXEXTRACT(H43, ""в\)\s*(.*?)\s*г\)""), ""^\s*"", """")"),"Лопата")</f>
        <v>Лопата</v>
      </c>
      <c r="G43" s="3" t="str">
        <f>IFERROR(__xludf.DUMMYFUNCTION("REGEXREPLACE(REGEXEXTRACT(H43, ""г\)\s*(.*)""), ""^\s*"", """")"),"Мотыга")</f>
        <v>Мотыга</v>
      </c>
      <c r="H43" s="4" t="s">
        <v>49</v>
      </c>
    </row>
    <row r="44">
      <c r="A44" s="3" t="str">
        <f>IFERROR(__xludf.DUMMYFUNCTION("REGEXEXTRACT(H44, ""\d+\.\s*(.*?)\s*а\)"")"),"Какой предмет используется для создания стрел? ")</f>
        <v>Какой предмет используется для создания стрел? </v>
      </c>
      <c r="B44" s="3">
        <v>1.0</v>
      </c>
      <c r="C44" s="7"/>
      <c r="D44" s="3" t="str">
        <f>IFERROR(__xludf.DUMMYFUNCTION("REGEXREPLACE(REGEXEXTRACT(H44, ""а\)\s*(.*?)\s*б\)""), ""^\s*"", """")"),"Кремний ")</f>
        <v>Кремний </v>
      </c>
      <c r="E44" s="3" t="str">
        <f>IFERROR(__xludf.DUMMYFUNCTION("REGEXREPLACE(REGEXEXTRACT(H44, ""б\)\s*(.*?)\s*в\)""), ""^\s*"", """")"),"Уголь")</f>
        <v>Уголь</v>
      </c>
      <c r="F44" s="3" t="str">
        <f>IFERROR(__xludf.DUMMYFUNCTION("REGEXREPLACE(REGEXEXTRACT(H44, ""в\)\s*(.*?)\s*г\)""), ""^\s*"", """")"),"Железо")</f>
        <v>Железо</v>
      </c>
      <c r="G44" s="3" t="str">
        <f>IFERROR(__xludf.DUMMYFUNCTION("REGEXREPLACE(REGEXEXTRACT(H44, ""г\)\s*(.*)""), ""^\s*"", """")"),"Золото")</f>
        <v>Золото</v>
      </c>
      <c r="H44" s="4" t="s">
        <v>50</v>
      </c>
    </row>
    <row r="45">
      <c r="A45" s="3" t="str">
        <f>IFERROR(__xludf.DUMMYFUNCTION("REGEXEXTRACT(H45, ""\d+\.\s*(.*?)\s*а\)"")"),"Какой предмет используется для стрельбы стрелами? ")</f>
        <v>Какой предмет используется для стрельбы стрелами? </v>
      </c>
      <c r="B45" s="3">
        <v>1.0</v>
      </c>
      <c r="C45" s="7"/>
      <c r="D45" s="3" t="str">
        <f>IFERROR(__xludf.DUMMYFUNCTION("REGEXREPLACE(REGEXEXTRACT(H45, ""а\)\s*(.*?)\s*б\)""), ""^\s*"", """")"),"Лук ")</f>
        <v>Лук </v>
      </c>
      <c r="E45" s="3" t="str">
        <f>IFERROR(__xludf.DUMMYFUNCTION("REGEXREPLACE(REGEXEXTRACT(H45, ""б\)\s*(.*?)\s*в\)""), ""^\s*"", """")"),"Меч")</f>
        <v>Меч</v>
      </c>
      <c r="F45" s="3" t="str">
        <f>IFERROR(__xludf.DUMMYFUNCTION("REGEXREPLACE(REGEXEXTRACT(H45, ""в\)\s*(.*?)\s*г\)""), ""^\s*"", """")"),"Топор")</f>
        <v>Топор</v>
      </c>
      <c r="G45" s="3" t="str">
        <f>IFERROR(__xludf.DUMMYFUNCTION("REGEXREPLACE(REGEXEXTRACT(H45, ""г\)\s*(.*)""), ""^\s*"", """")"),"Мотыга")</f>
        <v>Мотыга</v>
      </c>
      <c r="H45" s="4" t="s">
        <v>51</v>
      </c>
    </row>
    <row r="46">
      <c r="A46" s="3" t="str">
        <f>IFERROR(__xludf.DUMMYFUNCTION("REGEXEXTRACT(H46, ""\d+\.\s*(.*?)\s*а\)"")"),"Какой блок можно использовать для создания света? ")</f>
        <v>Какой блок можно использовать для создания света? </v>
      </c>
      <c r="B46" s="3">
        <v>1.0</v>
      </c>
      <c r="C46" s="7"/>
      <c r="D46" s="3" t="str">
        <f>IFERROR(__xludf.DUMMYFUNCTION("REGEXREPLACE(REGEXEXTRACT(H46, ""а\)\s*(.*?)\s*б\)""), ""^\s*"", """")"),"Факел ")</f>
        <v>Факел </v>
      </c>
      <c r="E46" s="3" t="str">
        <f>IFERROR(__xludf.DUMMYFUNCTION("REGEXREPLACE(REGEXEXTRACT(H46, ""б\)\s*(.*?)\s*в\)""), ""^\s*"", """")"),"Земля")</f>
        <v>Земля</v>
      </c>
      <c r="F46" s="3" t="str">
        <f>IFERROR(__xludf.DUMMYFUNCTION("REGEXREPLACE(REGEXEXTRACT(H46, ""в\)\s*(.*?)\s*г\)""), ""^\s*"", """")"),"Камень")</f>
        <v>Камень</v>
      </c>
      <c r="G46" s="3" t="str">
        <f>IFERROR(__xludf.DUMMYFUNCTION("REGEXREPLACE(REGEXEXTRACT(H46, ""г\)\s*(.*)""), ""^\s*"", """")"),"Песок")</f>
        <v>Песок</v>
      </c>
      <c r="H46" s="4" t="s">
        <v>52</v>
      </c>
    </row>
    <row r="47">
      <c r="A47" s="3" t="str">
        <f>IFERROR(__xludf.DUMMYFUNCTION("REGEXEXTRACT(H47, ""\d+\.\s*(.*?)\s*а\)"")"),"Какой блок используется для плавки руды? ")</f>
        <v>Какой блок используется для плавки руды? </v>
      </c>
      <c r="B47" s="3">
        <v>1.0</v>
      </c>
      <c r="C47" s="7"/>
      <c r="D47" s="3" t="str">
        <f>IFERROR(__xludf.DUMMYFUNCTION("REGEXREPLACE(REGEXEXTRACT(H47, ""а\)\s*(.*?)\s*б\)""), ""^\s*"", """")"),"Печь ")</f>
        <v>Печь </v>
      </c>
      <c r="E47" s="3" t="str">
        <f>IFERROR(__xludf.DUMMYFUNCTION("REGEXREPLACE(REGEXEXTRACT(H47, ""б\)\s*(.*?)\s*в\)""), ""^\s*"", """")"),"Верстак")</f>
        <v>Верстак</v>
      </c>
      <c r="F47" s="3" t="str">
        <f>IFERROR(__xludf.DUMMYFUNCTION("REGEXREPLACE(REGEXEXTRACT(H47, ""в\)\s*(.*?)\s*г\)""), ""^\s*"", """")"),"Сундук")</f>
        <v>Сундук</v>
      </c>
      <c r="G47" s="3" t="str">
        <f>IFERROR(__xludf.DUMMYFUNCTION("REGEXREPLACE(REGEXEXTRACT(H47, ""г\)\s*(.*)""), ""^\s*"", """")"),"Камень")</f>
        <v>Камень</v>
      </c>
      <c r="H47" s="4" t="s">
        <v>53</v>
      </c>
    </row>
    <row r="48">
      <c r="A48" s="3" t="str">
        <f>IFERROR(__xludf.DUMMYFUNCTION("REGEXEXTRACT(H48, ""\d+\.\s*(.*?)\s*а\)"")"),"Какой блок используется для создания водяных лифтов? ")</f>
        <v>Какой блок используется для создания водяных лифтов? </v>
      </c>
      <c r="B48" s="3">
        <v>1.0</v>
      </c>
      <c r="C48" s="7"/>
      <c r="D48" s="3" t="str">
        <f>IFERROR(__xludf.DUMMYFUNCTION("REGEXREPLACE(REGEXEXTRACT(H48, ""а\)\s*(.*?)\s*б\)""), ""^\s*"", """")"),"Песок душ ")</f>
        <v>Песок душ </v>
      </c>
      <c r="E48" s="3" t="str">
        <f>IFERROR(__xludf.DUMMYFUNCTION("REGEXREPLACE(REGEXEXTRACT(H48, ""б\)\s*(.*?)\s*в\)""), ""^\s*"", """")"),"Факел")</f>
        <v>Факел</v>
      </c>
      <c r="F48" s="3" t="str">
        <f>IFERROR(__xludf.DUMMYFUNCTION("REGEXREPLACE(REGEXEXTRACT(H48, ""в\)\s*(.*?)\s*г\)""), ""^\s*"", """")"),"Камень")</f>
        <v>Камень</v>
      </c>
      <c r="G48" s="3" t="str">
        <f>IFERROR(__xludf.DUMMYFUNCTION("REGEXREPLACE(REGEXEXTRACT(H48, ""г\)\s*(.*)""), ""^\s*"", """")"),"Земля")</f>
        <v>Земля</v>
      </c>
      <c r="H48" s="4" t="s">
        <v>54</v>
      </c>
    </row>
    <row r="49">
      <c r="A49" s="3" t="str">
        <f>IFERROR(__xludf.DUMMYFUNCTION("REGEXEXTRACT(H49, ""\d+\.\s*(.*?)\s*а\)"")"),"Как называется мир, который является “адом” в Minecraft? ")</f>
        <v>Как называется мир, который является “адом” в Minecraft? </v>
      </c>
      <c r="B49" s="3">
        <v>1.0</v>
      </c>
      <c r="C49" s="7"/>
      <c r="D49" s="3" t="str">
        <f>IFERROR(__xludf.DUMMYFUNCTION("REGEXREPLACE(REGEXEXTRACT(H49, ""а\)\s*(.*?)\s*б\)""), ""^\s*"", """")"),"Нижний мир ")</f>
        <v>Нижний мир </v>
      </c>
      <c r="E49" s="3" t="str">
        <f>IFERROR(__xludf.DUMMYFUNCTION("REGEXREPLACE(REGEXEXTRACT(H49, ""б\)\s*(.*?)\s*в\)""), ""^\s*"", """")"),"Край")</f>
        <v>Край</v>
      </c>
      <c r="F49" s="3" t="str">
        <f>IFERROR(__xludf.DUMMYFUNCTION("REGEXREPLACE(REGEXEXTRACT(H49, ""в\)\s*(.*?)\s*г\)""), ""^\s*"", """")"),"Верхний мир")</f>
        <v>Верхний мир</v>
      </c>
      <c r="G49" s="3" t="str">
        <f>IFERROR(__xludf.DUMMYFUNCTION("REGEXREPLACE(REGEXEXTRACT(H49, ""г\)\s*(.*)""), ""^\s*"", """")"),"Измерение грибов")</f>
        <v>Измерение грибов</v>
      </c>
      <c r="H49" s="4" t="s">
        <v>55</v>
      </c>
    </row>
    <row r="50">
      <c r="A50" s="3" t="str">
        <f>IFERROR(__xludf.DUMMYFUNCTION("REGEXEXTRACT(H50, ""\d+\.\s*(.*?)\s*а\)"")"),"Что является основной валютой для торговли с жителями деревни? ")</f>
        <v>Что является основной валютой для торговли с жителями деревни? </v>
      </c>
      <c r="B50" s="3">
        <v>1.0</v>
      </c>
      <c r="C50" s="7"/>
      <c r="D50" s="3" t="str">
        <f>IFERROR(__xludf.DUMMYFUNCTION("REGEXREPLACE(REGEXEXTRACT(H50, ""а\)\s*(.*?)\s*б\)""), ""^\s*"", """")"),"Изумруды ")</f>
        <v>Изумруды </v>
      </c>
      <c r="E50" s="3" t="str">
        <f>IFERROR(__xludf.DUMMYFUNCTION("REGEXREPLACE(REGEXEXTRACT(H50, ""б\)\s*(.*?)\s*в\)""), ""^\s*"", """")"),"Золото")</f>
        <v>Золото</v>
      </c>
      <c r="F50" s="3" t="str">
        <f>IFERROR(__xludf.DUMMYFUNCTION("REGEXREPLACE(REGEXEXTRACT(H50, ""в\)\s*(.*?)\s*г\)""), ""^\s*"", """")"),"Железо")</f>
        <v>Железо</v>
      </c>
      <c r="G50" s="3" t="str">
        <f>IFERROR(__xludf.DUMMYFUNCTION("REGEXREPLACE(REGEXEXTRACT(H50, ""г\)\s*(.*)""), ""^\s*"", """")"),"Алмазы")</f>
        <v>Алмазы</v>
      </c>
      <c r="H50" s="4" t="s">
        <v>56</v>
      </c>
    </row>
    <row r="51">
      <c r="A51" s="3" t="str">
        <f>IFERROR(__xludf.DUMMYFUNCTION("REGEXEXTRACT(H51, ""\d+\.\s*(.*?)\s*а\)"")"),"Какое животное можно вырастить из яйца? ")</f>
        <v>Какое животное можно вырастить из яйца? </v>
      </c>
      <c r="B51" s="3">
        <v>1.0</v>
      </c>
      <c r="C51" s="7"/>
      <c r="D51" s="3" t="str">
        <f>IFERROR(__xludf.DUMMYFUNCTION("REGEXREPLACE(REGEXEXTRACT(H51, ""а\)\s*(.*?)\s*б\)""), ""^\s*"", """")"),"Курица ")</f>
        <v>Курица </v>
      </c>
      <c r="E51" s="3" t="str">
        <f>IFERROR(__xludf.DUMMYFUNCTION("REGEXREPLACE(REGEXEXTRACT(H51, ""б\)\s*(.*?)\s*в\)""), ""^\s*"", """")"),"Овца")</f>
        <v>Овца</v>
      </c>
      <c r="F51" s="3" t="str">
        <f>IFERROR(__xludf.DUMMYFUNCTION("REGEXREPLACE(REGEXEXTRACT(H51, ""в\)\s*(.*?)\s*г\)""), ""^\s*"", """")"),"Свинья")</f>
        <v>Свинья</v>
      </c>
      <c r="G51" s="3" t="str">
        <f>IFERROR(__xludf.DUMMYFUNCTION("REGEXREPLACE(REGEXEXTRACT(H51, ""г\)\s*(.*)""), ""^\s*"", """")"),"Корова")</f>
        <v>Корова</v>
      </c>
      <c r="H51" s="4" t="s">
        <v>57</v>
      </c>
    </row>
    <row r="52">
      <c r="A52" s="3" t="str">
        <f>IFERROR(__xludf.DUMMYFUNCTION("REGEXEXTRACT(H52, ""\d+\.\s*(.*?)\s*а\)"")"),"Какой предмет используется для создания лодки? ")</f>
        <v>Какой предмет используется для создания лодки? </v>
      </c>
      <c r="B52" s="3">
        <v>1.0</v>
      </c>
      <c r="C52" s="7"/>
      <c r="D52" s="3" t="str">
        <f>IFERROR(__xludf.DUMMYFUNCTION("REGEXREPLACE(REGEXEXTRACT(H52, ""а\)\s*(.*?)\s*б\)""), ""^\s*"", """")"),"Дерево ")</f>
        <v>Дерево </v>
      </c>
      <c r="E52" s="3" t="str">
        <f>IFERROR(__xludf.DUMMYFUNCTION("REGEXREPLACE(REGEXEXTRACT(H52, ""б\)\s*(.*?)\s*в\)""), ""^\s*"", """")"),"Железо")</f>
        <v>Железо</v>
      </c>
      <c r="F52" s="3" t="str">
        <f>IFERROR(__xludf.DUMMYFUNCTION("REGEXREPLACE(REGEXEXTRACT(H52, ""в\)\s*(.*?)\s*г\)""), ""^\s*"", """")"),"Алмазы")</f>
        <v>Алмазы</v>
      </c>
      <c r="G52" s="3" t="str">
        <f>IFERROR(__xludf.DUMMYFUNCTION("REGEXREPLACE(REGEXEXTRACT(H52, ""г\)\s*(.*)""), ""^\s*"", """")"),"Обсидиан")</f>
        <v>Обсидиан</v>
      </c>
      <c r="H52" s="4" t="s">
        <v>58</v>
      </c>
    </row>
    <row r="53">
      <c r="A53" s="3" t="str">
        <f>IFERROR(__xludf.DUMMYFUNCTION("REGEXEXTRACT(H53, ""\d+\.\s*(.*?)\s*а\)"")"),"Какой блок можно использовать для создания портала в Нижний мир? ")</f>
        <v>Какой блок можно использовать для создания портала в Нижний мир? </v>
      </c>
      <c r="B53" s="3">
        <v>1.0</v>
      </c>
      <c r="C53" s="7"/>
      <c r="D53" s="3" t="str">
        <f>IFERROR(__xludf.DUMMYFUNCTION("REGEXREPLACE(REGEXEXTRACT(H53, ""а\)\s*(.*?)\s*б\)""), ""^\s*"", """")"),"Обсидиан ")</f>
        <v>Обсидиан </v>
      </c>
      <c r="E53" s="3" t="str">
        <f>IFERROR(__xludf.DUMMYFUNCTION("REGEXREPLACE(REGEXEXTRACT(H53, ""б\)\s*(.*?)\s*в\)""), ""^\s*"", """")"),"Железо")</f>
        <v>Железо</v>
      </c>
      <c r="F53" s="3" t="str">
        <f>IFERROR(__xludf.DUMMYFUNCTION("REGEXREPLACE(REGEXEXTRACT(H53, ""в\)\s*(.*?)\s*г\)""), ""^\s*"", """")"),"Золото")</f>
        <v>Золото</v>
      </c>
      <c r="G53" s="3" t="str">
        <f>IFERROR(__xludf.DUMMYFUNCTION("REGEXREPLACE(REGEXEXTRACT(H53, ""г\)\s*(.*)""), ""^\s*"", """")"),"Алмаз")</f>
        <v>Алмаз</v>
      </c>
      <c r="H53" s="4" t="s">
        <v>59</v>
      </c>
    </row>
    <row r="54">
      <c r="A54" s="3" t="str">
        <f>IFERROR(__xludf.DUMMYFUNCTION("REGEXEXTRACT(H54, ""\d+\.\s*(.*?)\s*а\)"")"),"Как называется режим игры, в котором у игрока есть только одна жизнь? ")</f>
        <v>Как называется режим игры, в котором у игрока есть только одна жизнь? </v>
      </c>
      <c r="B54" s="3">
        <v>1.0</v>
      </c>
      <c r="C54" s="7"/>
      <c r="D54" s="3" t="str">
        <f>IFERROR(__xludf.DUMMYFUNCTION("REGEXREPLACE(REGEXEXTRACT(H54, ""а\)\s*(.*?)\s*б\)""), ""^\s*"", """")"),"Хардкор ")</f>
        <v>Хардкор </v>
      </c>
      <c r="E54" s="3" t="str">
        <f>IFERROR(__xludf.DUMMYFUNCTION("REGEXREPLACE(REGEXEXTRACT(H54, ""б\)\s*(.*?)\s*в\)""), ""^\s*"", """")"),"Выживание")</f>
        <v>Выживание</v>
      </c>
      <c r="F54" s="3" t="str">
        <f>IFERROR(__xludf.DUMMYFUNCTION("REGEXREPLACE(REGEXEXTRACT(H54, ""в\)\s*(.*?)\s*г\)""), ""^\s*"", """")"),"Приключение")</f>
        <v>Приключение</v>
      </c>
      <c r="G54" s="3" t="str">
        <f>IFERROR(__xludf.DUMMYFUNCTION("REGEXREPLACE(REGEXEXTRACT(H54, ""г\)\s*(.*)""), ""^\s*"", """")"),"Креатив")</f>
        <v>Креатив</v>
      </c>
      <c r="H54" s="4" t="s">
        <v>60</v>
      </c>
    </row>
    <row r="55">
      <c r="A55" s="3" t="str">
        <f>IFERROR(__xludf.DUMMYFUNCTION("REGEXEXTRACT(H55, ""\d+\.\s*(.*?)\s*а\)"")"),"Как называется режим игры, в котором нужно добывать ресурсы и выживать? ")</f>
        <v>Как называется режим игры, в котором нужно добывать ресурсы и выживать? </v>
      </c>
      <c r="B55" s="3">
        <v>1.0</v>
      </c>
      <c r="C55" s="7"/>
      <c r="D55" s="3" t="str">
        <f>IFERROR(__xludf.DUMMYFUNCTION("REGEXREPLACE(REGEXEXTRACT(H55, ""а\)\s*(.*?)\s*б\)""), ""^\s*"", """")"),"Выживание ")</f>
        <v>Выживание </v>
      </c>
      <c r="E55" s="3" t="str">
        <f>IFERROR(__xludf.DUMMYFUNCTION("REGEXREPLACE(REGEXEXTRACT(H55, ""б\)\s*(.*?)\s*в\)""), ""^\s*"", """")"),"Хардкор")</f>
        <v>Хардкор</v>
      </c>
      <c r="F55" s="3" t="str">
        <f>IFERROR(__xludf.DUMMYFUNCTION("REGEXREPLACE(REGEXEXTRACT(H55, ""в\)\s*(.*?)\s*г\)""), ""^\s*"", """")"),"Креатив")</f>
        <v>Креатив</v>
      </c>
      <c r="G55" s="3" t="str">
        <f>IFERROR(__xludf.DUMMYFUNCTION("REGEXREPLACE(REGEXEXTRACT(H55, ""г\)\s*(.*)""), ""^\s*"", """")"),"Приключение")</f>
        <v>Приключение</v>
      </c>
      <c r="H55" s="4" t="s">
        <v>61</v>
      </c>
    </row>
    <row r="56">
      <c r="A56" s="3" t="str">
        <f>IFERROR(__xludf.DUMMYFUNCTION("REGEXEXTRACT(H56, ""\d+\.\s*(.*?)\s*а\)"")"),"Как называется режим игры, в котором нельзя ломать блоки? ")</f>
        <v>Как называется режим игры, в котором нельзя ломать блоки? </v>
      </c>
      <c r="B56" s="3">
        <v>1.0</v>
      </c>
      <c r="C56" s="7"/>
      <c r="D56" s="3" t="str">
        <f>IFERROR(__xludf.DUMMYFUNCTION("REGEXREPLACE(REGEXEXTRACT(H56, ""а\)\s*(.*?)\s*б\)""), ""^\s*"", """")"),"Приключение ")</f>
        <v>Приключение </v>
      </c>
      <c r="E56" s="3" t="str">
        <f>IFERROR(__xludf.DUMMYFUNCTION("REGEXREPLACE(REGEXEXTRACT(H56, ""б\)\s*(.*?)\s*в\)""), ""^\s*"", """")"),"Хардкор")</f>
        <v>Хардкор</v>
      </c>
      <c r="F56" s="3" t="str">
        <f>IFERROR(__xludf.DUMMYFUNCTION("REGEXREPLACE(REGEXEXTRACT(H56, ""в\)\s*(.*?)\s*г\)""), ""^\s*"", """")"),"Выживание")</f>
        <v>Выживание</v>
      </c>
      <c r="G56" s="3" t="str">
        <f>IFERROR(__xludf.DUMMYFUNCTION("REGEXREPLACE(REGEXEXTRACT(H56, ""г\)\s*(.*)""), ""^\s*"", """")"),"Креатив")</f>
        <v>Креатив</v>
      </c>
      <c r="H56" s="4" t="s">
        <v>62</v>
      </c>
    </row>
    <row r="57">
      <c r="A57" s="3" t="str">
        <f>IFERROR(__xludf.DUMMYFUNCTION("REGEXEXTRACT(H57, ""\d+\.\s*(.*?)\s*а\)"")"),"В каком обновлении были добавлены лисы? ")</f>
        <v>В каком обновлении были добавлены лисы? </v>
      </c>
      <c r="B57" s="3">
        <v>1.0</v>
      </c>
      <c r="C57" s="7"/>
      <c r="D57" s="3" t="str">
        <f>IFERROR(__xludf.DUMMYFUNCTION("REGEXREPLACE(REGEXEXTRACT(H57, ""а\)\s*(.*?)\s*б\)""), ""^\s*"", """")"),"1.14 ")</f>
        <v>1.14 </v>
      </c>
      <c r="E57" s="3" t="str">
        <f>IFERROR(__xludf.DUMMYFUNCTION("REGEXREPLACE(REGEXEXTRACT(H57, ""б\)\s*(.*?)\s*в\)""), ""^\s*"", """")"),"1.16")</f>
        <v>1.16</v>
      </c>
      <c r="F57" s="3" t="str">
        <f>IFERROR(__xludf.DUMMYFUNCTION("REGEXREPLACE(REGEXEXTRACT(H57, ""в\)\s*(.*?)\s*г\)""), ""^\s*"", """")"),"1.17")</f>
        <v>1.17</v>
      </c>
      <c r="G57" s="3" t="str">
        <f>IFERROR(__xludf.DUMMYFUNCTION("REGEXREPLACE(REGEXEXTRACT(H57, ""г\)\s*(.*)""), ""^\s*"", """")"),"1.18")</f>
        <v>1.18</v>
      </c>
      <c r="H57" s="4" t="s">
        <v>63</v>
      </c>
    </row>
    <row r="58">
      <c r="A58" s="3" t="str">
        <f>IFERROR(__xludf.DUMMYFUNCTION("REGEXEXTRACT(H58, ""\d+\.\s*(.*?)\s*а\)"")"),"В каком обновлении были добавлены незеритовые предметы? ")</f>
        <v>В каком обновлении были добавлены незеритовые предметы? </v>
      </c>
      <c r="B58" s="3">
        <v>1.0</v>
      </c>
      <c r="C58" s="7"/>
      <c r="D58" s="3" t="str">
        <f>IFERROR(__xludf.DUMMYFUNCTION("REGEXREPLACE(REGEXEXTRACT(H58, ""а\)\s*(.*?)\s*б\)""), ""^\s*"", """")"),"1.16 ")</f>
        <v>1.16 </v>
      </c>
      <c r="E58" s="3" t="str">
        <f>IFERROR(__xludf.DUMMYFUNCTION("REGEXREPLACE(REGEXEXTRACT(H58, ""б\)\s*(.*?)\s*в\)""), ""^\s*"", """")"),"1.14")</f>
        <v>1.14</v>
      </c>
      <c r="F58" s="3" t="str">
        <f>IFERROR(__xludf.DUMMYFUNCTION("REGEXREPLACE(REGEXEXTRACT(H58, ""в\)\s*(.*?)\s*г\)""), ""^\s*"", """")"),"1.17")</f>
        <v>1.17</v>
      </c>
      <c r="G58" s="3" t="str">
        <f>IFERROR(__xludf.DUMMYFUNCTION("REGEXREPLACE(REGEXEXTRACT(H58, ""г\)\s*(.*)""), ""^\s*"", """")"),"1.18")</f>
        <v>1.18</v>
      </c>
      <c r="H58" s="4" t="s">
        <v>64</v>
      </c>
    </row>
    <row r="59">
      <c r="A59" s="3" t="str">
        <f>IFERROR(__xludf.DUMMYFUNCTION("REGEXEXTRACT(H59, ""\d+\.\s*(.*?)\s*а\)"")"),"В каком обновлении был добавлен Варден? ")</f>
        <v>В каком обновлении был добавлен Варден? </v>
      </c>
      <c r="B59" s="3">
        <v>1.0</v>
      </c>
      <c r="C59" s="7"/>
      <c r="D59" s="3" t="str">
        <f>IFERROR(__xludf.DUMMYFUNCTION("REGEXREPLACE(REGEXEXTRACT(H59, ""а\)\s*(.*?)\s*б\)""), ""^\s*"", """")"),"1.19 ")</f>
        <v>1.19 </v>
      </c>
      <c r="E59" s="3" t="str">
        <f>IFERROR(__xludf.DUMMYFUNCTION("REGEXREPLACE(REGEXEXTRACT(H59, ""б\)\s*(.*?)\s*в\)""), ""^\s*"", """")"),"1.17")</f>
        <v>1.17</v>
      </c>
      <c r="F59" s="3" t="str">
        <f>IFERROR(__xludf.DUMMYFUNCTION("REGEXREPLACE(REGEXEXTRACT(H59, ""в\)\s*(.*?)\s*г\)""), ""^\s*"", """")"),"1.16")</f>
        <v>1.16</v>
      </c>
      <c r="G59" s="3" t="str">
        <f>IFERROR(__xludf.DUMMYFUNCTION("REGEXREPLACE(REGEXEXTRACT(H59, ""г\)\s*(.*)""), ""^\s*"", """")"),"1.15")</f>
        <v>1.15</v>
      </c>
      <c r="H59" s="4" t="s">
        <v>65</v>
      </c>
    </row>
    <row r="60">
      <c r="A60" s="3" t="str">
        <f>IFERROR(__xludf.DUMMYFUNCTION("REGEXEXTRACT(H60, ""\d+\.\s*(.*?)\s*а\)"")"),"В каком обновлении были добавлены аксолотли? ")</f>
        <v>В каком обновлении были добавлены аксолотли? </v>
      </c>
      <c r="B60" s="3">
        <v>1.0</v>
      </c>
      <c r="C60" s="7"/>
      <c r="D60" s="3" t="str">
        <f>IFERROR(__xludf.DUMMYFUNCTION("REGEXREPLACE(REGEXEXTRACT(H60, ""а\)\s*(.*?)\s*б\)""), ""^\s*"", """")"),"1.17 ")</f>
        <v>1.17 </v>
      </c>
      <c r="E60" s="3" t="str">
        <f>IFERROR(__xludf.DUMMYFUNCTION("REGEXREPLACE(REGEXEXTRACT(H60, ""б\)\s*(.*?)\s*в\)""), ""^\s*"", """")"),"1.19")</f>
        <v>1.19</v>
      </c>
      <c r="F60" s="3" t="str">
        <f>IFERROR(__xludf.DUMMYFUNCTION("REGEXREPLACE(REGEXEXTRACT(H60, ""в\)\s*(.*?)\s*г\)""), ""^\s*"", """")"),"1.16")</f>
        <v>1.16</v>
      </c>
      <c r="G60" s="3" t="str">
        <f>IFERROR(__xludf.DUMMYFUNCTION("REGEXREPLACE(REGEXEXTRACT(H60, ""г\)\s*(.*)""), ""^\s*"", """")"),"1.15")</f>
        <v>1.15</v>
      </c>
      <c r="H60" s="4" t="s">
        <v>66</v>
      </c>
    </row>
    <row r="61">
      <c r="A61" s="3" t="str">
        <f>IFERROR(__xludf.DUMMYFUNCTION("REGEXEXTRACT(H61, ""\d+\.\s*(.*?)\s*а\)"")"),"В каком обновлении были добавлены пещеры и скалы? ")</f>
        <v>В каком обновлении были добавлены пещеры и скалы? </v>
      </c>
      <c r="B61" s="3">
        <v>1.0</v>
      </c>
      <c r="C61" s="7"/>
      <c r="D61" s="3" t="str">
        <f>IFERROR(__xludf.DUMMYFUNCTION("REGEXREPLACE(REGEXEXTRACT(H61, ""а\)\s*(.*?)\s*б\)""), ""^\s*"", """")"),"1.18 ")</f>
        <v>1.18 </v>
      </c>
      <c r="E61" s="3" t="str">
        <f>IFERROR(__xludf.DUMMYFUNCTION("REGEXREPLACE(REGEXEXTRACT(H61, ""б\)\s*(.*?)\s*в\)""), ""^\s*"", """")"),"1.17")</f>
        <v>1.17</v>
      </c>
      <c r="F61" s="3" t="str">
        <f>IFERROR(__xludf.DUMMYFUNCTION("REGEXREPLACE(REGEXEXTRACT(H61, ""в\)\s*(.*?)\s*г\)""), ""^\s*"", """")"),"1.19")</f>
        <v>1.19</v>
      </c>
      <c r="G61" s="3" t="str">
        <f>IFERROR(__xludf.DUMMYFUNCTION("REGEXREPLACE(REGEXEXTRACT(H61, ""г\)\s*(.*)""), ""^\s*"", """")"),"1.16")</f>
        <v>1.16</v>
      </c>
      <c r="H61" s="4" t="s">
        <v>67</v>
      </c>
    </row>
    <row r="62">
      <c r="A62" s="3" t="str">
        <f>IFERROR(__xludf.DUMMYFUNCTION("REGEXEXTRACT(H62, ""\d+\.\s*(.*?)\s*а\)"")"),"Какая механика используется для создания сложных механизмов? ")</f>
        <v>Какая механика используется для создания сложных механизмов? </v>
      </c>
      <c r="B62" s="3">
        <v>1.0</v>
      </c>
      <c r="C62" s="7"/>
      <c r="D62" s="3" t="str">
        <f>IFERROR(__xludf.DUMMYFUNCTION("REGEXREPLACE(REGEXEXTRACT(H62, ""а\)\s*(.*?)\s*б\)""), ""^\s*"", """")"),"Редстоун ")</f>
        <v>Редстоун </v>
      </c>
      <c r="E62" s="3" t="str">
        <f>IFERROR(__xludf.DUMMYFUNCTION("REGEXREPLACE(REGEXEXTRACT(H62, ""б\)\s*(.*?)\s*в\)""), ""^\s*"", """")"),"Камень")</f>
        <v>Камень</v>
      </c>
      <c r="F62" s="3" t="str">
        <f>IFERROR(__xludf.DUMMYFUNCTION("REGEXREPLACE(REGEXEXTRACT(H62, ""в\)\s*(.*?)\s*г\)""), ""^\s*"", """")"),"Дерево")</f>
        <v>Дерево</v>
      </c>
      <c r="G62" s="3" t="str">
        <f>IFERROR(__xludf.DUMMYFUNCTION("REGEXREPLACE(REGEXEXTRACT(H62, ""г\)\s*(.*)""), ""^\s*"", """")"),"Песок")</f>
        <v>Песок</v>
      </c>
      <c r="H62" s="4" t="s">
        <v>68</v>
      </c>
    </row>
    <row r="63">
      <c r="A63" s="3" t="str">
        <f>IFERROR(__xludf.DUMMYFUNCTION("REGEXEXTRACT(H63, ""\d+\.\s*(.*?)\s*а\)"")"),"Как называется эффект от использования тотема бессмертия? ")</f>
        <v>Как называется эффект от использования тотема бессмертия? </v>
      </c>
      <c r="B63" s="3">
        <v>1.0</v>
      </c>
      <c r="C63" s="7"/>
      <c r="D63" s="3" t="str">
        <f>IFERROR(__xludf.DUMMYFUNCTION("REGEXREPLACE(REGEXEXTRACT(H63, ""а\)\s*(.*?)\s*б\)""), ""^\s*"", """")"),"Поглощение урона ")</f>
        <v>Поглощение урона </v>
      </c>
      <c r="E63" s="3" t="str">
        <f>IFERROR(__xludf.DUMMYFUNCTION("REGEXREPLACE(REGEXEXTRACT(H63, ""б\)\s*(.*?)\s*в\)""), ""^\s*"", """")"),"Скорость")</f>
        <v>Скорость</v>
      </c>
      <c r="F63" s="3" t="str">
        <f>IFERROR(__xludf.DUMMYFUNCTION("REGEXREPLACE(REGEXEXTRACT(H63, ""в\)\s*(.*?)\s*г\)""), ""^\s*"", """")"),"Ночное зрение")</f>
        <v>Ночное зрение</v>
      </c>
      <c r="G63" s="3" t="str">
        <f>IFERROR(__xludf.DUMMYFUNCTION("REGEXREPLACE(REGEXEXTRACT(H63, ""г\)\s*(.*)""), ""^\s*"", """")"),"Сила")</f>
        <v>Сила</v>
      </c>
      <c r="H63" s="4" t="s">
        <v>69</v>
      </c>
    </row>
    <row r="64">
      <c r="A64" s="3" t="str">
        <f>IFERROR(__xludf.DUMMYFUNCTION("REGEXEXTRACT(H64, ""\d+\.\s*(.*?)\s*а\)"")"),"Как называется еда для приручения лошадей? ")</f>
        <v>Как называется еда для приручения лошадей? </v>
      </c>
      <c r="B64" s="3">
        <v>1.0</v>
      </c>
      <c r="C64" s="7"/>
      <c r="D64" s="3" t="str">
        <f>IFERROR(__xludf.DUMMYFUNCTION("REGEXREPLACE(REGEXEXTRACT(H64, ""а\)\s*(.*?)\s*б\)""), ""^\s*"", """")"),"Золотое яблоко ")</f>
        <v>Золотое яблоко </v>
      </c>
      <c r="E64" s="3" t="str">
        <f>IFERROR(__xludf.DUMMYFUNCTION("REGEXREPLACE(REGEXEXTRACT(H64, ""б\)\s*(.*?)\s*в\)""), ""^\s*"", """")"),"Пшеница")</f>
        <v>Пшеница</v>
      </c>
      <c r="F64" s="3" t="str">
        <f>IFERROR(__xludf.DUMMYFUNCTION("REGEXREPLACE(REGEXEXTRACT(H64, ""в\)\s*(.*?)\s*г\)""), ""^\s*"", """")"),"Морковь")</f>
        <v>Морковь</v>
      </c>
      <c r="G64" s="3" t="str">
        <f>IFERROR(__xludf.DUMMYFUNCTION("REGEXREPLACE(REGEXEXTRACT(H64, ""г\)\s*(.*)""), ""^\s*"", """")"),"Сахар")</f>
        <v>Сахар</v>
      </c>
      <c r="H64" s="4" t="s">
        <v>70</v>
      </c>
    </row>
    <row r="65">
      <c r="A65" s="3" t="str">
        <f>IFERROR(__xludf.DUMMYFUNCTION("REGEXEXTRACT(H65, ""\d+\.\s*(.*?)\s*а\)"")"),"Какой инструмент используется для сбора меда? ")</f>
        <v>Какой инструмент используется для сбора меда? </v>
      </c>
      <c r="B65" s="3">
        <v>1.0</v>
      </c>
      <c r="C65" s="7"/>
      <c r="D65" s="3" t="str">
        <f>IFERROR(__xludf.DUMMYFUNCTION("REGEXREPLACE(REGEXEXTRACT(H65, ""а\)\s*(.*?)\s*б\)""), ""^\s*"", """")"),"Стеклянная бутылка ")</f>
        <v>Стеклянная бутылка </v>
      </c>
      <c r="E65" s="3" t="str">
        <f>IFERROR(__xludf.DUMMYFUNCTION("REGEXREPLACE(REGEXEXTRACT(H65, ""б\)\s*(.*?)\s*в\)""), ""^\s*"", """")"),"Топор")</f>
        <v>Топор</v>
      </c>
      <c r="F65" s="3" t="str">
        <f>IFERROR(__xludf.DUMMYFUNCTION("REGEXREPLACE(REGEXEXTRACT(H65, ""в\)\s*(.*?)\s*г\)""), ""^\s*"", """")"),"Кирка")</f>
        <v>Кирка</v>
      </c>
      <c r="G65" s="3" t="str">
        <f>IFERROR(__xludf.DUMMYFUNCTION("REGEXREPLACE(REGEXEXTRACT(H65, ""г\)\s*(.*)""), ""^\s*"", """")"),"Лопата")</f>
        <v>Лопата</v>
      </c>
      <c r="H65" s="4" t="s">
        <v>71</v>
      </c>
    </row>
    <row r="66">
      <c r="A66" s="3" t="str">
        <f>IFERROR(__xludf.DUMMYFUNCTION("REGEXEXTRACT(H66, ""\d+\.\s*(.*?)\s*а\)"")"),"Какой блок позволяет игроку спать ночью? ")</f>
        <v>Какой блок позволяет игроку спать ночью? </v>
      </c>
      <c r="B66" s="3">
        <v>1.0</v>
      </c>
      <c r="C66" s="7"/>
      <c r="D66" s="3" t="str">
        <f>IFERROR(__xludf.DUMMYFUNCTION("REGEXREPLACE(REGEXEXTRACT(H66, ""а\)\s*(.*?)\s*б\)""), ""^\s*"", """")"),"Кровать ")</f>
        <v>Кровать </v>
      </c>
      <c r="E66" s="3" t="str">
        <f>IFERROR(__xludf.DUMMYFUNCTION("REGEXREPLACE(REGEXEXTRACT(H66, ""б\)\s*(.*?)\s*в\)""), ""^\s*"", """")"),"Верстак")</f>
        <v>Верстак</v>
      </c>
      <c r="F66" s="3" t="str">
        <f>IFERROR(__xludf.DUMMYFUNCTION("REGEXREPLACE(REGEXEXTRACT(H66, ""в\)\s*(.*?)\s*г\)""), ""^\s*"", """")"),"Сундук")</f>
        <v>Сундук</v>
      </c>
      <c r="G66" s="3" t="str">
        <f>IFERROR(__xludf.DUMMYFUNCTION("REGEXREPLACE(REGEXEXTRACT(H66, ""г\)\s*(.*)""), ""^\s*"", """")"),"Печь")</f>
        <v>Печь</v>
      </c>
      <c r="H66" s="4" t="s">
        <v>72</v>
      </c>
    </row>
    <row r="67">
      <c r="A67" s="3" t="str">
        <f>IFERROR(__xludf.DUMMYFUNCTION("REGEXEXTRACT(H67, ""\d+\.\s*(.*?)\s*а\)"")"),"Какой моб в Minecraft не имеет ног? ")</f>
        <v>Какой моб в Minecraft не имеет ног? </v>
      </c>
      <c r="B67" s="3">
        <v>1.0</v>
      </c>
      <c r="C67" s="7"/>
      <c r="D67" s="3" t="str">
        <f>IFERROR(__xludf.DUMMYFUNCTION("REGEXREPLACE(REGEXEXTRACT(H67, ""а\)\s*(.*?)\s*б\)""), ""^\s*"", """")"),"Слизень ")</f>
        <v>Слизень </v>
      </c>
      <c r="E67" s="3" t="str">
        <f>IFERROR(__xludf.DUMMYFUNCTION("REGEXREPLACE(REGEXEXTRACT(H67, ""б\)\s*(.*?)\s*в\)""), ""^\s*"", """")"),"Зомби")</f>
        <v>Зомби</v>
      </c>
      <c r="F67" s="3" t="str">
        <f>IFERROR(__xludf.DUMMYFUNCTION("REGEXREPLACE(REGEXEXTRACT(H67, ""в\)\s*(.*?)\s*г\)""), ""^\s*"", """")"),"Скелет")</f>
        <v>Скелет</v>
      </c>
      <c r="G67" s="3" t="str">
        <f>IFERROR(__xludf.DUMMYFUNCTION("REGEXREPLACE(REGEXEXTRACT(H67, ""г\)\s*(.*)""), ""^\s*"", """")"),"Крипер")</f>
        <v>Крипер</v>
      </c>
      <c r="H67" s="4" t="s">
        <v>73</v>
      </c>
    </row>
    <row r="68">
      <c r="A68" s="3" t="str">
        <f>IFERROR(__xludf.DUMMYFUNCTION("REGEXEXTRACT(H68, ""\d+\.\s*(.*?)\s*а\)"")"),"Какой блок используется для создания красителей? ")</f>
        <v>Какой блок используется для создания красителей? </v>
      </c>
      <c r="B68" s="3">
        <v>1.0</v>
      </c>
      <c r="C68" s="7"/>
      <c r="D68" s="3" t="str">
        <f>IFERROR(__xludf.DUMMYFUNCTION("REGEXREPLACE(REGEXEXTRACT(H68, ""а\)\s*(.*?)\s*б\)""), ""^\s*"", """")"),"Цветы ")</f>
        <v>Цветы </v>
      </c>
      <c r="E68" s="3" t="str">
        <f>IFERROR(__xludf.DUMMYFUNCTION("REGEXREPLACE(REGEXEXTRACT(H68, ""б\)\s*(.*?)\s*в\)""), ""^\s*"", """")"),"Камни")</f>
        <v>Камни</v>
      </c>
      <c r="F68" s="3" t="str">
        <f>IFERROR(__xludf.DUMMYFUNCTION("REGEXREPLACE(REGEXEXTRACT(H68, ""в\)\s*(.*?)\s*г\)""), ""^\s*"", """")"),"Дерево")</f>
        <v>Дерево</v>
      </c>
      <c r="G68" s="3" t="str">
        <f>IFERROR(__xludf.DUMMYFUNCTION("REGEXREPLACE(REGEXEXTRACT(H68, ""г\)\s*(.*)""), ""^\s*"", """")"),"Земля")</f>
        <v>Земля</v>
      </c>
      <c r="H68" s="4" t="s">
        <v>74</v>
      </c>
    </row>
    <row r="69">
      <c r="A69" s="3" t="str">
        <f>IFERROR(__xludf.DUMMYFUNCTION("REGEXEXTRACT(H69, ""\d+\.\s*(.*?)\s*а\)"")"),"Какой предмет используется для создания фейерверков? ")</f>
        <v>Какой предмет используется для создания фейерверков? </v>
      </c>
      <c r="B69" s="3">
        <v>1.0</v>
      </c>
      <c r="C69" s="7"/>
      <c r="D69" s="3" t="str">
        <f>IFERROR(__xludf.DUMMYFUNCTION("REGEXREPLACE(REGEXEXTRACT(H69, ""а\)\s*(.*?)\s*б\)""), ""^\s*"", """")"),"Порох ")</f>
        <v>Порох </v>
      </c>
      <c r="E69" s="3" t="str">
        <f>IFERROR(__xludf.DUMMYFUNCTION("REGEXREPLACE(REGEXEXTRACT(H69, ""б\)\s*(.*?)\s*в\)""), ""^\s*"", """")"),"Алмазы")</f>
        <v>Алмазы</v>
      </c>
      <c r="F69" s="3" t="str">
        <f>IFERROR(__xludf.DUMMYFUNCTION("REGEXREPLACE(REGEXEXTRACT(H69, ""в\)\s*(.*?)\s*г\)""), ""^\s*"", """")"),"Железо")</f>
        <v>Железо</v>
      </c>
      <c r="G69" s="3" t="str">
        <f>IFERROR(__xludf.DUMMYFUNCTION("REGEXREPLACE(REGEXEXTRACT(H69, ""г\)\s*(.*)""), ""^\s*"", """")"),"Золото")</f>
        <v>Золото</v>
      </c>
      <c r="H69" s="4" t="s">
        <v>75</v>
      </c>
    </row>
    <row r="70">
      <c r="A70" s="3" t="str">
        <f>IFERROR(__xludf.DUMMYFUNCTION("REGEXEXTRACT(H70, ""\d+\.\s*(.*?)\s*а\)"")"),"Как называется предмет, позволяющий убирать зачарования с предметов? ")</f>
        <v>Как называется предмет, позволяющий убирать зачарования с предметов? </v>
      </c>
      <c r="B70" s="3">
        <v>1.0</v>
      </c>
      <c r="C70" s="7"/>
      <c r="D70" s="3" t="str">
        <f>IFERROR(__xludf.DUMMYFUNCTION("REGEXREPLACE(REGEXEXTRACT(H70, ""а\)\s*(.*?)\s*б\)""), ""^\s*"", """")"),"Жернов ")</f>
        <v>Жернов </v>
      </c>
      <c r="E70" s="3" t="str">
        <f>IFERROR(__xludf.DUMMYFUNCTION("REGEXREPLACE(REGEXEXTRACT(H70, ""б\)\s*(.*?)\s*в\)""), ""^\s*"", """")"),"Верстак")</f>
        <v>Верстак</v>
      </c>
      <c r="F70" s="3" t="str">
        <f>IFERROR(__xludf.DUMMYFUNCTION("REGEXREPLACE(REGEXEXTRACT(H70, ""в\)\s*(.*?)\s*г\)""), ""^\s*"", """")"),"Печь")</f>
        <v>Печь</v>
      </c>
      <c r="G70" s="3" t="str">
        <f>IFERROR(__xludf.DUMMYFUNCTION("REGEXREPLACE(REGEXEXTRACT(H70, ""г\)\s*(.*)""), ""^\s*"", """")"),"Сундук")</f>
        <v>Сундук</v>
      </c>
      <c r="H70" s="4" t="s">
        <v>76</v>
      </c>
    </row>
    <row r="71">
      <c r="A71" s="3" t="str">
        <f>IFERROR(__xludf.DUMMYFUNCTION("REGEXEXTRACT(H71, ""s*(.*?)\s*а\)"")"),"Какой моб является символом Minecraft?")</f>
        <v>Какой моб является символом Minecraft?</v>
      </c>
      <c r="B71" s="3">
        <v>1.0</v>
      </c>
      <c r="D71" s="3" t="str">
        <f>IFERROR(__xludf.DUMMYFUNCTION("REGEXREPLACE(REGEXEXTRACT(H71, ""а\)\s*(.*?)\s*б\)""), ""^\s*"", """")"),"Крипер")</f>
        <v>Крипер</v>
      </c>
      <c r="E71" s="3" t="str">
        <f>IFERROR(__xludf.DUMMYFUNCTION("REGEXREPLACE(REGEXEXTRACT(H71, ""б\)\s*(.*?)\s*в\)""), ""^\s*"", """")"),"Скелет")</f>
        <v>Скелет</v>
      </c>
      <c r="F71" s="3" t="str">
        <f>IFERROR(__xludf.DUMMYFUNCTION("REGEXREPLACE(REGEXEXTRACT(H71, ""в\)\s*(.*?)\s*г\)""), ""^\s*"", """")"),"Зомби")</f>
        <v>Зомби</v>
      </c>
      <c r="G71" s="3" t="str">
        <f>IFERROR(__xludf.DUMMYFUNCTION("REGEXREPLACE(REGEXEXTRACT(H71, ""г\)\s*(.*)""), ""^\s*"", """")"),"Эндермен")</f>
        <v>Эндермен</v>
      </c>
      <c r="H71" s="8" t="s">
        <v>77</v>
      </c>
    </row>
    <row r="72">
      <c r="A72" s="3" t="str">
        <f>IFERROR(__xludf.DUMMYFUNCTION("REGEXEXTRACT(H72, ""s*(.*?)\s*а\)"")"),"Что необходимо для создания портала в Нижний мир?")</f>
        <v>Что необходимо для создания портала в Нижний мир?</v>
      </c>
      <c r="B72" s="3">
        <v>1.0</v>
      </c>
      <c r="D72" s="3" t="str">
        <f>IFERROR(__xludf.DUMMYFUNCTION("REGEXREPLACE(REGEXEXTRACT(H72, ""а\)\s*(.*?)\s*б\)""), ""^\s*"", """")"),"Обсидиан")</f>
        <v>Обсидиан</v>
      </c>
      <c r="E72" s="3" t="str">
        <f>IFERROR(__xludf.DUMMYFUNCTION("REGEXREPLACE(REGEXEXTRACT(H72, ""б\)\s*(.*?)\s*в\)""), ""^\s*"", """")"),"Лава")</f>
        <v>Лава</v>
      </c>
      <c r="F72" s="3" t="str">
        <f>IFERROR(__xludf.DUMMYFUNCTION("REGEXREPLACE(REGEXEXTRACT(H72, ""в\)\s*(.*?)\s*г\)""), ""^\s*"", """")"),"Вода")</f>
        <v>Вода</v>
      </c>
      <c r="G72" s="3" t="str">
        <f>IFERROR(__xludf.DUMMYFUNCTION("REGEXREPLACE(REGEXEXTRACT(H72, ""г\)\s*(.*)""), ""^\s*"", """")"),"Алмазы")</f>
        <v>Алмазы</v>
      </c>
      <c r="H72" s="8" t="s">
        <v>78</v>
      </c>
    </row>
    <row r="73">
      <c r="A73" s="3" t="str">
        <f>IFERROR(__xludf.DUMMYFUNCTION("REGEXEXTRACT(H73, ""s*(.*?)\s*а\)"")"),"Какой ресурс позволяет создавать прочнейшую броню?")</f>
        <v>Какой ресурс позволяет создавать прочнейшую броню?</v>
      </c>
      <c r="B73" s="3">
        <v>1.0</v>
      </c>
      <c r="D73" s="3" t="str">
        <f>IFERROR(__xludf.DUMMYFUNCTION("REGEXREPLACE(REGEXEXTRACT(H73, ""а\)\s*(.*?)\s*б\)""), ""^\s*"", """")"),"Незерит")</f>
        <v>Незерит</v>
      </c>
      <c r="E73" s="3" t="str">
        <f>IFERROR(__xludf.DUMMYFUNCTION("REGEXREPLACE(REGEXEXTRACT(H73, ""б\)\s*(.*?)\s*в\)""), ""^\s*"", """")"),"Алмаз")</f>
        <v>Алмаз</v>
      </c>
      <c r="F73" s="3" t="str">
        <f>IFERROR(__xludf.DUMMYFUNCTION("REGEXREPLACE(REGEXEXTRACT(H73, ""в\)\s*(.*?)\s*г\)""), ""^\s*"", """")"),"Железо")</f>
        <v>Железо</v>
      </c>
      <c r="G73" s="3" t="str">
        <f>IFERROR(__xludf.DUMMYFUNCTION("REGEXREPLACE(REGEXEXTRACT(H73, ""г\)\s*(.*)""), ""^\s*"", """")"),"Золото")</f>
        <v>Золото</v>
      </c>
      <c r="H73" s="8" t="s">
        <v>79</v>
      </c>
    </row>
    <row r="74">
      <c r="A74" s="3" t="str">
        <f>IFERROR(__xludf.DUMMYFUNCTION("REGEXEXTRACT(H74, ""s*(.*?)\s*а\)"")"),"Какой моб является боссом в измерении “Край”?")</f>
        <v>Какой моб является боссом в измерении “Край”?</v>
      </c>
      <c r="B74" s="3">
        <v>1.0</v>
      </c>
      <c r="D74" s="3" t="str">
        <f>IFERROR(__xludf.DUMMYFUNCTION("REGEXREPLACE(REGEXEXTRACT(H74, ""а\)\s*(.*?)\s*б\)""), ""^\s*"", """")"),"Эндер-дракон")</f>
        <v>Эндер-дракон</v>
      </c>
      <c r="E74" s="3" t="str">
        <f>IFERROR(__xludf.DUMMYFUNCTION("REGEXREPLACE(REGEXEXTRACT(H74, ""б\)\s*(.*?)\s*в\)""), ""^\s*"", """")"),"Иссушитель")</f>
        <v>Иссушитель</v>
      </c>
      <c r="F74" s="3" t="str">
        <f>IFERROR(__xludf.DUMMYFUNCTION("REGEXREPLACE(REGEXEXTRACT(H74, ""в\)\s*(.*?)\s*г\)""), ""^\s*"", """")"),"Страж")</f>
        <v>Страж</v>
      </c>
      <c r="G74" s="3" t="str">
        <f>IFERROR(__xludf.DUMMYFUNCTION("REGEXREPLACE(REGEXEXTRACT(H74, ""г\)\s*(.*)""), ""^\s*"", """")"),"Гаст")</f>
        <v>Гаст</v>
      </c>
      <c r="H74" s="8" t="s">
        <v>80</v>
      </c>
    </row>
    <row r="75">
      <c r="A75" s="3" t="str">
        <f>IFERROR(__xludf.DUMMYFUNCTION("REGEXEXTRACT(H75, ""s*(.*?)\s*а\)"")"),"Какой эффект даёт золотое яблоко?")</f>
        <v>Какой эффект даёт золотое яблоко?</v>
      </c>
      <c r="B75" s="3">
        <v>1.0</v>
      </c>
      <c r="D75" s="3" t="str">
        <f>IFERROR(__xludf.DUMMYFUNCTION("REGEXREPLACE(REGEXEXTRACT(H75, ""а\)\s*(.*?)\s*б\)""), ""^\s*"", """")"),"Регенерация")</f>
        <v>Регенерация</v>
      </c>
      <c r="E75" s="3" t="str">
        <f>IFERROR(__xludf.DUMMYFUNCTION("REGEXREPLACE(REGEXEXTRACT(H75, ""б\)\s*(.*?)\s*в\)""), ""^\s*"", """")"),"Скорость")</f>
        <v>Скорость</v>
      </c>
      <c r="F75" s="3" t="str">
        <f>IFERROR(__xludf.DUMMYFUNCTION("REGEXREPLACE(REGEXEXTRACT(H75, ""в\)\s*(.*?)\s*г\)""), ""^\s*"", """")"),"Сила")</f>
        <v>Сила</v>
      </c>
      <c r="G75" s="3" t="str">
        <f>IFERROR(__xludf.DUMMYFUNCTION("REGEXREPLACE(REGEXEXTRACT(H75, ""г\)\s*(.*)""), ""^\s*"", """")"),"Невидимость")</f>
        <v>Невидимость</v>
      </c>
      <c r="H75" s="8" t="s">
        <v>81</v>
      </c>
    </row>
    <row r="76">
      <c r="A76" s="3" t="str">
        <f>IFERROR(__xludf.DUMMYFUNCTION("REGEXEXTRACT(H76, ""s*(.*?)\s*а\)"")"),"Какой блок используется для приготовления зелий?")</f>
        <v>Какой блок используется для приготовления зелий?</v>
      </c>
      <c r="B76" s="3">
        <v>1.0</v>
      </c>
      <c r="D76" s="3" t="str">
        <f>IFERROR(__xludf.DUMMYFUNCTION("REGEXREPLACE(REGEXEXTRACT(H76, ""а\)\s*(.*?)\s*б\)""), ""^\s*"", """")"),"Варочная стойка")</f>
        <v>Варочная стойка</v>
      </c>
      <c r="E76" s="3" t="str">
        <f>IFERROR(__xludf.DUMMYFUNCTION("REGEXREPLACE(REGEXEXTRACT(H76, ""б\)\s*(.*?)\s*в\)""), ""^\s*"", """")"),"Печь")</f>
        <v>Печь</v>
      </c>
      <c r="F76" s="3" t="str">
        <f>IFERROR(__xludf.DUMMYFUNCTION("REGEXREPLACE(REGEXEXTRACT(H76, ""в\)\s*(.*?)\s*г\)""), ""^\s*"", """")"),"Верстак")</f>
        <v>Верстак</v>
      </c>
      <c r="G76" s="3" t="str">
        <f>IFERROR(__xludf.DUMMYFUNCTION("REGEXREPLACE(REGEXEXTRACT(H76, ""г\)\s*(.*)""), ""^\s*"", """")"),"Компостер")</f>
        <v>Компостер</v>
      </c>
      <c r="H76" s="8" t="s">
        <v>82</v>
      </c>
    </row>
    <row r="77">
      <c r="A77" s="3" t="str">
        <f>IFERROR(__xludf.DUMMYFUNCTION("REGEXEXTRACT(H77, ""s*(.*?)\s*а\)"")"),"Какой моб спаунится только в темноте?")</f>
        <v>Какой моб спаунится только в темноте?</v>
      </c>
      <c r="B77" s="3">
        <v>1.0</v>
      </c>
      <c r="D77" s="3" t="str">
        <f>IFERROR(__xludf.DUMMYFUNCTION("REGEXREPLACE(REGEXEXTRACT(H77, ""а\)\s*(.*?)\s*б\)""), ""^\s*"", """")"),"Зомби")</f>
        <v>Зомби</v>
      </c>
      <c r="E77" s="3" t="str">
        <f>IFERROR(__xludf.DUMMYFUNCTION("REGEXREPLACE(REGEXEXTRACT(H77, ""б\)\s*(.*?)\s*в\)""), ""^\s*"", """")"),"Овца")</f>
        <v>Овца</v>
      </c>
      <c r="F77" s="3" t="str">
        <f>IFERROR(__xludf.DUMMYFUNCTION("REGEXREPLACE(REGEXEXTRACT(H77, ""в\)\s*(.*?)\s*г\)""), ""^\s*"", """")"),"Курица")</f>
        <v>Курица</v>
      </c>
      <c r="G77" s="3" t="str">
        <f>IFERROR(__xludf.DUMMYFUNCTION("REGEXREPLACE(REGEXEXTRACT(H77, ""г\)\s*(.*)""), ""^\s*"", """")"),"Свинья")</f>
        <v>Свинья</v>
      </c>
      <c r="H77" s="8" t="s">
        <v>83</v>
      </c>
    </row>
    <row r="78">
      <c r="A78" s="3" t="str">
        <f>IFERROR(__xludf.DUMMYFUNCTION("REGEXEXTRACT(H78, ""s*(.*?)\s*а\)"")"),"Какой биом состоит в основном из песка?")</f>
        <v>Какой биом состоит в основном из песка?</v>
      </c>
      <c r="B78" s="3">
        <v>1.0</v>
      </c>
      <c r="D78" s="3" t="str">
        <f>IFERROR(__xludf.DUMMYFUNCTION("REGEXREPLACE(REGEXEXTRACT(H78, ""а\)\s*(.*?)\s*б\)""), ""^\s*"", """")"),"Пустыня")</f>
        <v>Пустыня</v>
      </c>
      <c r="E78" s="3" t="str">
        <f>IFERROR(__xludf.DUMMYFUNCTION("REGEXREPLACE(REGEXEXTRACT(H78, ""б\)\s*(.*?)\s*в\)""), ""^\s*"", """")"),"Саванна")</f>
        <v>Саванна</v>
      </c>
      <c r="F78" s="3" t="str">
        <f>IFERROR(__xludf.DUMMYFUNCTION("REGEXREPLACE(REGEXEXTRACT(H78, ""в\)\s*(.*?)\s*г\)""), ""^\s*"", """")"),"Тайга")</f>
        <v>Тайга</v>
      </c>
      <c r="G78" s="3" t="str">
        <f>IFERROR(__xludf.DUMMYFUNCTION("REGEXREPLACE(REGEXEXTRACT(H78, ""г\)\s*(.*)""), ""^\s*"", """")"),"Джунгли")</f>
        <v>Джунгли</v>
      </c>
      <c r="H78" s="8" t="s">
        <v>84</v>
      </c>
    </row>
    <row r="79">
      <c r="A79" s="3" t="str">
        <f>IFERROR(__xludf.DUMMYFUNCTION("REGEXEXTRACT(H79, ""s*(.*?)\s*а\)"")"),"Что необходимо для создания хлеба?")</f>
        <v>Что необходимо для создания хлеба?</v>
      </c>
      <c r="B79" s="3">
        <v>1.0</v>
      </c>
      <c r="D79" s="3" t="str">
        <f>IFERROR(__xludf.DUMMYFUNCTION("REGEXREPLACE(REGEXEXTRACT(H79, ""а\)\s*(.*?)\s*б\)""), ""^\s*"", """")"),"Пшеница")</f>
        <v>Пшеница</v>
      </c>
      <c r="E79" s="3" t="str">
        <f>IFERROR(__xludf.DUMMYFUNCTION("REGEXREPLACE(REGEXEXTRACT(H79, ""б\)\s*(.*?)\s*в\)""), ""^\s*"", """")"),"Яблоки")</f>
        <v>Яблоки</v>
      </c>
      <c r="F79" s="3" t="str">
        <f>IFERROR(__xludf.DUMMYFUNCTION("REGEXREPLACE(REGEXEXTRACT(H79, ""в\)\s*(.*?)\s*г\)""), ""^\s*"", """")"),"Морковь")</f>
        <v>Морковь</v>
      </c>
      <c r="G79" s="3" t="str">
        <f>IFERROR(__xludf.DUMMYFUNCTION("REGEXREPLACE(REGEXEXTRACT(H79, ""г\)\s*(.*)""), ""^\s*"", """")"),"Картофель")</f>
        <v>Картофель</v>
      </c>
      <c r="H79" s="8" t="s">
        <v>85</v>
      </c>
    </row>
    <row r="80">
      <c r="A80" s="3" t="str">
        <f>IFERROR(__xludf.DUMMYFUNCTION("REGEXEXTRACT(H80, ""s*(.*?)\s*а\)"")"),"Какой моб дает молоко?")</f>
        <v>Какой моб дает молоко?</v>
      </c>
      <c r="B80" s="3">
        <v>1.0</v>
      </c>
      <c r="D80" s="3" t="str">
        <f>IFERROR(__xludf.DUMMYFUNCTION("REGEXREPLACE(REGEXEXTRACT(H80, ""а\)\s*(.*?)\s*б\)""), ""^\s*"", """")"),"Корова")</f>
        <v>Корова</v>
      </c>
      <c r="E80" s="3" t="str">
        <f>IFERROR(__xludf.DUMMYFUNCTION("REGEXREPLACE(REGEXEXTRACT(H80, ""б\)\s*(.*?)\s*в\)""), ""^\s*"", """")"),"Свинья")</f>
        <v>Свинья</v>
      </c>
      <c r="F80" s="3" t="str">
        <f>IFERROR(__xludf.DUMMYFUNCTION("REGEXREPLACE(REGEXEXTRACT(H80, ""в\)\s*(.*?)\s*г\)""), ""^\s*"", """")"),"Овца")</f>
        <v>Овца</v>
      </c>
      <c r="G80" s="3" t="str">
        <f>IFERROR(__xludf.DUMMYFUNCTION("REGEXREPLACE(REGEXEXTRACT(H80, ""г\)\s*(.*)""), ""^\s*"", """")"),"Курица")</f>
        <v>Курица</v>
      </c>
      <c r="H80" s="8" t="s">
        <v>86</v>
      </c>
    </row>
    <row r="81">
      <c r="A81" s="3" t="str">
        <f>IFERROR(__xludf.DUMMYFUNCTION("REGEXEXTRACT(H81, ""s*(.*?)\s*а\)"")"),"С помощью чего можно приручить лошадь?")</f>
        <v>С помощью чего можно приручить лошадь?</v>
      </c>
      <c r="B81" s="3">
        <v>1.0</v>
      </c>
      <c r="D81" s="3" t="str">
        <f>IFERROR(__xludf.DUMMYFUNCTION("REGEXREPLACE(REGEXEXTRACT(H81, ""а\)\s*(.*?)\s*б\)""), ""^\s*"", """")"),"Яблоко")</f>
        <v>Яблоко</v>
      </c>
      <c r="E81" s="3" t="str">
        <f>IFERROR(__xludf.DUMMYFUNCTION("REGEXREPLACE(REGEXEXTRACT(H81, ""б\)\s*(.*?)\s*в\)""), ""^\s*"", """")"),"Семена")</f>
        <v>Семена</v>
      </c>
      <c r="F81" s="3" t="str">
        <f>IFERROR(__xludf.DUMMYFUNCTION("REGEXREPLACE(REGEXEXTRACT(H81, ""в\)\s*(.*?)\s*г\)""), ""^\s*"", """")"),"Кость")</f>
        <v>Кость</v>
      </c>
      <c r="G81" s="3" t="str">
        <f>IFERROR(__xludf.DUMMYFUNCTION("REGEXREPLACE(REGEXEXTRACT(H81, ""г\)\s*(.*)""), ""^\s*"", """")"),"Рыба")</f>
        <v>Рыба</v>
      </c>
      <c r="H81" s="8" t="s">
        <v>87</v>
      </c>
    </row>
    <row r="82">
      <c r="A82" s="3" t="str">
        <f>IFERROR(__xludf.DUMMYFUNCTION("REGEXEXTRACT(H82, ""s*(.*?)\s*а\)"")"),"Какой блок является источником света, который можно разместить на стене?")</f>
        <v>Какой блок является источником света, который можно разместить на стене?</v>
      </c>
      <c r="B82" s="3">
        <v>1.0</v>
      </c>
      <c r="D82" s="3" t="str">
        <f>IFERROR(__xludf.DUMMYFUNCTION("REGEXREPLACE(REGEXEXTRACT(H82, ""а\)\s*(.*?)\s*б\)""), ""^\s*"", """")"),"Факел")</f>
        <v>Факел</v>
      </c>
      <c r="E82" s="3" t="str">
        <f>IFERROR(__xludf.DUMMYFUNCTION("REGEXREPLACE(REGEXEXTRACT(H82, ""б\)\s*(.*?)\s*в\)""), ""^\s*"", """")"),"Лампа")</f>
        <v>Лампа</v>
      </c>
      <c r="F82" s="3" t="str">
        <f>IFERROR(__xludf.DUMMYFUNCTION("REGEXREPLACE(REGEXEXTRACT(H82, ""в\)\s*(.*?)\s*г\)""), ""^\s*"", """")"),"Фонарь")</f>
        <v>Фонарь</v>
      </c>
      <c r="G82" s="3" t="str">
        <f>IFERROR(__xludf.DUMMYFUNCTION("REGEXREPLACE(REGEXEXTRACT(H82, ""г\)\s*(.*)""), ""^\s*"", """")"),"Светокамень")</f>
        <v>Светокамень</v>
      </c>
      <c r="H82" s="8" t="s">
        <v>88</v>
      </c>
    </row>
    <row r="83">
      <c r="A83" s="3" t="str">
        <f>IFERROR(__xludf.DUMMYFUNCTION("REGEXEXTRACT(H83, ""s*(.*?)\s*а\)"")"),"Какой предмет позволяет быстро передвигаться под водой?")</f>
        <v>Какой предмет позволяет быстро передвигаться под водой?</v>
      </c>
      <c r="B83" s="3">
        <v>1.0</v>
      </c>
      <c r="D83" s="3" t="str">
        <f>IFERROR(__xludf.DUMMYFUNCTION("REGEXREPLACE(REGEXEXTRACT(H83, ""а\)\s*(.*?)\s*б\)""), ""^\s*"", """")"),"Трезубец")</f>
        <v>Трезубец</v>
      </c>
      <c r="E83" s="3" t="str">
        <f>IFERROR(__xludf.DUMMYFUNCTION("REGEXREPLACE(REGEXEXTRACT(H83, ""б\)\s*(.*?)\s*в\)""), ""^\s*"", """")"),"Лодка")</f>
        <v>Лодка</v>
      </c>
      <c r="F83" s="3" t="str">
        <f>IFERROR(__xludf.DUMMYFUNCTION("REGEXREPLACE(REGEXEXTRACT(H83, ""в\)\s*(.*?)\s*г\)""), ""^\s*"", """")"),"Ведро")</f>
        <v>Ведро</v>
      </c>
      <c r="G83" s="3" t="str">
        <f>IFERROR(__xludf.DUMMYFUNCTION("REGEXREPLACE(REGEXEXTRACT(H83, ""г\)\s*(.*)""), ""^\s*"", """")"),"Удочка")</f>
        <v>Удочка</v>
      </c>
      <c r="H83" s="8" t="s">
        <v>89</v>
      </c>
    </row>
    <row r="84">
      <c r="A84" s="3" t="str">
        <f>IFERROR(__xludf.DUMMYFUNCTION("REGEXEXTRACT(H84, ""s*(.*?)\s*а\)"")"),"Какой моб появляется из яйца, брошенного игроком?")</f>
        <v>Какой моб появляется из яйца, брошенного игроком?</v>
      </c>
      <c r="B84" s="3">
        <v>1.0</v>
      </c>
      <c r="D84" s="3" t="str">
        <f>IFERROR(__xludf.DUMMYFUNCTION("REGEXREPLACE(REGEXEXTRACT(H84, ""а\)\s*(.*?)\s*б\)""), ""^\s*"", """")"),"Курица")</f>
        <v>Курица</v>
      </c>
      <c r="E84" s="3" t="str">
        <f>IFERROR(__xludf.DUMMYFUNCTION("REGEXREPLACE(REGEXEXTRACT(H84, ""б\)\s*(.*?)\s*в\)""), ""^\s*"", """")"),"Свинья")</f>
        <v>Свинья</v>
      </c>
      <c r="F84" s="3" t="str">
        <f>IFERROR(__xludf.DUMMYFUNCTION("REGEXREPLACE(REGEXEXTRACT(H84, ""в\)\s*(.*?)\s*г\)""), ""^\s*"", """")"),"Овца")</f>
        <v>Овца</v>
      </c>
      <c r="G84" s="3" t="str">
        <f>IFERROR(__xludf.DUMMYFUNCTION("REGEXREPLACE(REGEXEXTRACT(H84, ""г\)\s*(.*)""), ""^\s*"", """")"),"Корова")</f>
        <v>Корова</v>
      </c>
      <c r="H84" s="8" t="s">
        <v>90</v>
      </c>
    </row>
    <row r="85">
      <c r="A85" s="3" t="str">
        <f>IFERROR(__xludf.DUMMYFUNCTION("REGEXEXTRACT(H85, ""s*(.*?)\s*а\)"")"),"Что позволяет быстро добывать листву?")</f>
        <v>Что позволяет быстро добывать листву?</v>
      </c>
      <c r="B85" s="3">
        <v>1.0</v>
      </c>
      <c r="D85" s="3" t="str">
        <f>IFERROR(__xludf.DUMMYFUNCTION("REGEXREPLACE(REGEXEXTRACT(H85, ""а\)\s*(.*?)\s*б\)""), ""^\s*"", """")"),"Ножницы")</f>
        <v>Ножницы</v>
      </c>
      <c r="E85" s="3" t="str">
        <f>IFERROR(__xludf.DUMMYFUNCTION("REGEXREPLACE(REGEXEXTRACT(H85, ""б\)\s*(.*?)\s*в\)""), ""^\s*"", """")"),"Топор")</f>
        <v>Топор</v>
      </c>
      <c r="F85" s="3" t="str">
        <f>IFERROR(__xludf.DUMMYFUNCTION("REGEXREPLACE(REGEXEXTRACT(H85, ""в\)\s*(.*?)\s*г\)""), ""^\s*"", """")"),"Кирка")</f>
        <v>Кирка</v>
      </c>
      <c r="G85" s="3" t="str">
        <f>IFERROR(__xludf.DUMMYFUNCTION("REGEXREPLACE(REGEXEXTRACT(H85, ""г\)\s*(.*)""), ""^\s*"", """")"),"Лопата")</f>
        <v>Лопата</v>
      </c>
      <c r="H85" s="8" t="s">
        <v>91</v>
      </c>
    </row>
    <row r="86">
      <c r="A86" s="3" t="str">
        <f>IFERROR(__xludf.DUMMYFUNCTION("REGEXEXTRACT(H86, ""s*(.*?)\s*а\)"")"),"С помощью чего можно приручить волка?")</f>
        <v>С помощью чего можно приручить волка?</v>
      </c>
      <c r="B86" s="3">
        <v>1.0</v>
      </c>
      <c r="D86" s="3" t="str">
        <f>IFERROR(__xludf.DUMMYFUNCTION("REGEXREPLACE(REGEXEXTRACT(H86, ""а\)\s*(.*?)\s*б\)""), ""^\s*"", """")"),"Кость")</f>
        <v>Кость</v>
      </c>
      <c r="E86" s="3" t="str">
        <f>IFERROR(__xludf.DUMMYFUNCTION("REGEXREPLACE(REGEXEXTRACT(H86, ""б\)\s*(.*?)\s*в\)""), ""^\s*"", """")"),"Мясо")</f>
        <v>Мясо</v>
      </c>
      <c r="F86" s="3" t="str">
        <f>IFERROR(__xludf.DUMMYFUNCTION("REGEXREPLACE(REGEXEXTRACT(H86, ""в\)\s*(.*?)\s*г\)""), ""^\s*"", """")"),"Рыба")</f>
        <v>Рыба</v>
      </c>
      <c r="G86" s="3" t="str">
        <f>IFERROR(__xludf.DUMMYFUNCTION("REGEXREPLACE(REGEXEXTRACT(H86, ""г\)\s*(.*)""), ""^\s*"", """")"),"Семена")</f>
        <v>Семена</v>
      </c>
      <c r="H86" s="8" t="s">
        <v>92</v>
      </c>
    </row>
    <row r="87">
      <c r="A87" s="3" t="str">
        <f>IFERROR(__xludf.DUMMYFUNCTION("REGEXEXTRACT(H87, ""s*(.*?)\s*а\)"")"),"Какой блок используется для передачи сигнала редстоуна на расстояние?")</f>
        <v>Какой блок используется для передачи сигнала редстоуна на расстояние?</v>
      </c>
      <c r="B87" s="3">
        <v>1.0</v>
      </c>
      <c r="D87" s="3" t="str">
        <f>IFERROR(__xludf.DUMMYFUNCTION("REGEXREPLACE(REGEXEXTRACT(H87, ""а\)\s*(.*?)\s*б\)""), ""^\s*"", """")"),"Повторитель")</f>
        <v>Повторитель</v>
      </c>
      <c r="E87" s="3" t="str">
        <f>IFERROR(__xludf.DUMMYFUNCTION("REGEXREPLACE(REGEXEXTRACT(H87, ""б\)\s*(.*?)\s*в\)""), ""^\s*"", """")"),"Компаратор")</f>
        <v>Компаратор</v>
      </c>
      <c r="F87" s="3" t="str">
        <f>IFERROR(__xludf.DUMMYFUNCTION("REGEXREPLACE(REGEXEXTRACT(H87, ""в\)\s*(.*?)\s*г\)""), ""^\s*"", """")"),"Поршень")</f>
        <v>Поршень</v>
      </c>
      <c r="G87" s="3" t="str">
        <f>IFERROR(__xludf.DUMMYFUNCTION("REGEXREPLACE(REGEXEXTRACT(H87, ""г\)\s*(.*)""), ""^\s*"", """")"),"Наблюдатель")</f>
        <v>Наблюдатель</v>
      </c>
      <c r="H87" s="8" t="s">
        <v>93</v>
      </c>
    </row>
    <row r="88">
      <c r="A88" s="3" t="str">
        <f>IFERROR(__xludf.DUMMYFUNCTION("REGEXEXTRACT(H88, ""s*(.*?)\s*а\)"")"),"Какой моб обладает способностью взбираться по стенам?")</f>
        <v>Какой моб обладает способностью взбираться по стенам?</v>
      </c>
      <c r="B88" s="3">
        <v>1.0</v>
      </c>
      <c r="D88" s="3" t="str">
        <f>IFERROR(__xludf.DUMMYFUNCTION("REGEXREPLACE(REGEXEXTRACT(H88, ""а\)\s*(.*?)\s*б\)""), ""^\s*"", """")"),"Паук")</f>
        <v>Паук</v>
      </c>
      <c r="E88" s="3" t="str">
        <f>IFERROR(__xludf.DUMMYFUNCTION("REGEXREPLACE(REGEXEXTRACT(H88, ""б\)\s*(.*?)\s*в\)""), ""^\s*"", """")"),"Зомби")</f>
        <v>Зомби</v>
      </c>
      <c r="F88" s="3" t="str">
        <f>IFERROR(__xludf.DUMMYFUNCTION("REGEXREPLACE(REGEXEXTRACT(H88, ""в\)\s*(.*?)\s*г\)""), ""^\s*"", """")"),"Скелет")</f>
        <v>Скелет</v>
      </c>
      <c r="G88" s="3" t="str">
        <f>IFERROR(__xludf.DUMMYFUNCTION("REGEXREPLACE(REGEXEXTRACT(H88, ""г\)\s*(.*)""), ""^\s*"", """")"),"Крипер")</f>
        <v>Крипер</v>
      </c>
      <c r="H88" s="8" t="s">
        <v>94</v>
      </c>
    </row>
    <row r="89">
      <c r="A89" s="3" t="str">
        <f>IFERROR(__xludf.DUMMYFUNCTION("REGEXEXTRACT(H89, ""s*(.*?)\s*а\)"")"),"Какой моб появляется в аду и стреляет огненными шарами?")</f>
        <v>Какой моб появляется в аду и стреляет огненными шарами?</v>
      </c>
      <c r="B89" s="3">
        <v>1.0</v>
      </c>
      <c r="D89" s="3" t="str">
        <f>IFERROR(__xludf.DUMMYFUNCTION("REGEXREPLACE(REGEXEXTRACT(H89, ""а\)\s*(.*?)\s*б\)""), ""^\s*"", """")"),"Гаст")</f>
        <v>Гаст</v>
      </c>
      <c r="E89" s="3" t="str">
        <f>IFERROR(__xludf.DUMMYFUNCTION("REGEXREPLACE(REGEXEXTRACT(H89, ""б\)\s*(.*?)\s*в\)""), ""^\s*"", """")"),"Зомби-свиночеловек")</f>
        <v>Зомби-свиночеловек</v>
      </c>
      <c r="F89" s="3" t="str">
        <f>IFERROR(__xludf.DUMMYFUNCTION("REGEXREPLACE(REGEXEXTRACT(H89, ""в\)\s*(.*?)\s*г\)""), ""^\s*"", """")"),"Скелет")</f>
        <v>Скелет</v>
      </c>
      <c r="G89" s="3" t="str">
        <f>IFERROR(__xludf.DUMMYFUNCTION("REGEXREPLACE(REGEXEXTRACT(H89, ""г\)\s*(.*)""), ""^\s*"", """")"),"Лавовый куб")</f>
        <v>Лавовый куб</v>
      </c>
      <c r="H89" s="8" t="s">
        <v>95</v>
      </c>
    </row>
    <row r="90">
      <c r="A90" s="3" t="str">
        <f>IFERROR(__xludf.DUMMYFUNCTION("REGEXEXTRACT(H90, ""s*(.*?)\s*а\)"")"),"Что является основным ресурсом для создания строительных лесов?")</f>
        <v>Что является основным ресурсом для создания строительных лесов?</v>
      </c>
      <c r="B90" s="3">
        <v>1.0</v>
      </c>
      <c r="D90" s="3" t="str">
        <f>IFERROR(__xludf.DUMMYFUNCTION("REGEXREPLACE(REGEXEXTRACT(H90, ""а\)\s*(.*?)\s*б\)""), ""^\s*"", """")"),"Бамбук")</f>
        <v>Бамбук</v>
      </c>
      <c r="E90" s="3" t="str">
        <f>IFERROR(__xludf.DUMMYFUNCTION("REGEXREPLACE(REGEXEXTRACT(H90, ""б\)\s*(.*?)\s*в\)""), ""^\s*"", """")"),"Дерево")</f>
        <v>Дерево</v>
      </c>
      <c r="F90" s="3" t="str">
        <f>IFERROR(__xludf.DUMMYFUNCTION("REGEXREPLACE(REGEXEXTRACT(H90, ""в\)\s*(.*?)\s*г\)""), ""^\s*"", """")"),"Камень")</f>
        <v>Камень</v>
      </c>
      <c r="G90" s="3" t="str">
        <f>IFERROR(__xludf.DUMMYFUNCTION("REGEXREPLACE(REGEXEXTRACT(H90, ""г\)\s*(.*)""), ""^\s*"", """")"),"Железо")</f>
        <v>Железо</v>
      </c>
      <c r="H90" s="8" t="s">
        <v>96</v>
      </c>
    </row>
    <row r="91">
      <c r="A91" s="3" t="str">
        <f>IFERROR(__xludf.DUMMYFUNCTION("REGEXEXTRACT(H91, ""s*(.*?)\s*а\)"")"),"С помощью чего можно быстро вспахивать землю?")</f>
        <v>С помощью чего можно быстро вспахивать землю?</v>
      </c>
      <c r="B91" s="3">
        <v>1.0</v>
      </c>
      <c r="D91" s="3" t="str">
        <f>IFERROR(__xludf.DUMMYFUNCTION("REGEXREPLACE(REGEXEXTRACT(H91, ""а\)\s*(.*?)\s*б\)""), ""^\s*"", """")"),"Мотыга")</f>
        <v>Мотыга</v>
      </c>
      <c r="E91" s="3" t="str">
        <f>IFERROR(__xludf.DUMMYFUNCTION("REGEXREPLACE(REGEXEXTRACT(H91, ""б\)\s*(.*?)\s*в\)""), ""^\s*"", """")"),"Лопата")</f>
        <v>Лопата</v>
      </c>
      <c r="F91" s="3" t="str">
        <f>IFERROR(__xludf.DUMMYFUNCTION("REGEXREPLACE(REGEXEXTRACT(H91, ""в\)\s*(.*?)\s*г\)""), ""^\s*"", """")"),"Кирка")</f>
        <v>Кирка</v>
      </c>
      <c r="G91" s="3" t="str">
        <f>IFERROR(__xludf.DUMMYFUNCTION("REGEXREPLACE(REGEXEXTRACT(H91, ""г\)\s*(.*)""), ""^\s*"", """")"),"Топор")</f>
        <v>Топор</v>
      </c>
      <c r="H91" s="8" t="s">
        <v>97</v>
      </c>
    </row>
    <row r="92">
      <c r="A92" s="3" t="str">
        <f>IFERROR(__xludf.DUMMYFUNCTION("REGEXEXTRACT(H92, ""s*(.*?)\s*а\)"")"),"Какой моб нападает на жителей деревень?")</f>
        <v>Какой моб нападает на жителей деревень?</v>
      </c>
      <c r="B92" s="3">
        <v>1.0</v>
      </c>
      <c r="D92" s="3" t="str">
        <f>IFERROR(__xludf.DUMMYFUNCTION("REGEXREPLACE(REGEXEXTRACT(H92, ""а\)\s*(.*?)\s*б\)""), ""^\s*"", """")"),"Зомби")</f>
        <v>Зомби</v>
      </c>
      <c r="E92" s="3" t="str">
        <f>IFERROR(__xludf.DUMMYFUNCTION("REGEXREPLACE(REGEXEXTRACT(H92, ""б\)\s*(.*?)\s*в\)""), ""^\s*"", """")"),"Скелет")</f>
        <v>Скелет</v>
      </c>
      <c r="F92" s="3" t="str">
        <f>IFERROR(__xludf.DUMMYFUNCTION("REGEXREPLACE(REGEXEXTRACT(H92, ""в\)\s*(.*?)\s*г\)""), ""^\s*"", """")"),"Крипер")</f>
        <v>Крипер</v>
      </c>
      <c r="G92" s="3" t="str">
        <f>IFERROR(__xludf.DUMMYFUNCTION("REGEXREPLACE(REGEXEXTRACT(H92, ""г\)\s*(.*)""), ""^\s*"", """")"),"Паук")</f>
        <v>Паук</v>
      </c>
      <c r="H92" s="8" t="s">
        <v>98</v>
      </c>
    </row>
    <row r="93">
      <c r="A93" s="3" t="str">
        <f>IFERROR(__xludf.DUMMYFUNCTION("REGEXEXTRACT(H93, ""s*(.*?)\s*а\)"")"),"С помощью чего можно собирать мед из улья?")</f>
        <v>С помощью чего можно собирать мед из улья?</v>
      </c>
      <c r="B93" s="3">
        <v>1.0</v>
      </c>
      <c r="D93" s="3" t="str">
        <f>IFERROR(__xludf.DUMMYFUNCTION("REGEXREPLACE(REGEXEXTRACT(H93, ""а\)\s*(.*?)\s*б\)""), ""^\s*"", """")"),"Стеклянная бутылка")</f>
        <v>Стеклянная бутылка</v>
      </c>
      <c r="E93" s="3" t="str">
        <f>IFERROR(__xludf.DUMMYFUNCTION("REGEXREPLACE(REGEXEXTRACT(H93, ""б\)\s*(.*?)\s*в\)""), ""^\s*"", """")"),"Ведро")</f>
        <v>Ведро</v>
      </c>
      <c r="F93" s="3" t="str">
        <f>IFERROR(__xludf.DUMMYFUNCTION("REGEXREPLACE(REGEXEXTRACT(H93, ""в\)\s*(.*?)\s*г\)""), ""^\s*"", """")"),"Лопата")</f>
        <v>Лопата</v>
      </c>
      <c r="G93" s="3" t="str">
        <f>IFERROR(__xludf.DUMMYFUNCTION("REGEXREPLACE(REGEXEXTRACT(H93, ""г\)\s*(.*)""), ""^\s*"", """")"),"Топор")</f>
        <v>Топор</v>
      </c>
      <c r="H93" s="8" t="s">
        <v>99</v>
      </c>
    </row>
    <row r="94">
      <c r="A94" s="3" t="str">
        <f>IFERROR(__xludf.DUMMYFUNCTION("REGEXEXTRACT(H94, ""s*(.*?)\s*а\)"")"),"Какой предмет необходим для создания зелья невидимости?")</f>
        <v>Какой предмет необходим для создания зелья невидимости?</v>
      </c>
      <c r="B94" s="3">
        <v>1.0</v>
      </c>
      <c r="D94" s="3" t="str">
        <f>IFERROR(__xludf.DUMMYFUNCTION("REGEXREPLACE(REGEXEXTRACT(H94, ""а\)\s*(.*?)\s*б\)""), ""^\s*"", """")"),"Золотая морковь")</f>
        <v>Золотая морковь</v>
      </c>
      <c r="E94" s="3" t="str">
        <f>IFERROR(__xludf.DUMMYFUNCTION("REGEXREPLACE(REGEXEXTRACT(H94, ""б\)\s*(.*?)\s*в\)""), ""^\s*"", """")"),"Слеза гаста")</f>
        <v>Слеза гаста</v>
      </c>
      <c r="F94" s="3" t="str">
        <f>IFERROR(__xludf.DUMMYFUNCTION("REGEXREPLACE(REGEXEXTRACT(H94, ""в\)\s*(.*?)\s*г\)""), ""^\s*"", """")"),"Алмаз")</f>
        <v>Алмаз</v>
      </c>
      <c r="G94" s="3" t="str">
        <f>IFERROR(__xludf.DUMMYFUNCTION("REGEXREPLACE(REGEXEXTRACT(H94, ""г\)\s*(.*)""), ""^\s*"", """")"),"Лава")</f>
        <v>Лава</v>
      </c>
      <c r="H94" s="8" t="s">
        <v>100</v>
      </c>
    </row>
    <row r="95">
      <c r="A95" s="3" t="str">
        <f>IFERROR(__xludf.DUMMYFUNCTION("REGEXEXTRACT(H95, ""s*(.*?)\s*а\)"")"),"Что используется для создания музыкальных блоков?")</f>
        <v>Что используется для создания музыкальных блоков?</v>
      </c>
      <c r="B95" s="3">
        <v>1.0</v>
      </c>
      <c r="D95" s="3" t="str">
        <f>IFERROR(__xludf.DUMMYFUNCTION("REGEXREPLACE(REGEXEXTRACT(H95, ""а\)\s*(.*?)\s*б\)""), ""^\s*"", """")"),"Дерево")</f>
        <v>Дерево</v>
      </c>
      <c r="E95" s="3" t="str">
        <f>IFERROR(__xludf.DUMMYFUNCTION("REGEXREPLACE(REGEXEXTRACT(H95, ""б\)\s*(.*?)\s*в\)""), ""^\s*"", """")"),"Камень")</f>
        <v>Камень</v>
      </c>
      <c r="F95" s="3" t="str">
        <f>IFERROR(__xludf.DUMMYFUNCTION("REGEXREPLACE(REGEXEXTRACT(H95, ""в\)\s*(.*?)\s*г\)""), ""^\s*"", """")"),"Железо")</f>
        <v>Железо</v>
      </c>
      <c r="G95" s="3" t="str">
        <f>IFERROR(__xludf.DUMMYFUNCTION("REGEXREPLACE(REGEXEXTRACT(H95, ""г\)\s*(.*)""), ""^\s*"", """")"),"Алмаз")</f>
        <v>Алмаз</v>
      </c>
      <c r="H95" s="8" t="s">
        <v>101</v>
      </c>
    </row>
    <row r="96">
      <c r="A96" s="3" t="str">
        <f>IFERROR(__xludf.DUMMYFUNCTION("REGEXEXTRACT(H96, ""s*(.*?)\s*а\)"")"),"Какой моб плавает в воде и может атаковать игрока?")</f>
        <v>Какой моб плавает в воде и может атаковать игрока?</v>
      </c>
      <c r="B96" s="3">
        <v>1.0</v>
      </c>
      <c r="D96" s="3" t="str">
        <f>IFERROR(__xludf.DUMMYFUNCTION("REGEXREPLACE(REGEXEXTRACT(H96, ""а\)\s*(.*?)\s*б\)""), ""^\s*"", """")"),"Утопленник")</f>
        <v>Утопленник</v>
      </c>
      <c r="E96" s="3" t="str">
        <f>IFERROR(__xludf.DUMMYFUNCTION("REGEXREPLACE(REGEXEXTRACT(H96, ""б\)\s*(.*?)\s*в\)""), ""^\s*"", """")"),"Скелет")</f>
        <v>Скелет</v>
      </c>
      <c r="F96" s="3" t="str">
        <f>IFERROR(__xludf.DUMMYFUNCTION("REGEXREPLACE(REGEXEXTRACT(H96, ""в\)\s*(.*?)\s*г\)""), ""^\s*"", """")"),"Зомби")</f>
        <v>Зомби</v>
      </c>
      <c r="G96" s="3" t="str">
        <f>IFERROR(__xludf.DUMMYFUNCTION("REGEXREPLACE(REGEXEXTRACT(H96, ""г\)\s*(.*)""), ""^\s*"", """")"),"Крипер")</f>
        <v>Крипер</v>
      </c>
      <c r="H96" s="8" t="s">
        <v>102</v>
      </c>
    </row>
    <row r="97">
      <c r="A97" s="3" t="str">
        <f>IFERROR(__xludf.DUMMYFUNCTION("REGEXEXTRACT(H97, ""s*(.*?)\s*а\)"")"),"Для чего нужно кострище?")</f>
        <v>Для чего нужно кострище?</v>
      </c>
      <c r="B97" s="3">
        <v>1.0</v>
      </c>
      <c r="D97" s="3" t="str">
        <f>IFERROR(__xludf.DUMMYFUNCTION("REGEXREPLACE(REGEXEXTRACT(H97, ""а\)\s*(.*?)\s*б\)""), ""^\s*"", """")"),"Для приготовления пищи")</f>
        <v>Для приготовления пищи</v>
      </c>
      <c r="E97" s="3" t="str">
        <f>IFERROR(__xludf.DUMMYFUNCTION("REGEXREPLACE(REGEXEXTRACT(H97, ""б\)\s*(.*?)\s*в\)""), ""^\s*"", """")"),"Для украшения")</f>
        <v>Для украшения</v>
      </c>
      <c r="F97" s="3" t="str">
        <f>IFERROR(__xludf.DUMMYFUNCTION("REGEXREPLACE(REGEXEXTRACT(H97, ""в\)\s*(.*?)\s*г\)""), ""^\s*"", """")"),"Для отпугивания мобов")</f>
        <v>Для отпугивания мобов</v>
      </c>
      <c r="G97" s="3" t="str">
        <f>IFERROR(__xludf.DUMMYFUNCTION("REGEXREPLACE(REGEXEXTRACT(H97, ""г\)\s*(.*)""), ""^\s*"", """")"),"Для освещения территории")</f>
        <v>Для освещения территории</v>
      </c>
      <c r="H97" s="8" t="s">
        <v>103</v>
      </c>
    </row>
    <row r="98">
      <c r="A98" s="3" t="str">
        <f>IFERROR(__xludf.DUMMYFUNCTION("REGEXEXTRACT(H98, ""s*(.*?)\s*а\)"")"),"С помощью чего можно быстро срубить огромное дерево?")</f>
        <v>С помощью чего можно быстро срубить огромное дерево?</v>
      </c>
      <c r="B98" s="3">
        <v>1.0</v>
      </c>
      <c r="D98" s="3" t="str">
        <f>IFERROR(__xludf.DUMMYFUNCTION("REGEXREPLACE(REGEXEXTRACT(H98, ""а\)\s*(.*?)\s*б\)""), ""^\s*"", """")"),"Топор")</f>
        <v>Топор</v>
      </c>
      <c r="E98" s="3" t="str">
        <f>IFERROR(__xludf.DUMMYFUNCTION("REGEXREPLACE(REGEXEXTRACT(H98, ""б\)\s*(.*?)\s*в\)""), ""^\s*"", """")"),"Кирка")</f>
        <v>Кирка</v>
      </c>
      <c r="F98" s="3" t="str">
        <f>IFERROR(__xludf.DUMMYFUNCTION("REGEXREPLACE(REGEXEXTRACT(H98, ""в\)\s*(.*?)\s*г\)""), ""^\s*"", """")"),"Мотыга")</f>
        <v>Мотыга</v>
      </c>
      <c r="G98" s="3" t="str">
        <f>IFERROR(__xludf.DUMMYFUNCTION("REGEXREPLACE(REGEXEXTRACT(H98, ""г\)\s*(.*)""), ""^\s*"", """")"),"Лопата")</f>
        <v>Лопата</v>
      </c>
      <c r="H98" s="8" t="s">
        <v>104</v>
      </c>
    </row>
    <row r="99">
      <c r="A99" s="3" t="str">
        <f>IFERROR(__xludf.DUMMYFUNCTION("REGEXEXTRACT(H99, ""s*(.*?)\s*а\)"")"),"Что нужно для создания стола картографа?")</f>
        <v>Что нужно для создания стола картографа?</v>
      </c>
      <c r="B99" s="3">
        <v>1.0</v>
      </c>
      <c r="D99" s="3" t="str">
        <f>IFERROR(__xludf.DUMMYFUNCTION("REGEXREPLACE(REGEXEXTRACT(H99, ""а\)\s*(.*?)\s*б\)""), ""^\s*"", """")"),"Бумага")</f>
        <v>Бумага</v>
      </c>
      <c r="E99" s="3" t="str">
        <f>IFERROR(__xludf.DUMMYFUNCTION("REGEXREPLACE(REGEXEXTRACT(H99, ""б\)\s*(.*?)\s*в\)""), ""^\s*"", """")"),"Камень")</f>
        <v>Камень</v>
      </c>
      <c r="F99" s="3" t="str">
        <f>IFERROR(__xludf.DUMMYFUNCTION("REGEXREPLACE(REGEXEXTRACT(H99, ""в\)\s*(.*?)\s*г\)""), ""^\s*"", """")"),"Листья")</f>
        <v>Листья</v>
      </c>
      <c r="G99" s="3" t="str">
        <f>IFERROR(__xludf.DUMMYFUNCTION("REGEXREPLACE(REGEXEXTRACT(H99, ""г\)\s*(.*)""), ""^\s*"", """")"),"Редстоун")</f>
        <v>Редстоун</v>
      </c>
      <c r="H99" s="8" t="s">
        <v>105</v>
      </c>
    </row>
    <row r="100">
      <c r="A100" s="3" t="str">
        <f>IFERROR(__xludf.DUMMYFUNCTION("REGEXEXTRACT(H100, ""s*(.*?)\s*а\)"")"),"Для чего нужен компас?")</f>
        <v>Для чего нужен компас?</v>
      </c>
      <c r="B100" s="3">
        <v>1.0</v>
      </c>
      <c r="D100" s="3" t="str">
        <f>IFERROR(__xludf.DUMMYFUNCTION("REGEXREPLACE(REGEXEXTRACT(H100, ""а\)\s*(.*?)\s*б\)""), ""^\s*"", """")"),"Что бы не заблудиться")</f>
        <v>Что бы не заблудиться</v>
      </c>
      <c r="E100" s="3" t="str">
        <f>IFERROR(__xludf.DUMMYFUNCTION("REGEXREPLACE(REGEXEXTRACT(H100, ""б\)\s*(.*?)\s*в\)""), ""^\s*"", """")"),"Для ориентирования во времени")</f>
        <v>Для ориентирования во времени</v>
      </c>
      <c r="F100" s="3" t="str">
        <f>IFERROR(__xludf.DUMMYFUNCTION("REGEXREPLACE(REGEXEXTRACT(H100, ""в\)\s*(.*?)\s*г\)""), ""^\s*"", """")"),"Для поиска сокровищ")</f>
        <v>Для поиска сокровищ</v>
      </c>
      <c r="G100" s="3" t="str">
        <f>IFERROR(__xludf.DUMMYFUNCTION("REGEXREPLACE(REGEXEXTRACT(H100, ""г\)\s*(.*)""), ""^\s*"", """")"),"Для полёта")</f>
        <v>Для полёта</v>
      </c>
      <c r="H100" s="8" t="s">
        <v>106</v>
      </c>
    </row>
    <row r="101">
      <c r="A101" s="3" t="str">
        <f>IFERROR(__xludf.DUMMYFUNCTION("REGEXEXTRACT(H101, ""s*(.*?)\s*а\)"")"),"Что нужно для создания динамита?")</f>
        <v>Что нужно для создания динамита?</v>
      </c>
      <c r="B101" s="3">
        <v>1.0</v>
      </c>
      <c r="D101" s="3" t="str">
        <f>IFERROR(__xludf.DUMMYFUNCTION("REGEXREPLACE(REGEXEXTRACT(H101, ""а\)\s*(.*?)\s*б\)""), ""^\s*"", """")"),"Порох")</f>
        <v>Порох</v>
      </c>
      <c r="E101" s="3" t="str">
        <f>IFERROR(__xludf.DUMMYFUNCTION("REGEXREPLACE(REGEXEXTRACT(H101, ""б\)\s*(.*?)\s*в\)""), ""^\s*"", """")"),"Уголь")</f>
        <v>Уголь</v>
      </c>
      <c r="F101" s="3" t="str">
        <f>IFERROR(__xludf.DUMMYFUNCTION("REGEXREPLACE(REGEXEXTRACT(H101, ""в\)\s*(.*?)\s*г\)""), ""^\s*"", """")"),"Редстоун")</f>
        <v>Редстоун</v>
      </c>
      <c r="G101" s="3" t="str">
        <f>IFERROR(__xludf.DUMMYFUNCTION("REGEXREPLACE(REGEXEXTRACT(H101, ""г\)\s*(.*)""), ""^\s*"", """")"),"Железо")</f>
        <v>Железо</v>
      </c>
      <c r="H101" s="8" t="s">
        <v>107</v>
      </c>
    </row>
    <row r="102">
      <c r="A102" s="3" t="str">
        <f>IFERROR(__xludf.DUMMYFUNCTION("REGEXEXTRACT(H102, ""s*(.*?)\s*а\)"")"),"Какой предмет можно использовать для телепортации?")</f>
        <v>Какой предмет можно использовать для телепортации?</v>
      </c>
      <c r="B102" s="3">
        <v>1.0</v>
      </c>
      <c r="D102" s="3" t="str">
        <f>IFERROR(__xludf.DUMMYFUNCTION("REGEXREPLACE(REGEXEXTRACT(H102, ""а\)\s*(.*?)\s*б\)""), ""^\s*"", """")"),"Жемчуг Края")</f>
        <v>Жемчуг Края</v>
      </c>
      <c r="E102" s="3" t="str">
        <f>IFERROR(__xludf.DUMMYFUNCTION("REGEXREPLACE(REGEXEXTRACT(H102, ""б\)\s*(.*?)\s*в\)""), ""^\s*"", """")"),"Камень Края")</f>
        <v>Камень Края</v>
      </c>
      <c r="F102" s="3" t="str">
        <f>IFERROR(__xludf.DUMMYFUNCTION("REGEXREPLACE(REGEXEXTRACT(H102, ""в\)\s*(.*?)\s*г\)""), ""^\s*"", """")"),"Обсидиан")</f>
        <v>Обсидиан</v>
      </c>
      <c r="G102" s="3" t="str">
        <f>IFERROR(__xludf.DUMMYFUNCTION("REGEXREPLACE(REGEXEXTRACT(H102, ""г\)\s*(.*)""), ""^\s*"", """")"),"Камень")</f>
        <v>Камень</v>
      </c>
      <c r="H102" s="8" t="s">
        <v>108</v>
      </c>
    </row>
    <row r="103">
      <c r="A103" s="3" t="str">
        <f>IFERROR(__xludf.DUMMYFUNCTION("REGEXEXTRACT(H103, ""s*(.*?)\s*а\)"")"),"Как называется блок, который может липнуть к другим блокам?")</f>
        <v>Как называется блок, который может липнуть к другим блокам?</v>
      </c>
      <c r="B103" s="3">
        <v>1.0</v>
      </c>
      <c r="D103" s="3" t="str">
        <f>IFERROR(__xludf.DUMMYFUNCTION("REGEXREPLACE(REGEXEXTRACT(H103, ""а\)\s*(.*?)\s*б\)""), ""^\s*"", """")"),"Липкий поршень")</f>
        <v>Липкий поршень</v>
      </c>
      <c r="E103" s="3" t="str">
        <f>IFERROR(__xludf.DUMMYFUNCTION("REGEXREPLACE(REGEXEXTRACT(H103, ""б\)\s*(.*?)\s*в\)""), ""^\s*"", """")"),"Обычный поршень")</f>
        <v>Обычный поршень</v>
      </c>
      <c r="F103" s="3" t="str">
        <f>IFERROR(__xludf.DUMMYFUNCTION("REGEXREPLACE(REGEXEXTRACT(H103, ""в\)\s*(.*?)\s*г\)""), ""^\s*"", """")"),"Слизь")</f>
        <v>Слизь</v>
      </c>
      <c r="G103" s="3" t="str">
        <f>IFERROR(__xludf.DUMMYFUNCTION("REGEXREPLACE(REGEXEXTRACT(H103, ""г\)\s*(.*)""), ""^\s*"", """")"),"Мед")</f>
        <v>Мед</v>
      </c>
      <c r="H103" s="8" t="s">
        <v>109</v>
      </c>
    </row>
    <row r="104">
      <c r="A104" s="3" t="str">
        <f>IFERROR(__xludf.DUMMYFUNCTION("REGEXEXTRACT(H104, ""s*(.*?)\s*а\)"")"),"Какую еду любят панды?")</f>
        <v>Какую еду любят панды?</v>
      </c>
      <c r="B104" s="3">
        <v>1.0</v>
      </c>
      <c r="D104" s="3" t="str">
        <f>IFERROR(__xludf.DUMMYFUNCTION("REGEXREPLACE(REGEXEXTRACT(H104, ""а\)\s*(.*?)\s*б\)""), ""^\s*"", """")"),"Бамбук")</f>
        <v>Бамбук</v>
      </c>
      <c r="E104" s="3" t="str">
        <f>IFERROR(__xludf.DUMMYFUNCTION("REGEXREPLACE(REGEXEXTRACT(H104, ""б\)\s*(.*?)\s*в\)""), ""^\s*"", """")"),"Яблоки")</f>
        <v>Яблоки</v>
      </c>
      <c r="F104" s="3" t="str">
        <f>IFERROR(__xludf.DUMMYFUNCTION("REGEXREPLACE(REGEXEXTRACT(H104, ""в\)\s*(.*?)\s*г\)""), ""^\s*"", """")"),"Торт")</f>
        <v>Торт</v>
      </c>
      <c r="G104" s="3" t="str">
        <f>IFERROR(__xludf.DUMMYFUNCTION("REGEXREPLACE(REGEXEXTRACT(H104, ""г\)\s*(.*)""), ""^\s*"", """")"),"Семена")</f>
        <v>Семена</v>
      </c>
      <c r="H104" s="8" t="s">
        <v>110</v>
      </c>
    </row>
    <row r="105">
      <c r="A105" s="3" t="str">
        <f>IFERROR(__xludf.DUMMYFUNCTION("REGEXEXTRACT(H105, ""s*(.*?)\s*а\)"")"),"Какой инструмент позволяет быстро копать песок и гравий?")</f>
        <v>Какой инструмент позволяет быстро копать песок и гравий?</v>
      </c>
      <c r="B105" s="3">
        <v>1.0</v>
      </c>
      <c r="D105" s="3" t="str">
        <f>IFERROR(__xludf.DUMMYFUNCTION("REGEXREPLACE(REGEXEXTRACT(H105, ""а\)\s*(.*?)\s*б\)""), ""^\s*"", """")"),"Лопата")</f>
        <v>Лопата</v>
      </c>
      <c r="E105" s="3" t="str">
        <f>IFERROR(__xludf.DUMMYFUNCTION("REGEXREPLACE(REGEXEXTRACT(H105, ""б\)\s*(.*?)\s*в\)""), ""^\s*"", """")"),"Кирка")</f>
        <v>Кирка</v>
      </c>
      <c r="F105" s="3" t="str">
        <f>IFERROR(__xludf.DUMMYFUNCTION("REGEXREPLACE(REGEXEXTRACT(H105, ""в\)\s*(.*?)\s*г\)""), ""^\s*"", """")"),"Топор")</f>
        <v>Топор</v>
      </c>
      <c r="G105" s="3" t="str">
        <f>IFERROR(__xludf.DUMMYFUNCTION("REGEXREPLACE(REGEXEXTRACT(H105, ""г\)\s*(.*)""), ""^\s*"", """")"),"Мотыга")</f>
        <v>Мотыга</v>
      </c>
      <c r="H105" s="8" t="s">
        <v>111</v>
      </c>
    </row>
    <row r="106">
      <c r="A106" s="3" t="str">
        <f>IFERROR(__xludf.DUMMYFUNCTION("REGEXEXTRACT(H106, ""s*(.*?)\s*а\)"")"),"Какой моб превращается в ведьму от удара молнии?")</f>
        <v>Какой моб превращается в ведьму от удара молнии?</v>
      </c>
      <c r="B106" s="3">
        <v>1.0</v>
      </c>
      <c r="D106" s="3" t="str">
        <f>IFERROR(__xludf.DUMMYFUNCTION("REGEXREPLACE(REGEXEXTRACT(H106, ""а\)\s*(.*?)\s*б\)""), ""^\s*"", """")"),"Житель")</f>
        <v>Житель</v>
      </c>
      <c r="E106" s="3" t="str">
        <f>IFERROR(__xludf.DUMMYFUNCTION("REGEXREPLACE(REGEXEXTRACT(H106, ""б\)\s*(.*?)\s*в\)""), ""^\s*"", """")"),"Зомби")</f>
        <v>Зомби</v>
      </c>
      <c r="F106" s="3" t="str">
        <f>IFERROR(__xludf.DUMMYFUNCTION("REGEXREPLACE(REGEXEXTRACT(H106, ""в\)\s*(.*?)\s*г\)""), ""^\s*"", """")"),"Скелет")</f>
        <v>Скелет</v>
      </c>
      <c r="G106" s="3" t="str">
        <f>IFERROR(__xludf.DUMMYFUNCTION("REGEXREPLACE(REGEXEXTRACT(H106, ""г\)\s*(.*)""), ""^\s*"", """")"),"Крипер")</f>
        <v>Крипер</v>
      </c>
      <c r="H106" s="8" t="s">
        <v>112</v>
      </c>
    </row>
    <row r="107">
      <c r="A107" s="3" t="str">
        <f>IFERROR(__xludf.DUMMYFUNCTION("REGEXEXTRACT(H107, ""s*(.*?)\s*а\)"")"),"Какой ресурс используется для создания стекла?")</f>
        <v>Какой ресурс используется для создания стекла?</v>
      </c>
      <c r="B107" s="3">
        <v>1.0</v>
      </c>
      <c r="D107" s="3" t="str">
        <f>IFERROR(__xludf.DUMMYFUNCTION("REGEXREPLACE(REGEXEXTRACT(H107, ""а\)\s*(.*?)\s*б\)""), ""^\s*"", """")"),"Песок")</f>
        <v>Песок</v>
      </c>
      <c r="E107" s="3" t="str">
        <f>IFERROR(__xludf.DUMMYFUNCTION("REGEXREPLACE(REGEXEXTRACT(H107, ""б\)\s*(.*?)\s*в\)""), ""^\s*"", """")"),"Камень")</f>
        <v>Камень</v>
      </c>
      <c r="F107" s="3" t="str">
        <f>IFERROR(__xludf.DUMMYFUNCTION("REGEXREPLACE(REGEXEXTRACT(H107, ""в\)\s*(.*?)\s*г\)""), ""^\s*"", """")"),"Земля")</f>
        <v>Земля</v>
      </c>
      <c r="G107" s="3" t="str">
        <f>IFERROR(__xludf.DUMMYFUNCTION("REGEXREPLACE(REGEXEXTRACT(H107, ""г\)\s*(.*)""), ""^\s*"", """")"),"Гравий")</f>
        <v>Гравий</v>
      </c>
      <c r="H107" s="8" t="s">
        <v>113</v>
      </c>
    </row>
    <row r="108">
      <c r="A108" s="3" t="str">
        <f>IFERROR(__xludf.DUMMYFUNCTION("REGEXEXTRACT(H108, ""s*(.*?)\s*а\)"")"),"Какой блок используется для создания костра?")</f>
        <v>Какой блок используется для создания костра?</v>
      </c>
      <c r="B108" s="3">
        <v>1.0</v>
      </c>
      <c r="D108" s="3" t="str">
        <f>IFERROR(__xludf.DUMMYFUNCTION("REGEXREPLACE(REGEXEXTRACT(H108, ""а\)\s*(.*?)\s*б\)""), ""^\s*"", """")"),"Уголь")</f>
        <v>Уголь</v>
      </c>
      <c r="E108" s="3" t="str">
        <f>IFERROR(__xludf.DUMMYFUNCTION("REGEXREPLACE(REGEXEXTRACT(H108, ""б\)\s*(.*?)\s*в\)""), ""^\s*"", """")"),"Железо")</f>
        <v>Железо</v>
      </c>
      <c r="F108" s="3" t="str">
        <f>IFERROR(__xludf.DUMMYFUNCTION("REGEXREPLACE(REGEXEXTRACT(H108, ""в\)\s*(.*?)\s*г\)""), ""^\s*"", """")"),"Золото")</f>
        <v>Золото</v>
      </c>
      <c r="G108" s="3" t="str">
        <f>IFERROR(__xludf.DUMMYFUNCTION("REGEXREPLACE(REGEXEXTRACT(H108, ""г\)\s*(.*)""), ""^\s*"", """")"),"Алмазы")</f>
        <v>Алмазы</v>
      </c>
      <c r="H108" s="8" t="s">
        <v>114</v>
      </c>
    </row>
    <row r="109">
      <c r="A109" s="3" t="str">
        <f>IFERROR(__xludf.DUMMYFUNCTION("REGEXEXTRACT(H109, ""s*(.*?)\s*а\)"")"),"Где можно найти элитры?")</f>
        <v>Где можно найти элитры?</v>
      </c>
      <c r="B109" s="3">
        <v>1.0</v>
      </c>
      <c r="D109" s="3" t="str">
        <f>IFERROR(__xludf.DUMMYFUNCTION("REGEXREPLACE(REGEXEXTRACT(H109, ""а\)\s*(.*?)\s*б\)""), ""^\s*"", """")"),"В корабле Края")</f>
        <v>В корабле Края</v>
      </c>
      <c r="E109" s="3" t="str">
        <f>IFERROR(__xludf.DUMMYFUNCTION("REGEXREPLACE(REGEXEXTRACT(H109, ""б\)\s*(.*?)\s*в\)""), ""^\s*"", """")"),"В сокровищнице")</f>
        <v>В сокровищнице</v>
      </c>
      <c r="F109" s="3" t="str">
        <f>IFERROR(__xludf.DUMMYFUNCTION("REGEXREPLACE(REGEXEXTRACT(H109, ""в\)\s*(.*?)\s*г\)""), ""^\s*"", """")"),"В шахте")</f>
        <v>В шахте</v>
      </c>
      <c r="G109" s="3" t="str">
        <f>IFERROR(__xludf.DUMMYFUNCTION("REGEXREPLACE(REGEXEXTRACT(H109, ""г\)\s*(.*)""), ""^\s*"", """")"),"В пещере")</f>
        <v>В пещере</v>
      </c>
      <c r="H109" s="8" t="s">
        <v>115</v>
      </c>
    </row>
    <row r="110">
      <c r="A110" s="3" t="str">
        <f>IFERROR(__xludf.DUMMYFUNCTION("REGEXEXTRACT(H110, ""s*(.*?)\s*а\)"")"),"Что используется для создания динамита?")</f>
        <v>Что используется для создания динамита?</v>
      </c>
      <c r="B110" s="3">
        <v>1.0</v>
      </c>
      <c r="D110" s="3" t="str">
        <f>IFERROR(__xludf.DUMMYFUNCTION("REGEXREPLACE(REGEXEXTRACT(H110, ""а\)\s*(.*?)\s*б\)""), ""^\s*"", """")"),"Порох")</f>
        <v>Порох</v>
      </c>
      <c r="E110" s="3" t="str">
        <f>IFERROR(__xludf.DUMMYFUNCTION("REGEXREPLACE(REGEXEXTRACT(H110, ""б\)\s*(.*?)\s*в\)""), ""^\s*"", """")"),"Уголь")</f>
        <v>Уголь</v>
      </c>
      <c r="F110" s="3" t="str">
        <f>IFERROR(__xludf.DUMMYFUNCTION("REGEXREPLACE(REGEXEXTRACT(H110, ""в\)\s*(.*?)\s*г\)""), ""^\s*"", """")"),"Редстоун")</f>
        <v>Редстоун</v>
      </c>
      <c r="G110" s="3" t="str">
        <f>IFERROR(__xludf.DUMMYFUNCTION("REGEXREPLACE(REGEXEXTRACT(H110, ""г\)\s*(.*)""), ""^\s*"", """")"),"Железо")</f>
        <v>Железо</v>
      </c>
      <c r="H110" s="8" t="s">
        <v>116</v>
      </c>
    </row>
    <row r="111">
      <c r="A111" s="3" t="str">
        <f>IFERROR(__xludf.DUMMYFUNCTION("REGEXEXTRACT(H111, ""s*(.*?)\s*а\)"")"),"Какой ресурс используется для создания фейерверков?")</f>
        <v>Какой ресурс используется для создания фейерверков?</v>
      </c>
      <c r="B111" s="3">
        <v>1.0</v>
      </c>
      <c r="D111" s="3" t="str">
        <f>IFERROR(__xludf.DUMMYFUNCTION("REGEXREPLACE(REGEXEXTRACT(H111, ""а\)\s*(.*?)\s*б\)""), ""^\s*"", """")"),"Порох")</f>
        <v>Порох</v>
      </c>
      <c r="E111" s="3" t="str">
        <f>IFERROR(__xludf.DUMMYFUNCTION("REGEXREPLACE(REGEXEXTRACT(H111, ""б\)\s*(.*?)\s*в\)""), ""^\s*"", """")"),"Уголь")</f>
        <v>Уголь</v>
      </c>
      <c r="F111" s="3" t="str">
        <f>IFERROR(__xludf.DUMMYFUNCTION("REGEXREPLACE(REGEXEXTRACT(H111, ""в\)\s*(.*?)\s*г\)""), ""^\s*"", """")"),"Редстоун")</f>
        <v>Редстоун</v>
      </c>
      <c r="G111" s="3" t="str">
        <f>IFERROR(__xludf.DUMMYFUNCTION("REGEXREPLACE(REGEXEXTRACT(H111, ""г\)\s*(.*)""), ""^\s*"", """")"),"Железо")</f>
        <v>Железо</v>
      </c>
      <c r="H111" s="8" t="s">
        <v>117</v>
      </c>
    </row>
    <row r="112">
      <c r="A112" s="3" t="str">
        <f>IFERROR(__xludf.DUMMYFUNCTION("REGEXEXTRACT(H112, ""s*(.*?)\s*а\)"")"),"Какое животное можно найти в снежном биоме?")</f>
        <v>Какое животное можно найти в снежном биоме?</v>
      </c>
      <c r="B112" s="3">
        <v>1.0</v>
      </c>
      <c r="D112" s="3" t="str">
        <f>IFERROR(__xludf.DUMMYFUNCTION("REGEXREPLACE(REGEXEXTRACT(H112, ""а\)\s*(.*?)\s*б\)""), ""^\s*"", """")"),"Белый медведь")</f>
        <v>Белый медведь</v>
      </c>
      <c r="E112" s="3" t="str">
        <f>IFERROR(__xludf.DUMMYFUNCTION("REGEXREPLACE(REGEXEXTRACT(H112, ""б\)\s*(.*?)\s*в\)""), ""^\s*"", """")"),"Корова")</f>
        <v>Корова</v>
      </c>
      <c r="F112" s="3" t="str">
        <f>IFERROR(__xludf.DUMMYFUNCTION("REGEXREPLACE(REGEXEXTRACT(H112, ""в\)\s*(.*?)\s*г\)""), ""^\s*"", """")"),"Овца")</f>
        <v>Овца</v>
      </c>
      <c r="G112" s="3" t="str">
        <f>IFERROR(__xludf.DUMMYFUNCTION("REGEXREPLACE(REGEXEXTRACT(H112, ""г\)\s*(.*)""), ""^\s*"", """")"),"Свинья")</f>
        <v>Свинья</v>
      </c>
      <c r="H112" s="8" t="s">
        <v>118</v>
      </c>
    </row>
    <row r="113">
      <c r="A113" s="3" t="str">
        <f>IFERROR(__xludf.DUMMYFUNCTION("REGEXEXTRACT(H113, ""s*(.*?)\s*а\)"")"),"Какой инструмент используется для создания карты?")</f>
        <v>Какой инструмент используется для создания карты?</v>
      </c>
      <c r="B113" s="3">
        <v>1.0</v>
      </c>
      <c r="D113" s="3" t="str">
        <f>IFERROR(__xludf.DUMMYFUNCTION("REGEXREPLACE(REGEXEXTRACT(H113, ""а\)\s*(.*?)\s*б\)""), ""^\s*"", """")"),"Компас")</f>
        <v>Компас</v>
      </c>
      <c r="E113" s="3" t="str">
        <f>IFERROR(__xludf.DUMMYFUNCTION("REGEXREPLACE(REGEXEXTRACT(H113, ""б\)\s*(.*?)\s*в\)""), ""^\s*"", """")"),"Кирка")</f>
        <v>Кирка</v>
      </c>
      <c r="F113" s="3" t="str">
        <f>IFERROR(__xludf.DUMMYFUNCTION("REGEXREPLACE(REGEXEXTRACT(H113, ""в\)\s*(.*?)\s*г\)""), ""^\s*"", """")"),"Топор")</f>
        <v>Топор</v>
      </c>
      <c r="G113" s="3" t="str">
        <f>IFERROR(__xludf.DUMMYFUNCTION("REGEXREPLACE(REGEXEXTRACT(H113, ""г\)\s*(.*)""), ""^\s*"", """")"),"Лопата")</f>
        <v>Лопата</v>
      </c>
      <c r="H113" s="8" t="s">
        <v>119</v>
      </c>
    </row>
    <row r="114">
      <c r="A114" s="3" t="str">
        <f>IFERROR(__xludf.DUMMYFUNCTION("REGEXEXTRACT(H114, ""s*(.*?)\s*а\)"")"),"Какой блок позволяет получить случайный предмет?")</f>
        <v>Какой блок позволяет получить случайный предмет?</v>
      </c>
      <c r="B114" s="3">
        <v>1.0</v>
      </c>
      <c r="D114" s="3" t="str">
        <f>IFERROR(__xludf.DUMMYFUNCTION("REGEXREPLACE(REGEXEXTRACT(H114, ""а\)\s*(.*?)\s*б\)""), ""^\s*"", """")"),"Раздатчик")</f>
        <v>Раздатчик</v>
      </c>
      <c r="E114" s="3" t="str">
        <f>IFERROR(__xludf.DUMMYFUNCTION("REGEXREPLACE(REGEXEXTRACT(H114, ""б\)\s*(.*?)\s*в\)""), ""^\s*"", """")"),"Сундук")</f>
        <v>Сундук</v>
      </c>
      <c r="F114" s="3" t="str">
        <f>IFERROR(__xludf.DUMMYFUNCTION("REGEXREPLACE(REGEXEXTRACT(H114, ""в\)\s*(.*?)\s*г\)""), ""^\s*"", """")"),"Верстак")</f>
        <v>Верстак</v>
      </c>
      <c r="G114" s="3" t="str">
        <f>IFERROR(__xludf.DUMMYFUNCTION("REGEXREPLACE(REGEXEXTRACT(H114, ""г\)\s*(.*)""), ""^\s*"", """")"),"Печь")</f>
        <v>Печь</v>
      </c>
      <c r="H114" s="8" t="s">
        <v>120</v>
      </c>
    </row>
    <row r="115">
      <c r="A115" s="3" t="str">
        <f>IFERROR(__xludf.DUMMYFUNCTION("REGEXEXTRACT(H115, ""s*(.*?)\s*а\)"")"),"Какой моб используется для передвижения в аду?")</f>
        <v>Какой моб используется для передвижения в аду?</v>
      </c>
      <c r="B115" s="3">
        <v>1.0</v>
      </c>
      <c r="D115" s="3" t="str">
        <f>IFERROR(__xludf.DUMMYFUNCTION("REGEXREPLACE(REGEXEXTRACT(H115, ""а\)\s*(.*?)\s*б\)""), ""^\s*"", """")"),"Страйдер")</f>
        <v>Страйдер</v>
      </c>
      <c r="E115" s="3" t="str">
        <f>IFERROR(__xludf.DUMMYFUNCTION("REGEXREPLACE(REGEXEXTRACT(H115, ""б\)\s*(.*?)\s*в\)""), ""^\s*"", """")"),"Зомби")</f>
        <v>Зомби</v>
      </c>
      <c r="F115" s="3" t="str">
        <f>IFERROR(__xludf.DUMMYFUNCTION("REGEXREPLACE(REGEXEXTRACT(H115, ""в\)\s*(.*?)\s*г\)""), ""^\s*"", """")"),"Крипер")</f>
        <v>Крипер</v>
      </c>
      <c r="G115" s="3" t="str">
        <f>IFERROR(__xludf.DUMMYFUNCTION("REGEXREPLACE(REGEXEXTRACT(H115, ""г\)\s*(.*)""), ""^\s*"", """")"),"Скелет")</f>
        <v>Скелет</v>
      </c>
      <c r="H115" s="8" t="s">
        <v>121</v>
      </c>
    </row>
    <row r="116">
      <c r="A116" s="3" t="str">
        <f>IFERROR(__xludf.DUMMYFUNCTION("REGEXEXTRACT(H116, ""s*(.*?)\s*а\)"")"),"Что нужно для создания костра?")</f>
        <v>Что нужно для создания костра?</v>
      </c>
      <c r="B116" s="3">
        <v>1.0</v>
      </c>
      <c r="D116" s="3" t="str">
        <f>IFERROR(__xludf.DUMMYFUNCTION("REGEXREPLACE(REGEXEXTRACT(H116, ""а\)\s*(.*?)\s*б\)""), ""^\s*"", """")"),"Дерево")</f>
        <v>Дерево</v>
      </c>
      <c r="E116" s="3" t="str">
        <f>IFERROR(__xludf.DUMMYFUNCTION("REGEXREPLACE(REGEXEXTRACT(H116, ""б\)\s*(.*?)\s*в\)""), ""^\s*"", """")"),"Камень")</f>
        <v>Камень</v>
      </c>
      <c r="F116" s="3" t="str">
        <f>IFERROR(__xludf.DUMMYFUNCTION("REGEXREPLACE(REGEXEXTRACT(H116, ""в\)\s*(.*?)\s*г\)""), ""^\s*"", """")"),"Железо")</f>
        <v>Железо</v>
      </c>
      <c r="G116" s="3" t="str">
        <f>IFERROR(__xludf.DUMMYFUNCTION("REGEXREPLACE(REGEXEXTRACT(H116, ""г\)\s*(.*)""), ""^\s*"", """")"),"Алмазы")</f>
        <v>Алмазы</v>
      </c>
      <c r="H116" s="8" t="s">
        <v>122</v>
      </c>
    </row>
    <row r="117">
      <c r="A117" s="3" t="str">
        <f>IFERROR(__xludf.DUMMYFUNCTION("REGEXEXTRACT(H117, ""s*(.*?)\s*а\)"")"),"Какое растение можно использовать для создания красителя?")</f>
        <v>Какое растение можно использовать для создания красителя?</v>
      </c>
      <c r="B117" s="3">
        <v>1.0</v>
      </c>
      <c r="D117" s="3" t="str">
        <f>IFERROR(__xludf.DUMMYFUNCTION("REGEXREPLACE(REGEXEXTRACT(H117, ""а\)\s*(.*?)\s*б\)""), ""^\s*"", """")"),"Маки")</f>
        <v>Маки</v>
      </c>
      <c r="E117" s="3" t="str">
        <f>IFERROR(__xludf.DUMMYFUNCTION("REGEXREPLACE(REGEXEXTRACT(H117, ""б\)\s*(.*?)\s*в\)""), ""^\s*"", """")"),"Пшеница")</f>
        <v>Пшеница</v>
      </c>
      <c r="F117" s="3" t="str">
        <f>IFERROR(__xludf.DUMMYFUNCTION("REGEXREPLACE(REGEXEXTRACT(H117, ""в\)\s*(.*?)\s*г\)""), ""^\s*"", """")"),"Сахарный тростник")</f>
        <v>Сахарный тростник</v>
      </c>
      <c r="G117" s="3" t="str">
        <f>IFERROR(__xludf.DUMMYFUNCTION("REGEXREPLACE(REGEXEXTRACT(H117, ""г\)\s*(.*)""), ""^\s*"", """")"),"Бамбук")</f>
        <v>Бамбук</v>
      </c>
      <c r="H117" s="8" t="s">
        <v>123</v>
      </c>
    </row>
    <row r="118">
      <c r="A118" s="3" t="str">
        <f>IFERROR(__xludf.DUMMYFUNCTION("REGEXEXTRACT(H118, ""s*(.*?)\s*а\)"")"),"Как зовут главного врага жителей деревни?")</f>
        <v>Как зовут главного врага жителей деревни?</v>
      </c>
      <c r="B118" s="3">
        <v>1.0</v>
      </c>
      <c r="D118" s="3" t="str">
        <f>IFERROR(__xludf.DUMMYFUNCTION("REGEXREPLACE(REGEXEXTRACT(H118, ""а\)\s*(.*?)\s*б\)""), ""^\s*"", """")"),"Разбойник")</f>
        <v>Разбойник</v>
      </c>
      <c r="E118" s="3" t="str">
        <f>IFERROR(__xludf.DUMMYFUNCTION("REGEXREPLACE(REGEXEXTRACT(H118, ""б\)\s*(.*?)\s*в\)""), ""^\s*"", """")"),"Зомби")</f>
        <v>Зомби</v>
      </c>
      <c r="F118" s="3" t="str">
        <f>IFERROR(__xludf.DUMMYFUNCTION("REGEXREPLACE(REGEXEXTRACT(H118, ""в\)\s*(.*?)\s*г\)""), ""^\s*"", """")"),"Крипер")</f>
        <v>Крипер</v>
      </c>
      <c r="G118" s="3" t="str">
        <f>IFERROR(__xludf.DUMMYFUNCTION("REGEXREPLACE(REGEXEXTRACT(H118, ""г\)\s*(.*)""), ""^\s*"", """")"),"Скелет")</f>
        <v>Скелет</v>
      </c>
      <c r="H118" s="8" t="s">
        <v>124</v>
      </c>
    </row>
    <row r="119">
      <c r="A119" s="3" t="str">
        <f>IFERROR(__xludf.DUMMYFUNCTION("REGEXEXTRACT(H119, ""s*(.*?)\s*а\)"")"),"Что необходимо для создания верстака?")</f>
        <v>Что необходимо для создания верстака?</v>
      </c>
      <c r="B119" s="3">
        <v>1.0</v>
      </c>
      <c r="D119" s="3" t="str">
        <f>IFERROR(__xludf.DUMMYFUNCTION("REGEXREPLACE(REGEXEXTRACT(H119, ""а\)\s*(.*?)\s*б\)""), ""^\s*"", """")"),"Деревянные доски")</f>
        <v>Деревянные доски</v>
      </c>
      <c r="E119" s="3" t="str">
        <f>IFERROR(__xludf.DUMMYFUNCTION("REGEXREPLACE(REGEXEXTRACT(H119, ""б\)\s*(.*?)\s*в\)""), ""^\s*"", """")"),"Камень")</f>
        <v>Камень</v>
      </c>
      <c r="F119" s="3" t="str">
        <f>IFERROR(__xludf.DUMMYFUNCTION("REGEXREPLACE(REGEXEXTRACT(H119, ""в\)\s*(.*?)\s*г\)""), ""^\s*"", """")"),"Железо")</f>
        <v>Железо</v>
      </c>
      <c r="G119" s="3" t="str">
        <f>IFERROR(__xludf.DUMMYFUNCTION("REGEXREPLACE(REGEXEXTRACT(H119, ""г\)\s*(.*)""), ""^\s*"", """")"),"Алмазы")</f>
        <v>Алмазы</v>
      </c>
      <c r="H119" s="8" t="s">
        <v>125</v>
      </c>
    </row>
    <row r="120">
      <c r="A120" s="3" t="str">
        <f>IFERROR(__xludf.DUMMYFUNCTION("REGEXEXTRACT(H120, ""s*(.*?)\s*а\)"")"),"Какой моб боится кошек?")</f>
        <v>Какой моб боится кошек?</v>
      </c>
      <c r="B120" s="3">
        <v>1.0</v>
      </c>
      <c r="D120" s="3" t="str">
        <f>IFERROR(__xludf.DUMMYFUNCTION("REGEXREPLACE(REGEXEXTRACT(H120, ""а\)\s*(.*?)\s*б\)""), ""^\s*"", """")"),"Крипер")</f>
        <v>Крипер</v>
      </c>
      <c r="E120" s="3" t="str">
        <f>IFERROR(__xludf.DUMMYFUNCTION("REGEXREPLACE(REGEXEXTRACT(H120, ""б\)\s*(.*?)\s*в\)""), ""^\s*"", """")"),"Зомби")</f>
        <v>Зомби</v>
      </c>
      <c r="F120" s="3" t="str">
        <f>IFERROR(__xludf.DUMMYFUNCTION("REGEXREPLACE(REGEXEXTRACT(H120, ""в\)\s*(.*?)\s*г\)""), ""^\s*"", """")"),"Скелет")</f>
        <v>Скелет</v>
      </c>
      <c r="G120" s="3" t="str">
        <f>IFERROR(__xludf.DUMMYFUNCTION("REGEXREPLACE(REGEXEXTRACT(H120, ""г\)\s*(.*)""), ""^\s*"", """")"),"Эндермен")</f>
        <v>Эндермен</v>
      </c>
      <c r="H120" s="8" t="s">
        <v>126</v>
      </c>
    </row>
    <row r="121">
      <c r="A121" s="3" t="str">
        <f>IFERROR(__xludf.DUMMYFUNCTION("REGEXEXTRACT(H121, ""s*(.*?)\s*а\)"")"),"Каким образом можно усмирить оцелота?")</f>
        <v>Каким образом можно усмирить оцелота?</v>
      </c>
      <c r="B121" s="3">
        <v>1.0</v>
      </c>
      <c r="D121" s="3" t="str">
        <f>IFERROR(__xludf.DUMMYFUNCTION("REGEXREPLACE(REGEXEXTRACT(H121, ""а\)\s*(.*?)\s*б\)""), ""^\s*"", """")"),"Рыбой")</f>
        <v>Рыбой</v>
      </c>
      <c r="E121" s="3" t="str">
        <f>IFERROR(__xludf.DUMMYFUNCTION("REGEXREPLACE(REGEXEXTRACT(H121, ""б\)\s*(.*?)\s*в\)""), ""^\s*"", """")"),"Костью")</f>
        <v>Костью</v>
      </c>
      <c r="F121" s="3" t="str">
        <f>IFERROR(__xludf.DUMMYFUNCTION("REGEXREPLACE(REGEXEXTRACT(H121, ""в\)\s*(.*?)\s*г\)""), ""^\s*"", """")"),"Семенами")</f>
        <v>Семенами</v>
      </c>
      <c r="G121" s="3" t="str">
        <f>IFERROR(__xludf.DUMMYFUNCTION("REGEXREPLACE(REGEXEXTRACT(H121, ""г\)\s*(.*)""), ""^\s*"", """")"),"Яблоками")</f>
        <v>Яблоками</v>
      </c>
      <c r="H121" s="8" t="s">
        <v>127</v>
      </c>
    </row>
    <row r="122">
      <c r="A122" s="3" t="str">
        <f>IFERROR(__xludf.DUMMYFUNCTION("REGEXEXTRACT(H122, ""s*(.*?)\s*а\)"")"),"С помощью чего можно добывать воду?")</f>
        <v>С помощью чего можно добывать воду?</v>
      </c>
      <c r="B122" s="3">
        <v>1.0</v>
      </c>
      <c r="D122" s="3" t="str">
        <f>IFERROR(__xludf.DUMMYFUNCTION("REGEXREPLACE(REGEXEXTRACT(H122, ""а\)\s*(.*?)\s*б\)""), ""^\s*"", """")"),"Ведро")</f>
        <v>Ведро</v>
      </c>
      <c r="E122" s="3" t="str">
        <f>IFERROR(__xludf.DUMMYFUNCTION("REGEXREPLACE(REGEXEXTRACT(H122, ""б\)\s*(.*?)\s*в\)""), ""^\s*"", """")"),"Лопата")</f>
        <v>Лопата</v>
      </c>
      <c r="F122" s="3" t="str">
        <f>IFERROR(__xludf.DUMMYFUNCTION("REGEXREPLACE(REGEXEXTRACT(H122, ""в\)\s*(.*?)\s*г\)""), ""^\s*"", """")"),"Топор")</f>
        <v>Топор</v>
      </c>
      <c r="G122" s="3" t="str">
        <f>IFERROR(__xludf.DUMMYFUNCTION("REGEXREPLACE(REGEXEXTRACT(H122, ""г\)\s*(.*)""), ""^\s*"", """")"),"Кирка")</f>
        <v>Кирка</v>
      </c>
      <c r="H122" s="8" t="s">
        <v>128</v>
      </c>
    </row>
    <row r="123">
      <c r="A123" s="3" t="str">
        <f>IFERROR(__xludf.DUMMYFUNCTION("REGEXEXTRACT(H123, ""s*(.*?)\s*а\)"")"),"Какой блок нужен для разведения коров?")</f>
        <v>Какой блок нужен для разведения коров?</v>
      </c>
      <c r="B123" s="3">
        <v>1.0</v>
      </c>
      <c r="D123" s="3" t="str">
        <f>IFERROR(__xludf.DUMMYFUNCTION("REGEXREPLACE(REGEXEXTRACT(H123, ""а\)\s*(.*?)\s*б\)""), ""^\s*"", """")"),"Пшеница")</f>
        <v>Пшеница</v>
      </c>
      <c r="E123" s="3" t="str">
        <f>IFERROR(__xludf.DUMMYFUNCTION("REGEXREPLACE(REGEXEXTRACT(H123, ""б\)\s*(.*?)\s*в\)""), ""^\s*"", """")"),"Камень")</f>
        <v>Камень</v>
      </c>
      <c r="F123" s="3" t="str">
        <f>IFERROR(__xludf.DUMMYFUNCTION("REGEXREPLACE(REGEXEXTRACT(H123, ""в\)\s*(.*?)\s*г\)""), ""^\s*"", """")"),"Дерево")</f>
        <v>Дерево</v>
      </c>
      <c r="G123" s="3" t="str">
        <f>IFERROR(__xludf.DUMMYFUNCTION("REGEXREPLACE(REGEXEXTRACT(H123, ""г\)\s*(.*)""), ""^\s*"", """")"),"Песок")</f>
        <v>Песок</v>
      </c>
      <c r="H123" s="8" t="s">
        <v>129</v>
      </c>
    </row>
    <row r="124">
      <c r="A124" s="3" t="str">
        <f>IFERROR(__xludf.DUMMYFUNCTION("REGEXEXTRACT(H124, ""s*(.*?)\s*а\)"")"),"Какой моб дает нитки?")</f>
        <v>Какой моб дает нитки?</v>
      </c>
      <c r="B124" s="3">
        <v>1.0</v>
      </c>
      <c r="D124" s="3" t="str">
        <f>IFERROR(__xludf.DUMMYFUNCTION("REGEXREPLACE(REGEXEXTRACT(H124, ""а\)\s*(.*?)\s*б\)""), ""^\s*"", """")"),"Паук")</f>
        <v>Паук</v>
      </c>
      <c r="E124" s="3" t="str">
        <f>IFERROR(__xludf.DUMMYFUNCTION("REGEXREPLACE(REGEXEXTRACT(H124, ""б\)\s*(.*?)\s*в\)""), ""^\s*"", """")"),"Слизень")</f>
        <v>Слизень</v>
      </c>
      <c r="F124" s="3" t="str">
        <f>IFERROR(__xludf.DUMMYFUNCTION("REGEXREPLACE(REGEXEXTRACT(H124, ""в\)\s*(.*?)\s*г\)""), ""^\s*"", """")"),"Зомби")</f>
        <v>Зомби</v>
      </c>
      <c r="G124" s="3" t="str">
        <f>IFERROR(__xludf.DUMMYFUNCTION("REGEXREPLACE(REGEXEXTRACT(H124, ""г\)\s*(.*)""), ""^\s*"", """")"),"Крипер")</f>
        <v>Крипер</v>
      </c>
      <c r="H124" s="8" t="s">
        <v>130</v>
      </c>
    </row>
    <row r="125">
      <c r="A125" s="3" t="str">
        <f>IFERROR(__xludf.DUMMYFUNCTION("REGEXEXTRACT(H125, ""s*(.*?)\s*а\)"")"),"Какой инструмент используется для посадки семян?")</f>
        <v>Какой инструмент используется для посадки семян?</v>
      </c>
      <c r="B125" s="3">
        <v>1.0</v>
      </c>
      <c r="D125" s="3" t="str">
        <f>IFERROR(__xludf.DUMMYFUNCTION("REGEXREPLACE(REGEXEXTRACT(H125, ""а\)\s*(.*?)\s*б\)""), ""^\s*"", """")"),"Мотыга")</f>
        <v>Мотыга</v>
      </c>
      <c r="E125" s="3" t="str">
        <f>IFERROR(__xludf.DUMMYFUNCTION("REGEXREPLACE(REGEXEXTRACT(H125, ""б\)\s*(.*?)\s*в\)""), ""^\s*"", """")"),"Лопата")</f>
        <v>Лопата</v>
      </c>
      <c r="F125" s="3" t="str">
        <f>IFERROR(__xludf.DUMMYFUNCTION("REGEXREPLACE(REGEXEXTRACT(H125, ""в\)\s*(.*?)\s*г\)""), ""^\s*"", """")"),"Топор")</f>
        <v>Топор</v>
      </c>
      <c r="G125" s="3" t="str">
        <f>IFERROR(__xludf.DUMMYFUNCTION("REGEXREPLACE(REGEXEXTRACT(H125, ""г\)\s*(.*)""), ""^\s*"", """")"),"Кирка")</f>
        <v>Кирка</v>
      </c>
      <c r="H125" s="8" t="s">
        <v>131</v>
      </c>
    </row>
    <row r="126">
      <c r="A126" s="3" t="str">
        <f>IFERROR(__xludf.DUMMYFUNCTION("REGEXEXTRACT(H126, ""s*(.*?)\s*а\)"")"),"Что нужно для приручения попугая?")</f>
        <v>Что нужно для приручения попугая?</v>
      </c>
      <c r="B126" s="3">
        <v>1.0</v>
      </c>
      <c r="D126" s="3" t="str">
        <f>IFERROR(__xludf.DUMMYFUNCTION("REGEXREPLACE(REGEXEXTRACT(H126, ""а\)\s*(.*?)\s*б\)""), ""^\s*"", """")"),"Семена")</f>
        <v>Семена</v>
      </c>
      <c r="E126" s="3" t="str">
        <f>IFERROR(__xludf.DUMMYFUNCTION("REGEXREPLACE(REGEXEXTRACT(H126, ""б\)\s*(.*?)\s*в\)""), ""^\s*"", """")"),"Кости")</f>
        <v>Кости</v>
      </c>
      <c r="F126" s="3" t="str">
        <f>IFERROR(__xludf.DUMMYFUNCTION("REGEXREPLACE(REGEXEXTRACT(H126, ""в\)\s*(.*?)\s*г\)""), ""^\s*"", """")"),"Печенье")</f>
        <v>Печенье</v>
      </c>
      <c r="G126" s="3" t="str">
        <f>IFERROR(__xludf.DUMMYFUNCTION("REGEXREPLACE(REGEXEXTRACT(H126, ""г\)\s*(.*)""), ""^\s*"", """")"),"Рыба")</f>
        <v>Рыба</v>
      </c>
      <c r="H126" s="9" t="s">
        <v>132</v>
      </c>
    </row>
    <row r="127">
      <c r="A127" s="3" t="str">
        <f>IFERROR(__xludf.DUMMYFUNCTION("REGEXEXTRACT(H127, ""s*(.*?)\s*а\)"")"),"Что едят кролики?")</f>
        <v>Что едят кролики?</v>
      </c>
      <c r="B127" s="3">
        <v>1.0</v>
      </c>
      <c r="D127" s="3" t="str">
        <f>IFERROR(__xludf.DUMMYFUNCTION("REGEXREPLACE(REGEXEXTRACT(H127, ""а\)\s*(.*?)\s*б\)""), ""^\s*"", """")"),"Морковь")</f>
        <v>Морковь</v>
      </c>
      <c r="E127" s="3" t="str">
        <f>IFERROR(__xludf.DUMMYFUNCTION("REGEXREPLACE(REGEXEXTRACT(H127, ""б\)\s*(.*?)\s*в\)""), ""^\s*"", """")"),"Сено")</f>
        <v>Сено</v>
      </c>
      <c r="F127" s="3" t="str">
        <f>IFERROR(__xludf.DUMMYFUNCTION("REGEXREPLACE(REGEXEXTRACT(H127, ""в\)\s*(.*?)\s*г\)""), ""^\s*"", """")"),"Яблоки")</f>
        <v>Яблоки</v>
      </c>
      <c r="G127" s="3" t="str">
        <f>IFERROR(__xludf.DUMMYFUNCTION("REGEXREPLACE(REGEXEXTRACT(H127, ""г\)\s*(.*)""), ""^\s*"", """")"),"Рыба")</f>
        <v>Рыба</v>
      </c>
      <c r="H127" s="8" t="s">
        <v>133</v>
      </c>
    </row>
    <row r="128">
      <c r="A128" s="3" t="str">
        <f>IFERROR(__xludf.DUMMYFUNCTION("REGEXEXTRACT(H128, ""s*(.*?)\s*а\)"")"),"Где можно найти глину?")</f>
        <v>Где можно найти глину?</v>
      </c>
      <c r="B128" s="3">
        <v>1.0</v>
      </c>
      <c r="D128" s="3" t="str">
        <f>IFERROR(__xludf.DUMMYFUNCTION("REGEXREPLACE(REGEXEXTRACT(H128, ""а\)\s*(.*?)\s*б\)""), ""^\s*"", """")"),"Возле водоёмов")</f>
        <v>Возле водоёмов</v>
      </c>
      <c r="E128" s="3" t="str">
        <f>IFERROR(__xludf.DUMMYFUNCTION("REGEXREPLACE(REGEXEXTRACT(H128, ""б\)\s*(.*?)\s*в\)""), ""^\s*"", """")"),"В шахтах")</f>
        <v>В шахтах</v>
      </c>
      <c r="F128" s="3" t="str">
        <f>IFERROR(__xludf.DUMMYFUNCTION("REGEXREPLACE(REGEXEXTRACT(H128, ""в\)\s*(.*?)\s*г\)""), ""^\s*"", """")"),"В лесах")</f>
        <v>В лесах</v>
      </c>
      <c r="G128" s="3" t="str">
        <f>IFERROR(__xludf.DUMMYFUNCTION("REGEXREPLACE(REGEXEXTRACT(H128, ""г\)\s*(.*)""), ""^\s*"", """")"),"В пустынях")</f>
        <v>В пустынях</v>
      </c>
      <c r="H128" s="8" t="s">
        <v>134</v>
      </c>
    </row>
    <row r="129">
      <c r="A129" s="3" t="str">
        <f>IFERROR(__xludf.DUMMYFUNCTION("REGEXEXTRACT(H129, ""s*(.*?)\s*а\)"")"),"Какой моб всегда нападает группами?")</f>
        <v>Какой моб всегда нападает группами?</v>
      </c>
      <c r="B129" s="3">
        <v>1.0</v>
      </c>
      <c r="D129" s="3" t="str">
        <f>IFERROR(__xludf.DUMMYFUNCTION("REGEXREPLACE(REGEXEXTRACT(H129, ""а\)\s*(.*?)\s*б\)""), ""^\s*"", """")"),"Волки")</f>
        <v>Волки</v>
      </c>
      <c r="E129" s="3" t="str">
        <f>IFERROR(__xludf.DUMMYFUNCTION("REGEXREPLACE(REGEXEXTRACT(H129, ""б\)\s*(.*?)\s*в\)""), ""^\s*"", """")"),"Зомби")</f>
        <v>Зомби</v>
      </c>
      <c r="F129" s="3" t="str">
        <f>IFERROR(__xludf.DUMMYFUNCTION("REGEXREPLACE(REGEXEXTRACT(H129, ""в\)\s*(.*?)\s*г\)""), ""^\s*"", """")"),"Скелеты")</f>
        <v>Скелеты</v>
      </c>
      <c r="G129" s="3" t="str">
        <f>IFERROR(__xludf.DUMMYFUNCTION("REGEXREPLACE(REGEXEXTRACT(H129, ""г\)\s*(.*)""), ""^\s*"", """")"),"Криперы")</f>
        <v>Криперы</v>
      </c>
      <c r="H129" s="8" t="s">
        <v>135</v>
      </c>
    </row>
    <row r="130">
      <c r="A130" s="3" t="str">
        <f>IFERROR(__xludf.DUMMYFUNCTION("REGEXEXTRACT(H130, ""s*(.*?)\s*а\)"")"),"Что можно получить из переплавленного песка?")</f>
        <v>Что можно получить из переплавленного песка?</v>
      </c>
      <c r="B130" s="3">
        <v>1.0</v>
      </c>
      <c r="D130" s="3" t="str">
        <f>IFERROR(__xludf.DUMMYFUNCTION("REGEXREPLACE(REGEXEXTRACT(H130, ""а\)\s*(.*?)\s*б\)""), ""^\s*"", """")"),"Стекло")</f>
        <v>Стекло</v>
      </c>
      <c r="E130" s="3" t="str">
        <f>IFERROR(__xludf.DUMMYFUNCTION("REGEXREPLACE(REGEXEXTRACT(H130, ""б\)\s*(.*?)\s*в\)""), ""^\s*"", """")"),"Камень")</f>
        <v>Камень</v>
      </c>
      <c r="F130" s="3" t="str">
        <f>IFERROR(__xludf.DUMMYFUNCTION("REGEXREPLACE(REGEXEXTRACT(H130, ""в\)\s*(.*?)\s*г\)""), ""^\s*"", """")"),"Кирпич")</f>
        <v>Кирпич</v>
      </c>
      <c r="G130" s="3" t="str">
        <f>IFERROR(__xludf.DUMMYFUNCTION("REGEXREPLACE(REGEXEXTRACT(H130, ""г\)\s*(.*)""), ""^\s*"", """")"),"Глину")</f>
        <v>Глину</v>
      </c>
      <c r="H130" s="8" t="s">
        <v>136</v>
      </c>
    </row>
    <row r="131">
      <c r="A131" s="3" t="str">
        <f>IFERROR(__xludf.DUMMYFUNCTION("REGEXEXTRACT(H131, ""s*(.*?)\s*а\)"")"),"Кто это?")</f>
        <v>Кто это?</v>
      </c>
      <c r="B131" s="10">
        <v>2.0</v>
      </c>
      <c r="D131" s="3" t="str">
        <f>IFERROR(__xludf.DUMMYFUNCTION("REGEXREPLACE(REGEXEXTRACT(H131, ""а\)\s*(.*?)\s*б\)""), ""^\s*"", """")"),"Курица")</f>
        <v>Курица</v>
      </c>
      <c r="E131" s="3" t="str">
        <f>IFERROR(__xludf.DUMMYFUNCTION("REGEXREPLACE(REGEXEXTRACT(H131, ""б\)\s*(.*?)\s*в\)""), ""^\s*"", """")"),"Цыпа")</f>
        <v>Цыпа</v>
      </c>
      <c r="F131" s="3" t="str">
        <f>IFERROR(__xludf.DUMMYFUNCTION("REGEXREPLACE(REGEXEXTRACT(H131, ""в\)\s*(.*?)\s*г\)""), ""^\s*"", """")"),"Петушок")</f>
        <v>Петушок</v>
      </c>
      <c r="G131" s="3" t="str">
        <f>IFERROR(__xludf.DUMMYFUNCTION("REGEXREPLACE(REGEXEXTRACT(H131, ""г\)\s*(.*)""), ""^\s*"", """")"),"Наседка")</f>
        <v>Наседка</v>
      </c>
      <c r="H131" s="9" t="s">
        <v>137</v>
      </c>
    </row>
    <row r="132">
      <c r="A132" s="3" t="str">
        <f>IFERROR(__xludf.DUMMYFUNCTION("REGEXEXTRACT(H132, ""s*(.*?)\s*а\)"")"),"Кто это?")</f>
        <v>Кто это?</v>
      </c>
      <c r="B132" s="10">
        <v>2.0</v>
      </c>
      <c r="D132" s="3" t="str">
        <f>IFERROR(__xludf.DUMMYFUNCTION("REGEXREPLACE(REGEXEXTRACT(H132, ""а\)\s*(.*?)\s*б\)""), ""^\s*"", """")"),"Корова")</f>
        <v>Корова</v>
      </c>
      <c r="E132" s="3" t="str">
        <f>IFERROR(__xludf.DUMMYFUNCTION("REGEXREPLACE(REGEXEXTRACT(H132, ""б\)\s*(.*?)\s*в\)""), ""^\s*"", """")"),"Му-му")</f>
        <v>Му-му</v>
      </c>
      <c r="F132" s="3" t="str">
        <f>IFERROR(__xludf.DUMMYFUNCTION("REGEXREPLACE(REGEXEXTRACT(H132, ""в\)\s*(.*?)\s*г\)""), ""^\s*"", """")"),"Теленок")</f>
        <v>Теленок</v>
      </c>
      <c r="G132" s="3" t="str">
        <f>IFERROR(__xludf.DUMMYFUNCTION("REGEXREPLACE(REGEXEXTRACT(H132, ""г\)\s*(.*)""), ""^\s*"", """")"),"Буренка")</f>
        <v>Буренка</v>
      </c>
      <c r="H132" s="11" t="s">
        <v>138</v>
      </c>
    </row>
    <row r="133">
      <c r="A133" s="3" t="str">
        <f>IFERROR(__xludf.DUMMYFUNCTION("REGEXEXTRACT(H133, ""s*(.*?)\s*а\)"")"),"Кто это?")</f>
        <v>Кто это?</v>
      </c>
      <c r="B133" s="10">
        <v>2.0</v>
      </c>
      <c r="D133" s="3" t="str">
        <f>IFERROR(__xludf.DUMMYFUNCTION("REGEXREPLACE(REGEXEXTRACT(H133, ""а\)\s*(.*?)\s*б\)""), ""^\s*"", """")"),"Свинья")</f>
        <v>Свинья</v>
      </c>
      <c r="E133" s="3" t="str">
        <f>IFERROR(__xludf.DUMMYFUNCTION("REGEXREPLACE(REGEXEXTRACT(H133, ""б\)\s*(.*?)\s*в\)""), ""^\s*"", """")"),"Хрюшка")</f>
        <v>Хрюшка</v>
      </c>
      <c r="F133" s="3" t="str">
        <f>IFERROR(__xludf.DUMMYFUNCTION("REGEXREPLACE(REGEXEXTRACT(H133, ""в\)\s*(.*?)\s*г\)""), ""^\s*"", """")"),"Пятачок")</f>
        <v>Пятачок</v>
      </c>
      <c r="G133" s="3" t="str">
        <f>IFERROR(__xludf.DUMMYFUNCTION("REGEXREPLACE(REGEXEXTRACT(H133, ""г\)\s*(.*)""), ""^\s*"", """")"),"Землеройка")</f>
        <v>Землеройка</v>
      </c>
      <c r="H133" s="8" t="s">
        <v>139</v>
      </c>
    </row>
    <row r="134">
      <c r="A134" s="3" t="str">
        <f>IFERROR(__xludf.DUMMYFUNCTION("REGEXEXTRACT(H134, ""s*(.*?)\s*а\)"")"),"Кто это?")</f>
        <v>Кто это?</v>
      </c>
      <c r="B134" s="10">
        <v>2.0</v>
      </c>
      <c r="D134" s="3" t="str">
        <f>IFERROR(__xludf.DUMMYFUNCTION("REGEXREPLACE(REGEXEXTRACT(H134, ""а\)\s*(.*?)\s*б\)""), ""^\s*"", """")"),"Овца")</f>
        <v>Овца</v>
      </c>
      <c r="E134" s="3" t="str">
        <f>IFERROR(__xludf.DUMMYFUNCTION("REGEXREPLACE(REGEXEXTRACT(H134, ""б\)\s*(.*?)\s*в\)""), ""^\s*"", """")"),"Барашек")</f>
        <v>Барашек</v>
      </c>
      <c r="F134" s="3" t="str">
        <f>IFERROR(__xludf.DUMMYFUNCTION("REGEXREPLACE(REGEXEXTRACT(H134, ""в\)\s*(.*?)\s*г\)""), ""^\s*"", """")"),"Шерстяной комок")</f>
        <v>Шерстяной комок</v>
      </c>
      <c r="G134" s="3" t="str">
        <f>IFERROR(__xludf.DUMMYFUNCTION("REGEXREPLACE(REGEXEXTRACT(H134, ""г\)\s*(.*)""), ""^\s*"", """")"),"Кудряшка")</f>
        <v>Кудряшка</v>
      </c>
      <c r="H134" s="8" t="s">
        <v>140</v>
      </c>
    </row>
    <row r="135">
      <c r="A135" s="3" t="str">
        <f>IFERROR(__xludf.DUMMYFUNCTION("REGEXEXTRACT(H135, ""s*(.*?)\s*а\)"")"),"Кто это?")</f>
        <v>Кто это?</v>
      </c>
      <c r="B135" s="10">
        <v>2.0</v>
      </c>
      <c r="D135" s="3" t="str">
        <f>IFERROR(__xludf.DUMMYFUNCTION("REGEXREPLACE(REGEXEXTRACT(H135, ""а\)\s*(.*?)\s*б\)""), ""^\s*"", """")"),"Лошадь")</f>
        <v>Лошадь</v>
      </c>
      <c r="E135" s="3" t="str">
        <f>IFERROR(__xludf.DUMMYFUNCTION("REGEXREPLACE(REGEXEXTRACT(H135, ""б\)\s*(.*?)\s*в\)""), ""^\s*"", """")"),"Игого")</f>
        <v>Игого</v>
      </c>
      <c r="F135" s="3" t="str">
        <f>IFERROR(__xludf.DUMMYFUNCTION("REGEXREPLACE(REGEXEXTRACT(H135, ""в\)\s*(.*?)\s*г\)""), ""^\s*"", """")"),"Жеребенок")</f>
        <v>Жеребенок</v>
      </c>
      <c r="G135" s="3" t="str">
        <f>IFERROR(__xludf.DUMMYFUNCTION("REGEXREPLACE(REGEXEXTRACT(H135, ""г\)\s*(.*)""), ""^\s*"", """")"),"Скакун")</f>
        <v>Скакун</v>
      </c>
      <c r="H135" s="8" t="s">
        <v>141</v>
      </c>
    </row>
    <row r="136">
      <c r="A136" s="3" t="str">
        <f>IFERROR(__xludf.DUMMYFUNCTION("REGEXEXTRACT(H136, ""s*(.*?)\s*а\)"")"),"Кто это?")</f>
        <v>Кто это?</v>
      </c>
      <c r="B136" s="10">
        <v>2.0</v>
      </c>
      <c r="D136" s="3" t="str">
        <f>IFERROR(__xludf.DUMMYFUNCTION("REGEXREPLACE(REGEXEXTRACT(H136, ""а\)\s*(.*?)\s*б\)""), ""^\s*"", """")"),"Осел")</f>
        <v>Осел</v>
      </c>
      <c r="E136" s="3" t="str">
        <f>IFERROR(__xludf.DUMMYFUNCTION("REGEXREPLACE(REGEXEXTRACT(H136, ""б\)\s*(.*?)\s*в\)""), ""^\s*"", """")"),"Иа")</f>
        <v>Иа</v>
      </c>
      <c r="F136" s="3" t="str">
        <f>IFERROR(__xludf.DUMMYFUNCTION("REGEXREPLACE(REGEXEXTRACT(H136, ""в\)\s*(.*?)\s*г\)""), ""^\s*"", """")"),"Упрямый")</f>
        <v>Упрямый</v>
      </c>
      <c r="G136" s="3" t="str">
        <f>IFERROR(__xludf.DUMMYFUNCTION("REGEXREPLACE(REGEXEXTRACT(H136, ""г\)\s*(.*)""), ""^\s*"", """")"),"Грузовик")</f>
        <v>Грузовик</v>
      </c>
      <c r="H136" s="8" t="s">
        <v>142</v>
      </c>
    </row>
    <row r="137">
      <c r="A137" s="3" t="str">
        <f>IFERROR(__xludf.DUMMYFUNCTION("REGEXEXTRACT(H137, ""s*(.*?)\s*а\)"")"),"Кто это?")</f>
        <v>Кто это?</v>
      </c>
      <c r="B137" s="10">
        <v>2.0</v>
      </c>
      <c r="D137" s="3" t="str">
        <f>IFERROR(__xludf.DUMMYFUNCTION("REGEXREPLACE(REGEXEXTRACT(H137, ""а\)\s*(.*?)\s*б\)""), ""^\s*"", """")"),"Мул")</f>
        <v>Мул</v>
      </c>
      <c r="E137" s="3" t="str">
        <f>IFERROR(__xludf.DUMMYFUNCTION("REGEXREPLACE(REGEXEXTRACT(H137, ""б\)\s*(.*?)\s*в\)""), ""^\s*"", """")"),"Гибрид")</f>
        <v>Гибрид</v>
      </c>
      <c r="F137" s="3" t="str">
        <f>IFERROR(__xludf.DUMMYFUNCTION("REGEXREPLACE(REGEXEXTRACT(H137, ""в\)\s*(.*?)\s*г\)""), ""^\s*"", """")"),"Работяга")</f>
        <v>Работяга</v>
      </c>
      <c r="G137" s="3" t="str">
        <f>IFERROR(__xludf.DUMMYFUNCTION("REGEXREPLACE(REGEXEXTRACT(H137, ""г\)\s*(.*)""), ""^\s*"", """")"),"Ушастый")</f>
        <v>Ушастый</v>
      </c>
      <c r="H137" s="8" t="s">
        <v>143</v>
      </c>
    </row>
    <row r="138">
      <c r="A138" s="3" t="str">
        <f>IFERROR(__xludf.DUMMYFUNCTION("REGEXEXTRACT(H138, ""s*(.*?)\s*а\)"")"),"Кто это?")</f>
        <v>Кто это?</v>
      </c>
      <c r="B138" s="10">
        <v>2.0</v>
      </c>
      <c r="D138" s="3" t="str">
        <f>IFERROR(__xludf.DUMMYFUNCTION("REGEXREPLACE(REGEXEXTRACT(H138, ""а\)\s*(.*?)\s*б\)""), ""^\s*"", """")"),"Кролик")</f>
        <v>Кролик</v>
      </c>
      <c r="E138" s="3" t="str">
        <f>IFERROR(__xludf.DUMMYFUNCTION("REGEXREPLACE(REGEXEXTRACT(H138, ""б\)\s*(.*?)\s*в\)""), ""^\s*"", """")"),"Заяц")</f>
        <v>Заяц</v>
      </c>
      <c r="F138" s="3" t="str">
        <f>IFERROR(__xludf.DUMMYFUNCTION("REGEXREPLACE(REGEXEXTRACT(H138, ""в\)\s*(.*?)\s*г\)""), ""^\s*"", """")"),"Пушистик")</f>
        <v>Пушистик</v>
      </c>
      <c r="G138" s="3" t="str">
        <f>IFERROR(__xludf.DUMMYFUNCTION("REGEXREPLACE(REGEXEXTRACT(H138, ""г\)\s*(.*)""), ""^\s*"", """")"),"Прыгун")</f>
        <v>Прыгун</v>
      </c>
      <c r="H138" s="8" t="s">
        <v>144</v>
      </c>
    </row>
    <row r="139">
      <c r="A139" s="3" t="str">
        <f>IFERROR(__xludf.DUMMYFUNCTION("REGEXEXTRACT(H139, ""s*(.*?)\s*а\)"")"),"Кто это?")</f>
        <v>Кто это?</v>
      </c>
      <c r="B139" s="10">
        <v>2.0</v>
      </c>
      <c r="D139" s="3" t="str">
        <f>IFERROR(__xludf.DUMMYFUNCTION("REGEXREPLACE(REGEXEXTRACT(H139, ""а\)\s*(.*?)\s*б\)""), ""^\s*"", """")"),"Кошка")</f>
        <v>Кошка</v>
      </c>
      <c r="E139" s="3" t="str">
        <f>IFERROR(__xludf.DUMMYFUNCTION("REGEXREPLACE(REGEXEXTRACT(H139, ""б\)\s*(.*?)\s*в\)""), ""^\s*"", """")"),"Мурка")</f>
        <v>Мурка</v>
      </c>
      <c r="F139" s="3" t="str">
        <f>IFERROR(__xludf.DUMMYFUNCTION("REGEXREPLACE(REGEXEXTRACT(H139, ""в\)\s*(.*?)\s*г\)""), ""^\s*"", """")"),"Домашний питомец")</f>
        <v>Домашний питомец</v>
      </c>
      <c r="G139" s="3" t="str">
        <f>IFERROR(__xludf.DUMMYFUNCTION("REGEXREPLACE(REGEXEXTRACT(H139, ""г\)\s*(.*)""), ""^\s*"", """")"),"Царапка")</f>
        <v>Царапка</v>
      </c>
      <c r="H139" s="8" t="s">
        <v>145</v>
      </c>
    </row>
    <row r="140">
      <c r="A140" s="3" t="str">
        <f>IFERROR(__xludf.DUMMYFUNCTION("REGEXEXTRACT(H140, ""s*(.*?)\s*а\)"")"),"Кто это?")</f>
        <v>Кто это?</v>
      </c>
      <c r="B140" s="10">
        <v>2.0</v>
      </c>
      <c r="D140" s="3" t="str">
        <f>IFERROR(__xludf.DUMMYFUNCTION("REGEXREPLACE(REGEXEXTRACT(H140, ""а\)\s*(.*?)\s*б\)""), ""^\s*"", """")"),"Попугай")</f>
        <v>Попугай</v>
      </c>
      <c r="E140" s="3" t="str">
        <f>IFERROR(__xludf.DUMMYFUNCTION("REGEXREPLACE(REGEXEXTRACT(H140, ""б\)\s*(.*?)\s*в\)""), ""^\s*"", """")"),"Говорун")</f>
        <v>Говорун</v>
      </c>
      <c r="F140" s="3" t="str">
        <f>IFERROR(__xludf.DUMMYFUNCTION("REGEXREPLACE(REGEXEXTRACT(H140, ""в\)\s*(.*?)\s*г\)""), ""^\s*"", """")"),"Пернатый")</f>
        <v>Пернатый</v>
      </c>
      <c r="G140" s="3" t="str">
        <f>IFERROR(__xludf.DUMMYFUNCTION("REGEXREPLACE(REGEXEXTRACT(H140, ""г\)\s*(.*)""), ""^\s*"", """")"),"Пиратский")</f>
        <v>Пиратский</v>
      </c>
      <c r="H140" s="8" t="s">
        <v>146</v>
      </c>
    </row>
    <row r="141">
      <c r="A141" s="3" t="str">
        <f>IFERROR(__xludf.DUMMYFUNCTION("REGEXEXTRACT(H141, ""s*(.*?)\s*а\)"")"),"Кто это?")</f>
        <v>Кто это?</v>
      </c>
      <c r="B141" s="10">
        <v>2.0</v>
      </c>
      <c r="D141" s="3" t="str">
        <f>IFERROR(__xludf.DUMMYFUNCTION("REGEXREPLACE(REGEXEXTRACT(H141, ""а\)\s*(.*?)\s*б\)""), ""^\s*"", """")"),"Черепаха")</f>
        <v>Черепаха</v>
      </c>
      <c r="E141" s="3" t="str">
        <f>IFERROR(__xludf.DUMMYFUNCTION("REGEXREPLACE(REGEXEXTRACT(H141, ""б\)\s*(.*?)\s*в\)""), ""^\s*"", """")"),"Тортилла")</f>
        <v>Тортилла</v>
      </c>
      <c r="F141" s="3" t="str">
        <f>IFERROR(__xludf.DUMMYFUNCTION("REGEXREPLACE(REGEXEXTRACT(H141, ""в\)\s*(.*?)\s*г\)""), ""^\s*"", """")"),"Медленная")</f>
        <v>Медленная</v>
      </c>
      <c r="G141" s="3" t="str">
        <f>IFERROR(__xludf.DUMMYFUNCTION("REGEXREPLACE(REGEXEXTRACT(H141, ""г\)\s*(.*)""), ""^\s*"", """")"),"Морская")</f>
        <v>Морская</v>
      </c>
      <c r="H141" s="8" t="s">
        <v>147</v>
      </c>
    </row>
    <row r="142">
      <c r="A142" s="3" t="str">
        <f>IFERROR(__xludf.DUMMYFUNCTION("REGEXEXTRACT(H142, ""s*(.*?)\s*а\)"")"),"Кто это?")</f>
        <v>Кто это?</v>
      </c>
      <c r="B142" s="10">
        <v>2.0</v>
      </c>
      <c r="D142" s="3" t="str">
        <f>IFERROR(__xludf.DUMMYFUNCTION("REGEXREPLACE(REGEXEXTRACT(H142, ""а\)\s*(.*?)\s*б\)""), ""^\s*"", """")"),"Торговец")</f>
        <v>Торговец</v>
      </c>
      <c r="E142" s="3" t="str">
        <f>IFERROR(__xludf.DUMMYFUNCTION("REGEXREPLACE(REGEXEXTRACT(H142, ""б\)\s*(.*?)\s*в\)""), ""^\s*"", """")"),"Коммивояжер")</f>
        <v>Коммивояжер</v>
      </c>
      <c r="F142" s="3" t="str">
        <f>IFERROR(__xludf.DUMMYFUNCTION("REGEXREPLACE(REGEXEXTRACT(H142, ""в\)\s*(.*?)\s*г\)""), ""^\s*"", """")"),"Барыга")</f>
        <v>Барыга</v>
      </c>
      <c r="G142" s="3" t="str">
        <f>IFERROR(__xludf.DUMMYFUNCTION("REGEXREPLACE(REGEXEXTRACT(H142, ""г\)\s*(.*)""), ""^\s*"", """")"),"Меняла")</f>
        <v>Меняла</v>
      </c>
      <c r="H142" s="8" t="s">
        <v>148</v>
      </c>
    </row>
    <row r="143">
      <c r="A143" s="3" t="str">
        <f>IFERROR(__xludf.DUMMYFUNCTION("REGEXEXTRACT(H143, ""s*(.*?)\s*а\)"")"),"Кто это?")</f>
        <v>Кто это?</v>
      </c>
      <c r="B143" s="10">
        <v>2.0</v>
      </c>
      <c r="D143" s="3" t="str">
        <f>IFERROR(__xludf.DUMMYFUNCTION("REGEXREPLACE(REGEXEXTRACT(H143, ""а\)\s*(.*?)\s*б\)""), ""^\s*"", """")"),"Белый медведь")</f>
        <v>Белый медведь</v>
      </c>
      <c r="E143" s="3" t="str">
        <f>IFERROR(__xludf.DUMMYFUNCTION("REGEXREPLACE(REGEXEXTRACT(H143, ""б\)\s*(.*?)\s*в\)""), ""^\s*"", """")"),"Умка")</f>
        <v>Умка</v>
      </c>
      <c r="F143" s="3" t="str">
        <f>IFERROR(__xludf.DUMMYFUNCTION("REGEXREPLACE(REGEXEXTRACT(H143, ""в\)\s*(.*?)\s*г\)""), ""^\s*"", """")"),"Арктический")</f>
        <v>Арктический</v>
      </c>
      <c r="G143" s="3" t="str">
        <f>IFERROR(__xludf.DUMMYFUNCTION("REGEXREPLACE(REGEXEXTRACT(H143, ""г\)\s*(.*)""), ""^\s*"", """")"),"Снежный")</f>
        <v>Снежный</v>
      </c>
      <c r="H143" s="8" t="s">
        <v>149</v>
      </c>
    </row>
    <row r="144">
      <c r="A144" s="3" t="str">
        <f>IFERROR(__xludf.DUMMYFUNCTION("REGEXEXTRACT(H144, ""s*(.*?)\s*а\)"")"),"Кто это?")</f>
        <v>Кто это?</v>
      </c>
      <c r="B144" s="10">
        <v>2.0</v>
      </c>
      <c r="D144" s="3" t="str">
        <f>IFERROR(__xludf.DUMMYFUNCTION("REGEXREPLACE(REGEXEXTRACT(H144, ""а\)\s*(.*?)\s*б\)""), ""^\s*"", """")"),"Лиса")</f>
        <v>Лиса</v>
      </c>
      <c r="E144" s="3" t="str">
        <f>IFERROR(__xludf.DUMMYFUNCTION("REGEXREPLACE(REGEXEXTRACT(H144, ""б\)\s*(.*?)\s*в\)""), ""^\s*"", """")"),"Рыжая плутовка")</f>
        <v>Рыжая плутовка</v>
      </c>
      <c r="F144" s="3" t="str">
        <f>IFERROR(__xludf.DUMMYFUNCTION("REGEXREPLACE(REGEXEXTRACT(H144, ""в\)\s*(.*?)\s*г\)""), ""^\s*"", """")"),"Хитрая морда")</f>
        <v>Хитрая морда</v>
      </c>
      <c r="G144" s="3" t="str">
        <f>IFERROR(__xludf.DUMMYFUNCTION("REGEXREPLACE(REGEXEXTRACT(H144, ""г\)\s*(.*)""), ""^\s*"", """")"),"Лесной житель")</f>
        <v>Лесной житель</v>
      </c>
      <c r="H144" s="8" t="s">
        <v>150</v>
      </c>
    </row>
    <row r="145">
      <c r="A145" s="3" t="str">
        <f>IFERROR(__xludf.DUMMYFUNCTION("REGEXEXTRACT(H145, ""s*(.*?)\s*а\)"")"),"Кто это?")</f>
        <v>Кто это?</v>
      </c>
      <c r="B145" s="10">
        <v>2.0</v>
      </c>
      <c r="D145" s="3" t="str">
        <f>IFERROR(__xludf.DUMMYFUNCTION("REGEXREPLACE(REGEXEXTRACT(H145, ""а\)\s*(.*?)\s*б\)""), ""^\s*"", """")"),"Пчела")</f>
        <v>Пчела</v>
      </c>
      <c r="E145" s="3" t="str">
        <f>IFERROR(__xludf.DUMMYFUNCTION("REGEXREPLACE(REGEXEXTRACT(H145, ""б\)\s*(.*?)\s*в\)""), ""^\s*"", """")"),"Жужжалка")</f>
        <v>Жужжалка</v>
      </c>
      <c r="F145" s="3" t="str">
        <f>IFERROR(__xludf.DUMMYFUNCTION("REGEXREPLACE(REGEXEXTRACT(H145, ""в\)\s*(.*?)\s*г\)""), ""^\s*"", """")"),"Медоносная")</f>
        <v>Медоносная</v>
      </c>
      <c r="G145" s="3" t="str">
        <f>IFERROR(__xludf.DUMMYFUNCTION("REGEXREPLACE(REGEXEXTRACT(H145, ""г\)\s*(.*)""), ""^\s*"", """")"),"Полосатая")</f>
        <v>Полосатая</v>
      </c>
      <c r="H145" s="8" t="s">
        <v>151</v>
      </c>
    </row>
    <row r="146">
      <c r="A146" s="3" t="str">
        <f>IFERROR(__xludf.DUMMYFUNCTION("REGEXEXTRACT(H146, ""s*(.*?)\s*а\)"")"),"Кто это?")</f>
        <v>Кто это?</v>
      </c>
      <c r="B146" s="10">
        <v>2.0</v>
      </c>
      <c r="D146" s="3" t="str">
        <f>IFERROR(__xludf.DUMMYFUNCTION("REGEXREPLACE(REGEXEXTRACT(H146, ""а\)\s*(.*?)\s*б\)""), ""^\s*"", """")"),"Коза")</f>
        <v>Коза</v>
      </c>
      <c r="E146" s="3" t="str">
        <f>IFERROR(__xludf.DUMMYFUNCTION("REGEXREPLACE(REGEXEXTRACT(H146, ""б\)\s*(.*?)\s*в\)""), ""^\s*"", """")"),"Бодалка")</f>
        <v>Бодалка</v>
      </c>
      <c r="F146" s="3" t="str">
        <f>IFERROR(__xludf.DUMMYFUNCTION("REGEXREPLACE(REGEXEXTRACT(H146, ""в\)\s*(.*?)\s*г\)""), ""^\s*"", """")"),"Рогатая")</f>
        <v>Рогатая</v>
      </c>
      <c r="G146" s="3" t="str">
        <f>IFERROR(__xludf.DUMMYFUNCTION("REGEXREPLACE(REGEXEXTRACT(H146, ""г\)\s*(.*)""), ""^\s*"", """")"),"Горная")</f>
        <v>Горная</v>
      </c>
      <c r="H146" s="8" t="s">
        <v>152</v>
      </c>
    </row>
    <row r="147">
      <c r="A147" s="3" t="str">
        <f>IFERROR(__xludf.DUMMYFUNCTION("REGEXEXTRACT(H147, ""s*(.*?)\s*а\)"")"),"Кто это?")</f>
        <v>Кто это?</v>
      </c>
      <c r="B147" s="10">
        <v>2.0</v>
      </c>
      <c r="D147" s="3" t="str">
        <f>IFERROR(__xludf.DUMMYFUNCTION("REGEXREPLACE(REGEXEXTRACT(H147, ""а\)\s*(.*?)\s*б\)""), ""^\s*"", """")"),"Нюхач")</f>
        <v>Нюхач</v>
      </c>
      <c r="E147" s="3" t="str">
        <f>IFERROR(__xludf.DUMMYFUNCTION("REGEXREPLACE(REGEXEXTRACT(H147, ""б\)\s*(.*?)\s*в\)""), ""^\s*"", """")"),"Древний")</f>
        <v>Древний</v>
      </c>
      <c r="F147" s="3" t="str">
        <f>IFERROR(__xludf.DUMMYFUNCTION("REGEXREPLACE(REGEXEXTRACT(H147, ""в\)\s*(.*?)\s*г\)""), ""^\s*"", """")"),"Травоядный")</f>
        <v>Травоядный</v>
      </c>
      <c r="G147" s="3" t="str">
        <f>IFERROR(__xludf.DUMMYFUNCTION("REGEXREPLACE(REGEXEXTRACT(H147, ""г\)\s*(.*)""), ""^\s*"", """")"),"Искатель")</f>
        <v>Искатель</v>
      </c>
      <c r="H147" s="8" t="s">
        <v>153</v>
      </c>
    </row>
    <row r="148">
      <c r="A148" s="3" t="str">
        <f>IFERROR(__xludf.DUMMYFUNCTION("REGEXEXTRACT(H148, ""s*(.*?)\s*а\)"")"),"Кто это?")</f>
        <v>Кто это?</v>
      </c>
      <c r="B148" s="10">
        <v>2.0</v>
      </c>
      <c r="D148" s="3" t="str">
        <f>IFERROR(__xludf.DUMMYFUNCTION("REGEXREPLACE(REGEXEXTRACT(H148, ""а\)\s*(.*?)\s*б\)""), ""^\s*"", """")"),"Верблюд")</f>
        <v>Верблюд</v>
      </c>
      <c r="E148" s="3" t="str">
        <f>IFERROR(__xludf.DUMMYFUNCTION("REGEXREPLACE(REGEXEXTRACT(H148, ""б\)\s*(.*?)\s*в\)""), ""^\s*"", """")"),"Плюющийся")</f>
        <v>Плюющийся</v>
      </c>
      <c r="F148" s="3" t="str">
        <f>IFERROR(__xludf.DUMMYFUNCTION("REGEXREPLACE(REGEXEXTRACT(H148, ""в\)\s*(.*?)\s*г\)""), ""^\s*"", """")"),"Пустынный")</f>
        <v>Пустынный</v>
      </c>
      <c r="G148" s="3" t="str">
        <f>IFERROR(__xludf.DUMMYFUNCTION("REGEXREPLACE(REGEXEXTRACT(H148, ""г\)\s*(.*)""), ""^\s*"", """")"),"Двугорбый")</f>
        <v>Двугорбый</v>
      </c>
      <c r="H148" s="8" t="s">
        <v>154</v>
      </c>
    </row>
    <row r="149">
      <c r="A149" s="3" t="str">
        <f>IFERROR(__xludf.DUMMYFUNCTION("REGEXEXTRACT(H149, ""s*(.*?)\s*а\)"")"),"Кто это?")</f>
        <v>Кто это?</v>
      </c>
      <c r="B149" s="10">
        <v>2.0</v>
      </c>
      <c r="D149" s="3" t="str">
        <f>IFERROR(__xludf.DUMMYFUNCTION("REGEXREPLACE(REGEXEXTRACT(H149, ""а\)\s*(.*?)\s*б\)""), ""^\s*"", """")"),"Спрут")</f>
        <v>Спрут</v>
      </c>
      <c r="E149" s="3" t="str">
        <f>IFERROR(__xludf.DUMMYFUNCTION("REGEXREPLACE(REGEXEXTRACT(H149, ""б\)\s*(.*?)\s*в\)""), ""^\s*"", """")"),"Кальмар")</f>
        <v>Кальмар</v>
      </c>
      <c r="F149" s="3" t="str">
        <f>IFERROR(__xludf.DUMMYFUNCTION("REGEXREPLACE(REGEXEXTRACT(H149, ""в\)\s*(.*?)\s*г\)""), ""^\s*"", """")"),"Чернильник")</f>
        <v>Чернильник</v>
      </c>
      <c r="G149" s="3" t="str">
        <f>IFERROR(__xludf.DUMMYFUNCTION("REGEXREPLACE(REGEXEXTRACT(H149, ""г\)\s*(.*)""), ""^\s*"", """")"),"Морской житель")</f>
        <v>Морской житель</v>
      </c>
      <c r="H149" s="8" t="s">
        <v>155</v>
      </c>
    </row>
    <row r="150">
      <c r="A150" s="3" t="str">
        <f>IFERROR(__xludf.DUMMYFUNCTION("REGEXEXTRACT(H150, ""s*(.*?)\s*а\)"")"),"Кто это?")</f>
        <v>Кто это?</v>
      </c>
      <c r="B150" s="10">
        <v>2.0</v>
      </c>
      <c r="D150" s="3" t="str">
        <f>IFERROR(__xludf.DUMMYFUNCTION("REGEXREPLACE(REGEXEXTRACT(H150, ""а\)\s*(.*?)\s*б\)""), ""^\s*"", """")"),"Пещерный паук")</f>
        <v>Пещерный паук</v>
      </c>
      <c r="E150" s="3" t="str">
        <f>IFERROR(__xludf.DUMMYFUNCTION("REGEXREPLACE(REGEXEXTRACT(H150, ""б\)\s*(.*?)\s*в\)""), ""^\s*"", """")"),"Ядовитый паук")</f>
        <v>Ядовитый паук</v>
      </c>
      <c r="F150" s="3" t="str">
        <f>IFERROR(__xludf.DUMMYFUNCTION("REGEXREPLACE(REGEXEXTRACT(H150, ""в\)\s*(.*?)\s*г\)""), ""^\s*"", """")"),"Подземный")</f>
        <v>Подземный</v>
      </c>
      <c r="G150" s="3" t="str">
        <f>IFERROR(__xludf.DUMMYFUNCTION("REGEXREPLACE(REGEXEXTRACT(H150, ""г\)\s*(.*)""), ""^\s*"", """")"),"Синий")</f>
        <v>Синий</v>
      </c>
      <c r="H150" s="8" t="s">
        <v>156</v>
      </c>
    </row>
    <row r="151">
      <c r="A151" s="3" t="str">
        <f>IFERROR(__xludf.DUMMYFUNCTION("REGEXEXTRACT(H151, ""s*(.*?)\s*а\)"")"),"Кто это?")</f>
        <v>Кто это?</v>
      </c>
      <c r="B151" s="10">
        <v>2.0</v>
      </c>
      <c r="D151" s="3" t="str">
        <f>IFERROR(__xludf.DUMMYFUNCTION("REGEXREPLACE(REGEXEXTRACT(H151, ""а\)\s*(.*?)\s*б\)""), ""^\s*"", """")"),"Дельфин")</f>
        <v>Дельфин</v>
      </c>
      <c r="E151" s="3" t="str">
        <f>IFERROR(__xludf.DUMMYFUNCTION("REGEXREPLACE(REGEXEXTRACT(H151, ""б\)\s*(.*?)\s*в\)""), ""^\s*"", """")"),"Эхолокатор")</f>
        <v>Эхолокатор</v>
      </c>
      <c r="F151" s="3" t="str">
        <f>IFERROR(__xludf.DUMMYFUNCTION("REGEXREPLACE(REGEXEXTRACT(H151, ""в\)\s*(.*?)\s*г\)""), ""^\s*"", """")"),"Морской друг")</f>
        <v>Морской друг</v>
      </c>
      <c r="G151" s="3" t="str">
        <f>IFERROR(__xludf.DUMMYFUNCTION("REGEXREPLACE(REGEXEXTRACT(H151, ""г\)\s*(.*)""), ""^\s*"", """")"),"Пловец")</f>
        <v>Пловец</v>
      </c>
      <c r="H151" s="9" t="s">
        <v>157</v>
      </c>
    </row>
    <row r="152">
      <c r="A152" s="3" t="str">
        <f>IFERROR(__xludf.DUMMYFUNCTION("REGEXEXTRACT(H152, ""s*(.*?)\s*а\)"")"),"Кто это?")</f>
        <v>Кто это?</v>
      </c>
      <c r="B152" s="10">
        <v>2.0</v>
      </c>
      <c r="D152" s="3" t="str">
        <f>IFERROR(__xludf.DUMMYFUNCTION("REGEXREPLACE(REGEXEXTRACT(H152, ""а\)\s*(.*?)\s*б\)""), ""^\s*"", """")"),"Лама")</f>
        <v>Лама</v>
      </c>
      <c r="E152" s="3" t="str">
        <f>IFERROR(__xludf.DUMMYFUNCTION("REGEXREPLACE(REGEXEXTRACT(H152, ""б\)\s*(.*?)\s*в\)""), ""^\s*"", """")"),"Плюющаяся")</f>
        <v>Плюющаяся</v>
      </c>
      <c r="F152" s="3" t="str">
        <f>IFERROR(__xludf.DUMMYFUNCTION("REGEXREPLACE(REGEXEXTRACT(H152, ""в\)\s*(.*?)\s*г\)""), ""^\s*"", """")"),"Горная")</f>
        <v>Горная</v>
      </c>
      <c r="G152" s="3" t="str">
        <f>IFERROR(__xludf.DUMMYFUNCTION("REGEXREPLACE(REGEXEXTRACT(H152, ""г\)\s*(.*)""), ""^\s*"", """")"),"Вьючная")</f>
        <v>Вьючная</v>
      </c>
      <c r="H152" s="9" t="s">
        <v>158</v>
      </c>
    </row>
    <row r="153">
      <c r="A153" s="3" t="str">
        <f>IFERROR(__xludf.DUMMYFUNCTION("REGEXEXTRACT(H153, ""s*(.*?)\s*а\)"")"),"Кто это?")</f>
        <v>Кто это?</v>
      </c>
      <c r="B153" s="10">
        <v>2.0</v>
      </c>
      <c r="D153" s="3" t="str">
        <f>IFERROR(__xludf.DUMMYFUNCTION("REGEXREPLACE(REGEXEXTRACT(H153, ""а\)\s*(.*?)\s*б\)""), ""^\s*"", """")"),"Странствующий торговец")</f>
        <v>Странствующий торговец</v>
      </c>
      <c r="E153" s="3" t="str">
        <f>IFERROR(__xludf.DUMMYFUNCTION("REGEXREPLACE(REGEXEXTRACT(H153, ""б\)\s*(.*?)\s*в\)""), ""^\s*"", """")"),"Кочевник")</f>
        <v>Кочевник</v>
      </c>
      <c r="F153" s="3" t="str">
        <f>IFERROR(__xludf.DUMMYFUNCTION("REGEXREPLACE(REGEXEXTRACT(H153, ""в\)\s*(.*?)\s*г\)""), ""^\s*"", """")"),"Путешественник")</f>
        <v>Путешественник</v>
      </c>
      <c r="G153" s="3" t="str">
        <f>IFERROR(__xludf.DUMMYFUNCTION("REGEXREPLACE(REGEXEXTRACT(H153, ""г\)\s*(.*)""), ""^\s*"", """")"),"Меняла с ламами")</f>
        <v>Меняла с ламами</v>
      </c>
      <c r="H153" s="8" t="s">
        <v>159</v>
      </c>
    </row>
    <row r="154">
      <c r="A154" s="3" t="str">
        <f>IFERROR(__xludf.DUMMYFUNCTION("REGEXEXTRACT(H154, ""s*(.*?)\s*а\)"")"),"Кто это?")</f>
        <v>Кто это?</v>
      </c>
      <c r="B154" s="10">
        <v>2.0</v>
      </c>
      <c r="D154" s="3" t="str">
        <f>IFERROR(__xludf.DUMMYFUNCTION("REGEXREPLACE(REGEXEXTRACT(H154, ""а\)\s*(.*?)\s*б\)""), ""^\s*"", """")"),"Зомбированный пиглин")</f>
        <v>Зомбированный пиглин</v>
      </c>
      <c r="E154" s="3" t="str">
        <f>IFERROR(__xludf.DUMMYFUNCTION("REGEXREPLACE(REGEXEXTRACT(H154, ""б\)\s*(.*?)\s*в\)""), ""^\s*"", """")"),"Зомби-свинья")</f>
        <v>Зомби-свинья</v>
      </c>
      <c r="F154" s="3" t="str">
        <f>IFERROR(__xludf.DUMMYFUNCTION("REGEXREPLACE(REGEXEXTRACT(H154, ""в\)\s*(.*?)\s*г\)""), ""^\s*"", """")"),"Гнилой хряк")</f>
        <v>Гнилой хряк</v>
      </c>
      <c r="G154" s="3" t="str">
        <f>IFERROR(__xludf.DUMMYFUNCTION("REGEXREPLACE(REGEXEXTRACT(H154, ""г\)\s*(.*)""), ""^\s*"", """")"),"Квази-кабан")</f>
        <v>Квази-кабан</v>
      </c>
      <c r="H154" s="8" t="s">
        <v>160</v>
      </c>
    </row>
    <row r="155">
      <c r="A155" s="3" t="str">
        <f>IFERROR(__xludf.DUMMYFUNCTION("REGEXEXTRACT(H155, ""s*(.*?)\s*а\)"")"),"Кто это?")</f>
        <v>Кто это?</v>
      </c>
      <c r="B155" s="10">
        <v>2.0</v>
      </c>
      <c r="D155" s="3" t="str">
        <f>IFERROR(__xludf.DUMMYFUNCTION("REGEXREPLACE(REGEXEXTRACT(H155, ""а\)\s*(.*?)\s*б\)""), ""^\s*"", """")"),"Эндермен")</f>
        <v>Эндермен</v>
      </c>
      <c r="E155" s="3" t="str">
        <f>IFERROR(__xludf.DUMMYFUNCTION("REGEXREPLACE(REGEXEXTRACT(H155, ""б\)\s*(.*?)\s*в\)""), ""^\s*"", """")"),"Телепортер")</f>
        <v>Телепортер</v>
      </c>
      <c r="F155" s="3" t="str">
        <f>IFERROR(__xludf.DUMMYFUNCTION("REGEXREPLACE(REGEXEXTRACT(H155, ""в\)\s*(.*?)\s*г\)""), ""^\s*"", """")"),"Длинноногий")</f>
        <v>Длинноногий</v>
      </c>
      <c r="G155" s="3" t="str">
        <f>IFERROR(__xludf.DUMMYFUNCTION("REGEXREPLACE(REGEXEXTRACT(H155, ""г\)\s*(.*)""), ""^\s*"", """")"),"Теневой")</f>
        <v>Теневой</v>
      </c>
      <c r="H155" s="8" t="s">
        <v>161</v>
      </c>
    </row>
    <row r="156">
      <c r="A156" s="3" t="str">
        <f>IFERROR(__xludf.DUMMYFUNCTION("REGEXEXTRACT(H156, ""s*(.*?)\s*а\)"")"),"Кто это?")</f>
        <v>Кто это?</v>
      </c>
      <c r="B156" s="10">
        <v>2.0</v>
      </c>
      <c r="D156" s="3" t="str">
        <f>IFERROR(__xludf.DUMMYFUNCTION("REGEXREPLACE(REGEXEXTRACT(H156, ""а\)\s*(.*?)\s*б\)""), ""^\s*"", """")"),"Волк")</f>
        <v>Волк</v>
      </c>
      <c r="E156" s="3" t="str">
        <f>IFERROR(__xludf.DUMMYFUNCTION("REGEXREPLACE(REGEXEXTRACT(H156, ""б\)\s*(.*?)\s*в\)""), ""^\s*"", """")"),"Лесной пес")</f>
        <v>Лесной пес</v>
      </c>
      <c r="F156" s="3" t="str">
        <f>IFERROR(__xludf.DUMMYFUNCTION("REGEXREPLACE(REGEXEXTRACT(H156, ""в\)\s*(.*?)\s*г\)""), ""^\s*"", """")"),"Бродяга")</f>
        <v>Бродяга</v>
      </c>
      <c r="G156" s="3" t="str">
        <f>IFERROR(__xludf.DUMMYFUNCTION("REGEXREPLACE(REGEXEXTRACT(H156, ""г\)\s*(.*)""), ""^\s*"", """")"),"Серый охотник")</f>
        <v>Серый охотник</v>
      </c>
      <c r="H156" s="8" t="s">
        <v>162</v>
      </c>
    </row>
    <row r="157">
      <c r="A157" s="3" t="str">
        <f>IFERROR(__xludf.DUMMYFUNCTION("REGEXEXTRACT(H157, ""s*(.*?)\s*а\)"")"),"Кто это?")</f>
        <v>Кто это?</v>
      </c>
      <c r="B157" s="10">
        <v>2.0</v>
      </c>
      <c r="D157" s="3" t="str">
        <f>IFERROR(__xludf.DUMMYFUNCTION("REGEXREPLACE(REGEXEXTRACT(H157, ""а\)\s*(.*?)\s*б\)""), ""^\s*"", """")"),"Аксолотль")</f>
        <v>Аксолотль</v>
      </c>
      <c r="E157" s="3" t="str">
        <f>IFERROR(__xludf.DUMMYFUNCTION("REGEXREPLACE(REGEXEXTRACT(H157, ""б\)\s*(.*?)\s*в\)""), ""^\s*"", """")"),"Водяной дракон")</f>
        <v>Водяной дракон</v>
      </c>
      <c r="F157" s="3" t="str">
        <f>IFERROR(__xludf.DUMMYFUNCTION("REGEXREPLACE(REGEXEXTRACT(H157, ""в\)\s*(.*?)\s*г\)""), ""^\s*"", """")"),"Подводный питомец")</f>
        <v>Подводный питомец</v>
      </c>
      <c r="G157" s="3" t="str">
        <f>IFERROR(__xludf.DUMMYFUNCTION("REGEXREPLACE(REGEXEXTRACT(H157, ""г\)\s*(.*)""), ""^\s*"", """")"),"Нежный слизень")</f>
        <v>Нежный слизень</v>
      </c>
      <c r="H157" s="8" t="s">
        <v>163</v>
      </c>
    </row>
    <row r="158">
      <c r="A158" s="3" t="str">
        <f>IFERROR(__xludf.DUMMYFUNCTION("REGEXEXTRACT(H158, ""s*(.*?)\s*а\)"")"),"Кто это?")</f>
        <v>Кто это?</v>
      </c>
      <c r="B158" s="10">
        <v>2.0</v>
      </c>
      <c r="D158" s="3" t="str">
        <f>IFERROR(__xludf.DUMMYFUNCTION("REGEXREPLACE(REGEXEXTRACT(H158, ""а\)\s*(.*?)\s*б\)""), ""^\s*"", """")"),"Стражник")</f>
        <v>Стражник</v>
      </c>
      <c r="E158" s="3" t="str">
        <f>IFERROR(__xludf.DUMMYFUNCTION("REGEXREPLACE(REGEXEXTRACT(H158, ""б\)\s*(.*?)\s*в\)""), ""^\s*"", """")"),"Житель-охранник")</f>
        <v>Житель-охранник</v>
      </c>
      <c r="F158" s="3" t="str">
        <f>IFERROR(__xludf.DUMMYFUNCTION("REGEXREPLACE(REGEXEXTRACT(H158, ""в\)\s*(.*?)\s*г\)""), ""^\s*"", """")"),"Деревенский воин")</f>
        <v>Деревенский воин</v>
      </c>
      <c r="G158" s="3" t="str">
        <f>IFERROR(__xludf.DUMMYFUNCTION("REGEXREPLACE(REGEXEXTRACT(H158, ""г\)\s*(.*)""), ""^\s*"", """")"),"Вооруженный крестьянин")</f>
        <v>Вооруженный крестьянин</v>
      </c>
      <c r="H158" s="8" t="s">
        <v>164</v>
      </c>
    </row>
    <row r="159">
      <c r="A159" s="3" t="str">
        <f>IFERROR(__xludf.DUMMYFUNCTION("REGEXEXTRACT(H159, ""s*(.*?)\s*а\)"")"),"Кто это?")</f>
        <v>Кто это?</v>
      </c>
      <c r="B159" s="10">
        <v>2.0</v>
      </c>
      <c r="D159" s="3" t="str">
        <f>IFERROR(__xludf.DUMMYFUNCTION("REGEXREPLACE(REGEXEXTRACT(H159, ""а\)\s*(.*?)\s*б\)""), ""^\s*"", """")"),"Железный голем")</f>
        <v>Железный голем</v>
      </c>
      <c r="E159" s="3" t="str">
        <f>IFERROR(__xludf.DUMMYFUNCTION("REGEXREPLACE(REGEXEXTRACT(H159, ""б\)\s*(.*?)\s*в\)""), ""^\s*"", """")"),"Механический защитник")</f>
        <v>Механический защитник</v>
      </c>
      <c r="F159" s="3" t="str">
        <f>IFERROR(__xludf.DUMMYFUNCTION("REGEXREPLACE(REGEXEXTRACT(H159, ""в\)\s*(.*?)\s*г\)""), ""^\s*"", """")"),"Ржавый силач")</f>
        <v>Ржавый силач</v>
      </c>
      <c r="G159" s="3" t="str">
        <f>IFERROR(__xludf.DUMMYFUNCTION("REGEXREPLACE(REGEXEXTRACT(H159, ""г\)\s*(.*)""), ""^\s*"", """")"),"Деревенский страж")</f>
        <v>Деревенский страж</v>
      </c>
      <c r="H159" s="8" t="s">
        <v>165</v>
      </c>
    </row>
    <row r="160">
      <c r="A160" s="3" t="str">
        <f>IFERROR(__xludf.DUMMYFUNCTION("REGEXEXTRACT(H160, ""s*(.*?)\s*а\)"")"),"Кто это?")</f>
        <v>Кто это?</v>
      </c>
      <c r="B160" s="10">
        <v>2.0</v>
      </c>
      <c r="D160" s="3" t="str">
        <f>IFERROR(__xludf.DUMMYFUNCTION("REGEXREPLACE(REGEXEXTRACT(H160, ""а\)\s*(.*?)\s*б\)""), ""^\s*"", """")"),"Снежный голем")</f>
        <v>Снежный голем</v>
      </c>
      <c r="E160" s="3" t="str">
        <f>IFERROR(__xludf.DUMMYFUNCTION("REGEXREPLACE(REGEXEXTRACT(H160, ""б\)\s*(.*?)\s*в\)""), ""^\s*"", """")"),"Снеговик")</f>
        <v>Снеговик</v>
      </c>
      <c r="F160" s="3" t="str">
        <f>IFERROR(__xludf.DUMMYFUNCTION("REGEXREPLACE(REGEXEXTRACT(H160, ""в\)\s*(.*?)\s*г\)""), ""^\s*"", """")"),"Ледяной помощник")</f>
        <v>Ледяной помощник</v>
      </c>
      <c r="G160" s="3" t="str">
        <f>IFERROR(__xludf.DUMMYFUNCTION("REGEXREPLACE(REGEXEXTRACT(H160, ""г\)\s*(.*)""), ""^\s*"", """")"),"Морковный нос")</f>
        <v>Морковный нос</v>
      </c>
      <c r="H160" s="8" t="s">
        <v>166</v>
      </c>
    </row>
    <row r="161">
      <c r="A161" s="3" t="str">
        <f>IFERROR(__xludf.DUMMYFUNCTION("REGEXEXTRACT(H161, ""s*(.*?)\s*а\)"")"),"Кто это?")</f>
        <v>Кто это?</v>
      </c>
      <c r="B161" s="10">
        <v>2.0</v>
      </c>
      <c r="D161" s="3" t="str">
        <f>IFERROR(__xludf.DUMMYFUNCTION("REGEXREPLACE(REGEXEXTRACT(H161, ""а\)\s*(.*?)\s*б\)""), ""^\s*"", """")"),"Пчела")</f>
        <v>Пчела</v>
      </c>
      <c r="E161" s="3" t="str">
        <f>IFERROR(__xludf.DUMMYFUNCTION("REGEXREPLACE(REGEXEXTRACT(H161, ""б\)\s*(.*?)\s*в\)""), ""^\s*"", """")"),"Медоносная оса")</f>
        <v>Медоносная оса</v>
      </c>
      <c r="F161" s="3" t="str">
        <f>IFERROR(__xludf.DUMMYFUNCTION("REGEXREPLACE(REGEXEXTRACT(H161, ""в\)\s*(.*?)\s*г\)""), ""^\s*"", """")"),"Насекомое")</f>
        <v>Насекомое</v>
      </c>
      <c r="G161" s="3" t="str">
        <f>IFERROR(__xludf.DUMMYFUNCTION("REGEXREPLACE(REGEXEXTRACT(H161, ""г\)\s*(.*)""), ""^\s*"", """")"),"Крылатый")</f>
        <v>Крылатый</v>
      </c>
      <c r="H161" s="8" t="s">
        <v>167</v>
      </c>
    </row>
    <row r="162">
      <c r="A162" s="3" t="str">
        <f>IFERROR(__xludf.DUMMYFUNCTION("REGEXEXTRACT(H162, ""s*(.*?)\s*а\)"")"),"Кто это?")</f>
        <v>Кто это?</v>
      </c>
      <c r="B162" s="10">
        <v>2.0</v>
      </c>
      <c r="D162" s="3" t="str">
        <f>IFERROR(__xludf.DUMMYFUNCTION("REGEXREPLACE(REGEXEXTRACT(H162, ""а\)\s*(.*?)\s*б\)""), ""^\s*"", """")"),"Зомби")</f>
        <v>Зомби</v>
      </c>
      <c r="E162" s="3" t="str">
        <f>IFERROR(__xludf.DUMMYFUNCTION("REGEXREPLACE(REGEXEXTRACT(H162, ""б\)\s*(.*?)\s*в\)""), ""^\s*"", """")"),"Живой мертвец")</f>
        <v>Живой мертвец</v>
      </c>
      <c r="F162" s="3" t="str">
        <f>IFERROR(__xludf.DUMMYFUNCTION("REGEXREPLACE(REGEXEXTRACT(H162, ""в\)\s*(.*?)\s*г\)""), ""^\s*"", """")"),"Гниющий")</f>
        <v>Гниющий</v>
      </c>
      <c r="G162" s="3" t="str">
        <f>IFERROR(__xludf.DUMMYFUNCTION("REGEXREPLACE(REGEXEXTRACT(H162, ""г\)\s*(.*)""), ""^\s*"", """")"),"Бродяга")</f>
        <v>Бродяга</v>
      </c>
      <c r="H162" s="12" t="s">
        <v>168</v>
      </c>
    </row>
    <row r="163">
      <c r="A163" s="3" t="str">
        <f>IFERROR(__xludf.DUMMYFUNCTION("REGEXEXTRACT(H163, ""s*(.*?)\s*а\)"")"),"Кто это?")</f>
        <v>Кто это?</v>
      </c>
      <c r="B163" s="10">
        <v>2.0</v>
      </c>
      <c r="D163" s="3" t="str">
        <f>IFERROR(__xludf.DUMMYFUNCTION("REGEXREPLACE(REGEXEXTRACT(H163, ""а\)\s*(.*?)\s*б\)""), ""^\s*"", """")"),"Скелет")</f>
        <v>Скелет</v>
      </c>
      <c r="E163" s="3" t="str">
        <f>IFERROR(__xludf.DUMMYFUNCTION("REGEXREPLACE(REGEXEXTRACT(H163, ""б\)\s*(.*?)\s*в\)""), ""^\s*"", """")"),"Костяной лучник")</f>
        <v>Костяной лучник</v>
      </c>
      <c r="F163" s="3" t="str">
        <f>IFERROR(__xludf.DUMMYFUNCTION("REGEXREPLACE(REGEXEXTRACT(H163, ""в\)\s*(.*?)\s*г\)""), ""^\s*"", """")"),"Сухой")</f>
        <v>Сухой</v>
      </c>
      <c r="G163" s="3" t="str">
        <f>IFERROR(__xludf.DUMMYFUNCTION("REGEXREPLACE(REGEXEXTRACT(H163, ""г\)\s*(.*)""), ""^\s*"", """")"),"Дряхлый воитель")</f>
        <v>Дряхлый воитель</v>
      </c>
      <c r="H163" s="12" t="s">
        <v>169</v>
      </c>
    </row>
    <row r="164">
      <c r="A164" s="3" t="str">
        <f>IFERROR(__xludf.DUMMYFUNCTION("REGEXEXTRACT(H164, ""s*(.*?)\s*а\)"")"),"Кто это?")</f>
        <v>Кто это?</v>
      </c>
      <c r="B164" s="10">
        <v>2.0</v>
      </c>
      <c r="D164" s="3" t="str">
        <f>IFERROR(__xludf.DUMMYFUNCTION("REGEXREPLACE(REGEXEXTRACT(H164, ""а\)\s*(.*?)\s*б\)""), ""^\s*"", """")"),"Крипер")</f>
        <v>Крипер</v>
      </c>
      <c r="E164" s="3" t="str">
        <f>IFERROR(__xludf.DUMMYFUNCTION("REGEXREPLACE(REGEXEXTRACT(H164, ""б\)\s*(.*?)\s*в\)""), ""^\s*"", """")"),"Зеленый взрыватель")</f>
        <v>Зеленый взрыватель</v>
      </c>
      <c r="F164" s="3" t="str">
        <f>IFERROR(__xludf.DUMMYFUNCTION("REGEXREPLACE(REGEXEXTRACT(H164, ""в\)\s*(.*?)\s*г\)""), ""^\s*"", """")"),"Шипящий монстр")</f>
        <v>Шипящий монстр</v>
      </c>
      <c r="G164" s="3" t="str">
        <f>IFERROR(__xludf.DUMMYFUNCTION("REGEXREPLACE(REGEXEXTRACT(H164, ""г\)\s*(.*)""), ""^\s*"", """")"),"Шахтер-подрывник")</f>
        <v>Шахтер-подрывник</v>
      </c>
      <c r="H164" s="12" t="s">
        <v>170</v>
      </c>
    </row>
    <row r="165">
      <c r="A165" s="3" t="str">
        <f>IFERROR(__xludf.DUMMYFUNCTION("REGEXEXTRACT(H165, ""s*(.*?)\s*а\)"")"),"Кто это?")</f>
        <v>Кто это?</v>
      </c>
      <c r="B165" s="10">
        <v>2.0</v>
      </c>
      <c r="D165" s="3" t="str">
        <f>IFERROR(__xludf.DUMMYFUNCTION("REGEXREPLACE(REGEXEXTRACT(H165, ""а\)\s*(.*?)\s*б\)""), ""^\s*"", """")"),"Слизень")</f>
        <v>Слизень</v>
      </c>
      <c r="E165" s="3" t="str">
        <f>IFERROR(__xludf.DUMMYFUNCTION("REGEXREPLACE(REGEXEXTRACT(H165, ""б\)\s*(.*?)\s*в\)""), ""^\s*"", """")"),"Зеленая жижа")</f>
        <v>Зеленая жижа</v>
      </c>
      <c r="F165" s="3" t="str">
        <f>IFERROR(__xludf.DUMMYFUNCTION("REGEXREPLACE(REGEXEXTRACT(H165, ""в\)\s*(.*?)\s*г\)""), ""^\s*"", """")"),"Прыгучий куб")</f>
        <v>Прыгучий куб</v>
      </c>
      <c r="G165" s="3" t="str">
        <f>IFERROR(__xludf.DUMMYFUNCTION("REGEXREPLACE(REGEXEXTRACT(H165, ""г\)\s*(.*)""), ""^\s*"", """")"),"Желейный монстр")</f>
        <v>Желейный монстр</v>
      </c>
      <c r="H165" s="12" t="s">
        <v>171</v>
      </c>
    </row>
    <row r="166">
      <c r="A166" s="3" t="str">
        <f>IFERROR(__xludf.DUMMYFUNCTION("REGEXEXTRACT(H166, ""s*(.*?)\s*а\)"")"),"Кто это?")</f>
        <v>Кто это?</v>
      </c>
      <c r="B166" s="10">
        <v>2.0</v>
      </c>
      <c r="D166" s="3" t="str">
        <f>IFERROR(__xludf.DUMMYFUNCTION("REGEXREPLACE(REGEXEXTRACT(H166, ""а\)\s*(.*?)\s*б\)""), ""^\s*"", """")"),"Гаст")</f>
        <v>Гаст</v>
      </c>
      <c r="E166" s="3" t="str">
        <f>IFERROR(__xludf.DUMMYFUNCTION("REGEXREPLACE(REGEXEXTRACT(H166, ""б\)\s*(.*?)\s*в\)""), ""^\s*"", """")"),"Белый призрак")</f>
        <v>Белый призрак</v>
      </c>
      <c r="F166" s="3" t="str">
        <f>IFERROR(__xludf.DUMMYFUNCTION("REGEXREPLACE(REGEXEXTRACT(H166, ""в\)\s*(.*?)\s*г\)""), ""^\s*"", """")"),"Летающий крикун")</f>
        <v>Летающий крикун</v>
      </c>
      <c r="G166" s="3" t="str">
        <f>IFERROR(__xludf.DUMMYFUNCTION("REGEXREPLACE(REGEXEXTRACT(H166, ""г\)\s*(.*)""), ""^\s*"", """")"),"Огненный дух")</f>
        <v>Огненный дух</v>
      </c>
      <c r="H166" s="12" t="s">
        <v>172</v>
      </c>
    </row>
    <row r="167">
      <c r="A167" s="3" t="str">
        <f>IFERROR(__xludf.DUMMYFUNCTION("REGEXEXTRACT(H167, ""s*(.*?)\s*а\)"")"),"Кто это?")</f>
        <v>Кто это?</v>
      </c>
      <c r="B167" s="10">
        <v>2.0</v>
      </c>
      <c r="D167" s="3" t="str">
        <f>IFERROR(__xludf.DUMMYFUNCTION("REGEXREPLACE(REGEXEXTRACT(H167, ""а\)\s*(.*?)\s*б\)""), ""^\s*"", """")"),"Магмовый куб")</f>
        <v>Магмовый куб</v>
      </c>
      <c r="E167" s="3" t="str">
        <f>IFERROR(__xludf.DUMMYFUNCTION("REGEXREPLACE(REGEXEXTRACT(H167, ""б\)\s*(.*?)\s*в\)""), ""^\s*"", """")"),"Огненный слизень")</f>
        <v>Огненный слизень</v>
      </c>
      <c r="F167" s="3" t="str">
        <f>IFERROR(__xludf.DUMMYFUNCTION("REGEXREPLACE(REGEXEXTRACT(H167, ""в\)\s*(.*?)\s*г\)""), ""^\s*"", """")"),"Лавовый прыгун")</f>
        <v>Лавовый прыгун</v>
      </c>
      <c r="G167" s="3" t="str">
        <f>IFERROR(__xludf.DUMMYFUNCTION("REGEXREPLACE(REGEXEXTRACT(H167, ""г\)\s*(.*)""), ""^\s*"", """")"),"Раскаленный кубик")</f>
        <v>Раскаленный кубик</v>
      </c>
      <c r="H167" s="12" t="s">
        <v>173</v>
      </c>
    </row>
    <row r="168">
      <c r="A168" s="3" t="str">
        <f>IFERROR(__xludf.DUMMYFUNCTION("REGEXEXTRACT(H168, ""s*(.*?)\s*а\)"")"),"Кто это?")</f>
        <v>Кто это?</v>
      </c>
      <c r="B168" s="10">
        <v>2.0</v>
      </c>
      <c r="D168" s="3" t="str">
        <f>IFERROR(__xludf.DUMMYFUNCTION("REGEXREPLACE(REGEXEXTRACT(H168, ""а\)\s*(.*?)\s*б\)""), ""^\s*"", """")"),"Ифрит")</f>
        <v>Ифрит</v>
      </c>
      <c r="E168" s="3" t="str">
        <f>IFERROR(__xludf.DUMMYFUNCTION("REGEXREPLACE(REGEXEXTRACT(H168, ""б\)\s*(.*?)\s*в\)""), ""^\s*"", """")"),"Огненный элементаль")</f>
        <v>Огненный элементаль</v>
      </c>
      <c r="F168" s="3" t="str">
        <f>IFERROR(__xludf.DUMMYFUNCTION("REGEXREPLACE(REGEXEXTRACT(H168, ""в\)\s*(.*?)\s*г\)""), ""^\s*"", """")"),"Летающий поджигатель")</f>
        <v>Летающий поджигатель</v>
      </c>
      <c r="G168" s="3" t="str">
        <f>IFERROR(__xludf.DUMMYFUNCTION("REGEXREPLACE(REGEXEXTRACT(H168, ""г\)\s*(.*)""), ""^\s*"", """")"),"Дымный дух")</f>
        <v>Дымный дух</v>
      </c>
      <c r="H168" s="12" t="s">
        <v>174</v>
      </c>
    </row>
    <row r="169">
      <c r="A169" s="3" t="str">
        <f>IFERROR(__xludf.DUMMYFUNCTION("REGEXEXTRACT(H169, ""s*(.*?)\s*а\)"")"),"Кто это?")</f>
        <v>Кто это?</v>
      </c>
      <c r="B169" s="10">
        <v>2.0</v>
      </c>
      <c r="D169" s="3" t="str">
        <f>IFERROR(__xludf.DUMMYFUNCTION("REGEXREPLACE(REGEXEXTRACT(H169, ""а\)\s*(.*?)\s*б\)""), ""^\s*"", """")"),"Ведьма")</f>
        <v>Ведьма</v>
      </c>
      <c r="E169" s="3" t="str">
        <f>IFERROR(__xludf.DUMMYFUNCTION("REGEXREPLACE(REGEXEXTRACT(H169, ""б\)\s*(.*?)\s*в\)""), ""^\s*"", """")"),"Зельеварка")</f>
        <v>Зельеварка</v>
      </c>
      <c r="F169" s="3" t="str">
        <f>IFERROR(__xludf.DUMMYFUNCTION("REGEXREPLACE(REGEXEXTRACT(H169, ""в\)\s*(.*?)\s*г\)""), ""^\s*"", """")"),"Колдунья")</f>
        <v>Колдунья</v>
      </c>
      <c r="G169" s="3" t="str">
        <f>IFERROR(__xludf.DUMMYFUNCTION("REGEXREPLACE(REGEXEXTRACT(H169, ""г\)\s*(.*)""), ""^\s*"", """")"),"Знахарка")</f>
        <v>Знахарка</v>
      </c>
      <c r="H169" s="12" t="s">
        <v>175</v>
      </c>
    </row>
    <row r="170">
      <c r="A170" s="3" t="str">
        <f>IFERROR(__xludf.DUMMYFUNCTION("REGEXEXTRACT(H170, ""s*(.*?)\s*а\)"")"),"Кто это?")</f>
        <v>Кто это?</v>
      </c>
      <c r="B170" s="10">
        <v>2.0</v>
      </c>
      <c r="D170" s="3" t="str">
        <f>IFERROR(__xludf.DUMMYFUNCTION("REGEXREPLACE(REGEXEXTRACT(H170, ""а\)\s*(.*?)\s*б\)""), ""^\s*"", """")"),"Скелет-иссушитель")</f>
        <v>Скелет-иссушитель</v>
      </c>
      <c r="E170" s="3" t="str">
        <f>IFERROR(__xludf.DUMMYFUNCTION("REGEXREPLACE(REGEXEXTRACT(H170, ""б\)\s*(.*?)\s*в\)""), ""^\s*"", """")"),"Черный скелет")</f>
        <v>Черный скелет</v>
      </c>
      <c r="F170" s="3" t="str">
        <f>IFERROR(__xludf.DUMMYFUNCTION("REGEXREPLACE(REGEXEXTRACT(H170, ""в\)\s*(.*?)\s*г\)""), ""^\s*"", """")"),"Костяной воин ада")</f>
        <v>Костяной воин ада</v>
      </c>
      <c r="G170" s="3" t="str">
        <f>IFERROR(__xludf.DUMMYFUNCTION("REGEXREPLACE(REGEXEXTRACT(H170, ""г\)\s*(.*)""), ""^\s*"", """")"),"Угрюмый лучник")</f>
        <v>Угрюмый лучник</v>
      </c>
      <c r="H170" s="12" t="s">
        <v>176</v>
      </c>
    </row>
    <row r="171">
      <c r="A171" s="3" t="str">
        <f>IFERROR(__xludf.DUMMYFUNCTION("REGEXEXTRACT(H171, ""s*(.*?)\s*а\)"")"),"Кто это?")</f>
        <v>Кто это?</v>
      </c>
      <c r="B171" s="10">
        <v>2.0</v>
      </c>
      <c r="D171" s="3" t="str">
        <f>IFERROR(__xludf.DUMMYFUNCTION("REGEXREPLACE(REGEXEXTRACT(H171, ""а\)\s*(.*?)\s*б\)""), ""^\s*"", """")"),"Зомби-житель")</f>
        <v>Зомби-житель</v>
      </c>
      <c r="E171" s="3" t="str">
        <f>IFERROR(__xludf.DUMMYFUNCTION("REGEXREPLACE(REGEXEXTRACT(H171, ""б\)\s*(.*?)\s*в\)""), ""^\s*"", """")"),"Мертвый горожанин")</f>
        <v>Мертвый горожанин</v>
      </c>
      <c r="F171" s="3" t="str">
        <f>IFERROR(__xludf.DUMMYFUNCTION("REGEXREPLACE(REGEXEXTRACT(H171, ""в\)\s*(.*?)\s*г\)""), ""^\s*"", """")"),"Инфицированный крестьянин")</f>
        <v>Инфицированный крестьянин</v>
      </c>
      <c r="G171" s="3" t="str">
        <f>IFERROR(__xludf.DUMMYFUNCTION("REGEXREPLACE(REGEXEXTRACT(H171, ""г\)\s*(.*)""), ""^\s*"", """")"),"Зомби-фермер")</f>
        <v>Зомби-фермер</v>
      </c>
      <c r="H171" s="12" t="s">
        <v>177</v>
      </c>
    </row>
    <row r="172">
      <c r="A172" s="3" t="str">
        <f>IFERROR(__xludf.DUMMYFUNCTION("REGEXEXTRACT(H172, ""s*(.*?)\s*а\)"")"),"Кто это?")</f>
        <v>Кто это?</v>
      </c>
      <c r="B172" s="10">
        <v>2.0</v>
      </c>
      <c r="D172" s="3" t="str">
        <f>IFERROR(__xludf.DUMMYFUNCTION("REGEXREPLACE(REGEXEXTRACT(H172, ""а\)\s*(.*?)\s*б\)""), ""^\s*"", """")"),"Утопленник")</f>
        <v>Утопленник</v>
      </c>
      <c r="E172" s="3" t="str">
        <f>IFERROR(__xludf.DUMMYFUNCTION("REGEXREPLACE(REGEXEXTRACT(H172, ""б\)\s*(.*?)\s*в\)""), ""^\s*"", """")"),"Водный зомби")</f>
        <v>Водный зомби</v>
      </c>
      <c r="F172" s="3" t="str">
        <f>IFERROR(__xludf.DUMMYFUNCTION("REGEXREPLACE(REGEXEXTRACT(H172, ""в\)\s*(.*?)\s*г\)""), ""^\s*"", """")"),"Морской мертвец")</f>
        <v>Морской мертвец</v>
      </c>
      <c r="G172" s="3" t="str">
        <f>IFERROR(__xludf.DUMMYFUNCTION("REGEXREPLACE(REGEXEXTRACT(H172, ""г\)\s*(.*)""), ""^\s*"", """")"),"Затонувший")</f>
        <v>Затонувший</v>
      </c>
      <c r="H172" s="12" t="s">
        <v>178</v>
      </c>
    </row>
    <row r="173">
      <c r="A173" s="3" t="str">
        <f>IFERROR(__xludf.DUMMYFUNCTION("REGEXEXTRACT(H173, ""s*(.*?)\s*а\)"")"),"Кто это?")</f>
        <v>Кто это?</v>
      </c>
      <c r="B173" s="10">
        <v>2.0</v>
      </c>
      <c r="D173" s="3" t="str">
        <f>IFERROR(__xludf.DUMMYFUNCTION("REGEXREPLACE(REGEXEXTRACT(H173, ""а\)\s*(.*?)\s*б\)""), ""^\s*"", """")"),"Фантом")</f>
        <v>Фантом</v>
      </c>
      <c r="E173" s="3" t="str">
        <f>IFERROR(__xludf.DUMMYFUNCTION("REGEXREPLACE(REGEXEXTRACT(H173, ""б\)\s*(.*?)\s*в\)""), ""^\s*"", """")"),"Ночной кошмар")</f>
        <v>Ночной кошмар</v>
      </c>
      <c r="F173" s="3" t="str">
        <f>IFERROR(__xludf.DUMMYFUNCTION("REGEXREPLACE(REGEXEXTRACT(H173, ""в\)\s*(.*?)\s*г\)""), ""^\s*"", """")"),"Летающий монстр")</f>
        <v>Летающий монстр</v>
      </c>
      <c r="G173" s="3" t="str">
        <f>IFERROR(__xludf.DUMMYFUNCTION("REGEXREPLACE(REGEXEXTRACT(H173, ""г\)\s*(.*)""), ""^\s*"", """")"),"Кожаный крылан")</f>
        <v>Кожаный крылан</v>
      </c>
      <c r="H173" s="12" t="s">
        <v>179</v>
      </c>
    </row>
    <row r="174">
      <c r="A174" s="3" t="str">
        <f>IFERROR(__xludf.DUMMYFUNCTION("REGEXEXTRACT(H174, ""s*(.*?)\s*а\)"")"),"Кто это?")</f>
        <v>Кто это?</v>
      </c>
      <c r="B174" s="10">
        <v>2.0</v>
      </c>
      <c r="D174" s="3" t="str">
        <f>IFERROR(__xludf.DUMMYFUNCTION("REGEXREPLACE(REGEXEXTRACT(H174, ""а\)\s*(.*?)\s*б\)""), ""^\s*"", """")"),"Досаждатель")</f>
        <v>Досаждатель</v>
      </c>
      <c r="E174" s="3" t="str">
        <f>IFERROR(__xludf.DUMMYFUNCTION("REGEXREPLACE(REGEXEXTRACT(H174, ""б\)\s*(.*?)\s*в\)""), ""^\s*"", """")"),"Вредный дух")</f>
        <v>Вредный дух</v>
      </c>
      <c r="F174" s="3" t="str">
        <f>IFERROR(__xludf.DUMMYFUNCTION("REGEXREPLACE(REGEXEXTRACT(H174, ""в\)\s*(.*?)\s*г\)""), ""^\s*"", """")"),"Летающий вредитель")</f>
        <v>Летающий вредитель</v>
      </c>
      <c r="G174" s="3" t="str">
        <f>IFERROR(__xludf.DUMMYFUNCTION("REGEXREPLACE(REGEXEXTRACT(H174, ""г\)\s*(.*)""), ""^\s*"", """")"),"Маленький злыдень")</f>
        <v>Маленький злыдень</v>
      </c>
      <c r="H174" s="12" t="s">
        <v>180</v>
      </c>
    </row>
    <row r="175">
      <c r="A175" s="3" t="str">
        <f>IFERROR(__xludf.DUMMYFUNCTION("REGEXEXTRACT(H175, ""s*(.*?)\s*а\)"")"),"Кто это?")</f>
        <v>Кто это?</v>
      </c>
      <c r="B175" s="10">
        <v>2.0</v>
      </c>
      <c r="D175" s="3" t="str">
        <f>IFERROR(__xludf.DUMMYFUNCTION("REGEXREPLACE(REGEXEXTRACT(H175, ""а\)\s*(.*?)\s*б\)""), ""^\s*"", """")"),"Поборник")</f>
        <v>Поборник</v>
      </c>
      <c r="E175" s="3" t="str">
        <f>IFERROR(__xludf.DUMMYFUNCTION("REGEXREPLACE(REGEXEXTRACT(H175, ""б\)\s*(.*?)\s*в\)""), ""^\s*"", """")"),"Разбойник с топором")</f>
        <v>Разбойник с топором</v>
      </c>
      <c r="F175" s="3" t="str">
        <f>IFERROR(__xludf.DUMMYFUNCTION("REGEXREPLACE(REGEXEXTRACT(H175, ""в\)\s*(.*?)\s*г\)""), ""^\s*"", """")"),"Лесной головорез")</f>
        <v>Лесной головорез</v>
      </c>
      <c r="G175" s="3" t="str">
        <f>IFERROR(__xludf.DUMMYFUNCTION("REGEXREPLACE(REGEXEXTRACT(H175, ""г\)\s*(.*)""), ""^\s*"", """")"),"Темный воин")</f>
        <v>Темный воин</v>
      </c>
      <c r="H175" s="12" t="s">
        <v>181</v>
      </c>
    </row>
    <row r="176">
      <c r="A176" s="3" t="str">
        <f>IFERROR(__xludf.DUMMYFUNCTION("REGEXEXTRACT(H176, ""s*(.*?)\s*а\)"")"),"Кто это?")</f>
        <v>Кто это?</v>
      </c>
      <c r="B176" s="10">
        <v>2.0</v>
      </c>
      <c r="D176" s="3" t="str">
        <f>IFERROR(__xludf.DUMMYFUNCTION("REGEXREPLACE(REGEXEXTRACT(H176, ""а\)\s*(.*?)\s*б\)""), ""^\s*"", """")"),"Вызыватель")</f>
        <v>Вызыватель</v>
      </c>
      <c r="E176" s="3" t="str">
        <f>IFERROR(__xludf.DUMMYFUNCTION("REGEXREPLACE(REGEXEXTRACT(H176, ""б\)\s*(.*?)\s*в\)""), ""^\s*"", """")"),"Заклинатель")</f>
        <v>Заклинатель</v>
      </c>
      <c r="F176" s="3" t="str">
        <f>IFERROR(__xludf.DUMMYFUNCTION("REGEXREPLACE(REGEXEXTRACT(H176, ""в\)\s*(.*?)\s*г\)""), ""^\s*"", """")"),"Маг-разбойник")</f>
        <v>Маг-разбойник</v>
      </c>
      <c r="G176" s="3" t="str">
        <f>IFERROR(__xludf.DUMMYFUNCTION("REGEXREPLACE(REGEXEXTRACT(H176, ""г\)\s*(.*)""), ""^\s*"", """")"),"Темный чародей")</f>
        <v>Темный чародей</v>
      </c>
      <c r="H176" s="12" t="s">
        <v>182</v>
      </c>
    </row>
    <row r="177">
      <c r="A177" s="3" t="str">
        <f>IFERROR(__xludf.DUMMYFUNCTION("REGEXEXTRACT(H177, ""s*(.*?)\s*а\)"")"),"Кто это?")</f>
        <v>Кто это?</v>
      </c>
      <c r="B177" s="10">
        <v>2.0</v>
      </c>
      <c r="D177" s="3" t="str">
        <f>IFERROR(__xludf.DUMMYFUNCTION("REGEXREPLACE(REGEXEXTRACT(H177, ""а\)\s*(.*?)\s*б\)""), ""^\s*"", """")"),"Разбойник")</f>
        <v>Разбойник</v>
      </c>
      <c r="E177" s="3" t="str">
        <f>IFERROR(__xludf.DUMMYFUNCTION("REGEXREPLACE(REGEXEXTRACT(H177, ""б\)\s*(.*?)\s*в\)""), ""^\s*"", """")"),"Грабитель")</f>
        <v>Грабитель</v>
      </c>
      <c r="F177" s="3" t="str">
        <f>IFERROR(__xludf.DUMMYFUNCTION("REGEXREPLACE(REGEXEXTRACT(H177, ""в\)\s*(.*?)\s*г\)""), ""^\s*"", """")"),"Деревенский головорез")</f>
        <v>Деревенский головорез</v>
      </c>
      <c r="G177" s="3" t="str">
        <f>IFERROR(__xludf.DUMMYFUNCTION("REGEXREPLACE(REGEXEXTRACT(H177, ""г\)\s*(.*)""), ""^\s*"", """")"),"Арбалетчик")</f>
        <v>Арбалетчик</v>
      </c>
      <c r="H177" s="12" t="s">
        <v>183</v>
      </c>
    </row>
    <row r="178">
      <c r="A178" s="3" t="str">
        <f>IFERROR(__xludf.DUMMYFUNCTION("REGEXEXTRACT(H178, ""s*(.*?)\s*а\)"")"),"Кто это?")</f>
        <v>Кто это?</v>
      </c>
      <c r="B178" s="10">
        <v>2.0</v>
      </c>
      <c r="D178" s="3" t="str">
        <f>IFERROR(__xludf.DUMMYFUNCTION("REGEXREPLACE(REGEXEXTRACT(H178, ""а\)\s*(.*?)\s*б\)""), ""^\s*"", """")"),"Разоритель")</f>
        <v>Разоритель</v>
      </c>
      <c r="E178" s="3" t="str">
        <f>IFERROR(__xludf.DUMMYFUNCTION("REGEXREPLACE(REGEXEXTRACT(H178, ""б\)\s*(.*?)\s*в\)""), ""^\s*"", """")"),"Зверь-крушитель")</f>
        <v>Зверь-крушитель</v>
      </c>
      <c r="F178" s="3" t="str">
        <f>IFERROR(__xludf.DUMMYFUNCTION("REGEXREPLACE(REGEXEXTRACT(H178, ""в\)\s*(.*?)\s*г\)""), ""^\s*"", """")"),"Голем-разрушитель")</f>
        <v>Голем-разрушитель</v>
      </c>
      <c r="G178" s="3" t="str">
        <f>IFERROR(__xludf.DUMMYFUNCTION("REGEXREPLACE(REGEXEXTRACT(H178, ""г\)\s*(.*)""), ""^\s*"", """")"),"Ездовой монстр разбойников")</f>
        <v>Ездовой монстр разбойников</v>
      </c>
      <c r="H178" s="12" t="s">
        <v>184</v>
      </c>
    </row>
    <row r="179">
      <c r="A179" s="3" t="str">
        <f>IFERROR(__xludf.DUMMYFUNCTION("REGEXEXTRACT(H179, ""s*(.*?)\s*а\)"")"),"Кто это?")</f>
        <v>Кто это?</v>
      </c>
      <c r="B179" s="10">
        <v>2.0</v>
      </c>
      <c r="D179" s="3" t="str">
        <f>IFERROR(__xludf.DUMMYFUNCTION("REGEXREPLACE(REGEXEXTRACT(H179, ""а\)\s*(.*?)\s*б\)""), ""^\s*"", """")"),"Пиглин")</f>
        <v>Пиглин</v>
      </c>
      <c r="E179" s="3" t="str">
        <f>IFERROR(__xludf.DUMMYFUNCTION("REGEXREPLACE(REGEXEXTRACT(H179, ""б\)\s*(.*?)\s*в\)""), ""^\s*"", """")"),"Свин-бандит")</f>
        <v>Свин-бандит</v>
      </c>
      <c r="F179" s="3" t="str">
        <f>IFERROR(__xludf.DUMMYFUNCTION("REGEXREPLACE(REGEXEXTRACT(H179, ""в\)\s*(.*?)\s*г\)""), ""^\s*"", """")"),"Житель ада")</f>
        <v>Житель ада</v>
      </c>
      <c r="G179" s="3" t="str">
        <f>IFERROR(__xludf.DUMMYFUNCTION("REGEXREPLACE(REGEXEXTRACT(H179, ""г\)\s*(.*)""), ""^\s*"", """")"),"Золотой любитель")</f>
        <v>Золотой любитель</v>
      </c>
      <c r="H179" s="12" t="s">
        <v>185</v>
      </c>
    </row>
    <row r="180">
      <c r="A180" s="3" t="str">
        <f>IFERROR(__xludf.DUMMYFUNCTION("REGEXEXTRACT(H180, ""s*(.*?)\s*а\)"")"),"Кто это?")</f>
        <v>Кто это?</v>
      </c>
      <c r="B180" s="10">
        <v>2.0</v>
      </c>
      <c r="D180" s="3" t="str">
        <f>IFERROR(__xludf.DUMMYFUNCTION("REGEXREPLACE(REGEXEXTRACT(H180, ""а\)\s*(.*?)\s*б\)""), ""^\s*"", """")"),"Хоблин")</f>
        <v>Хоблин</v>
      </c>
      <c r="E180" s="3" t="str">
        <f>IFERROR(__xludf.DUMMYFUNCTION("REGEXREPLACE(REGEXEXTRACT(H180, ""б\)\s*(.*?)\s*в\)""), ""^\s*"", """")"),"Адский гоблин")</f>
        <v>Адский гоблин</v>
      </c>
      <c r="F180" s="3" t="str">
        <f>IFERROR(__xludf.DUMMYFUNCTION("REGEXREPLACE(REGEXEXTRACT(H180, ""в\)\s*(.*?)\s*г\)""), ""^\s*"", """")"),"Маленький бандит")</f>
        <v>Маленький бандит</v>
      </c>
      <c r="G180" s="3" t="str">
        <f>IFERROR(__xludf.DUMMYFUNCTION("REGEXREPLACE(REGEXEXTRACT(H180, ""г\)\s*(.*)""), ""^\s*"", """")"),"Обитатель недр")</f>
        <v>Обитатель недр</v>
      </c>
      <c r="H180" s="12" t="s">
        <v>186</v>
      </c>
    </row>
    <row r="181">
      <c r="A181" s="3" t="str">
        <f>IFERROR(__xludf.DUMMYFUNCTION("REGEXEXTRACT(H181, ""s*(.*?)\s*а\)"")"),"Кто это?")</f>
        <v>Кто это?</v>
      </c>
      <c r="B181" s="10">
        <v>2.0</v>
      </c>
      <c r="D181" s="3" t="str">
        <f>IFERROR(__xludf.DUMMYFUNCTION("REGEXREPLACE(REGEXEXTRACT(H181, ""а\)\s*(.*?)\s*б\)""), ""^\s*"", """")"),"Варден")</f>
        <v>Варден</v>
      </c>
      <c r="E181" s="3" t="str">
        <f>IFERROR(__xludf.DUMMYFUNCTION("REGEXREPLACE(REGEXEXTRACT(H181, ""б\)\s*(.*?)\s*в\)""), ""^\s*"", """")"),"Глубинный страж")</f>
        <v>Глубинный страж</v>
      </c>
      <c r="F181" s="3" t="str">
        <f>IFERROR(__xludf.DUMMYFUNCTION("REGEXREPLACE(REGEXEXTRACT(H181, ""в\)\s*(.*?)\s*г\)""), ""^\s*"", """")"),"Тюремщик")</f>
        <v>Тюремщик</v>
      </c>
      <c r="G181" s="3" t="str">
        <f>IFERROR(__xludf.DUMMYFUNCTION("REGEXREPLACE(REGEXEXTRACT(H181, ""г\)\s*(.*)""), ""^\s*"", """")"),"Слепой ужас")</f>
        <v>Слепой ужас</v>
      </c>
      <c r="H181" s="12" t="s">
        <v>187</v>
      </c>
    </row>
    <row r="182">
      <c r="A182" s="3" t="str">
        <f>IFERROR(__xludf.DUMMYFUNCTION("REGEXEXTRACT(H182, ""s*(.*?)\s*а\)"")"),"Кто это?")</f>
        <v>Кто это?</v>
      </c>
      <c r="B182" s="10">
        <v>2.0</v>
      </c>
      <c r="D182" s="3" t="str">
        <f>IFERROR(__xludf.DUMMYFUNCTION("REGEXREPLACE(REGEXEXTRACT(H182, ""а\)\s*(.*?)\s*б\)""), ""^\s*"", """")"),"Шалкер")</f>
        <v>Шалкер</v>
      </c>
      <c r="E182" s="3" t="str">
        <f>IFERROR(__xludf.DUMMYFUNCTION("REGEXREPLACE(REGEXEXTRACT(H182, ""б\)\s*(.*?)\s*в\)""), ""^\s*"", """")"),"Парящая коробка")</f>
        <v>Парящая коробка</v>
      </c>
      <c r="F182" s="3" t="str">
        <f>IFERROR(__xludf.DUMMYFUNCTION("REGEXREPLACE(REGEXEXTRACT(H182, ""в\)\s*(.*?)\s*г\)""), ""^\s*"", """")"),"Засадный куб")</f>
        <v>Засадный куб</v>
      </c>
      <c r="G182" s="3" t="str">
        <f>IFERROR(__xludf.DUMMYFUNCTION("REGEXREPLACE(REGEXEXTRACT(H182, ""г\)\s*(.*)""), ""^\s*"", """")"),"Фиолетовый вредитель")</f>
        <v>Фиолетовый вредитель</v>
      </c>
      <c r="H182" s="12" t="s">
        <v>188</v>
      </c>
    </row>
    <row r="183">
      <c r="A183" s="3" t="str">
        <f>IFERROR(__xludf.DUMMYFUNCTION("REGEXEXTRACT(H183, ""s*(.*?)\s*а\)"")"),"Кто это?")</f>
        <v>Кто это?</v>
      </c>
      <c r="B183" s="10">
        <v>2.0</v>
      </c>
      <c r="D183" s="3" t="str">
        <f>IFERROR(__xludf.DUMMYFUNCTION("REGEXREPLACE(REGEXEXTRACT(H183, ""а\)\s*(.*?)\s*б\)""), ""^\s*"", """")"),"Древний страж")</f>
        <v>Древний страж</v>
      </c>
      <c r="E183" s="3" t="str">
        <f>IFERROR(__xludf.DUMMYFUNCTION("REGEXREPLACE(REGEXEXTRACT(H183, ""б\)\s*(.*?)\s*в\)""), ""^\s*"", """")"),"Затопленный робот")</f>
        <v>Затопленный робот</v>
      </c>
      <c r="F183" s="3" t="str">
        <f>IFERROR(__xludf.DUMMYFUNCTION("REGEXREPLACE(REGEXEXTRACT(H183, ""в\)\s*(.*?)\s*г\)""), ""^\s*"", """")"),"Охраник храма")</f>
        <v>Охраник храма</v>
      </c>
      <c r="G183" s="3" t="str">
        <f>IFERROR(__xludf.DUMMYFUNCTION("REGEXREPLACE(REGEXEXTRACT(H183, ""г\)\s*(.*)""), ""^\s*"", """")"),"Подводный босс")</f>
        <v>Подводный босс</v>
      </c>
      <c r="H183" s="12" t="s">
        <v>189</v>
      </c>
    </row>
    <row r="184">
      <c r="A184" s="3" t="str">
        <f>IFERROR(__xludf.DUMMYFUNCTION("REGEXEXTRACT(H184, ""s*(.*?)\s*а\)"")"),"Кто это?")</f>
        <v>Кто это?</v>
      </c>
      <c r="B184" s="10">
        <v>2.0</v>
      </c>
      <c r="D184" s="3" t="str">
        <f>IFERROR(__xludf.DUMMYFUNCTION("REGEXREPLACE(REGEXEXTRACT(H184, ""а\)\s*(.*?)\s*б\)""), ""^\s*"", """")"),"Иссушитель")</f>
        <v>Иссушитель</v>
      </c>
      <c r="E184" s="3" t="str">
        <f>IFERROR(__xludf.DUMMYFUNCTION("REGEXREPLACE(REGEXEXTRACT(H184, ""б\)\s*(.*?)\s*в\)""), ""^\s*"", """")"),"Трехголовый скелет")</f>
        <v>Трехголовый скелет</v>
      </c>
      <c r="F184" s="3" t="str">
        <f>IFERROR(__xludf.DUMMYFUNCTION("REGEXREPLACE(REGEXEXTRACT(H184, ""в\)\s*(.*?)\s*г\)""), ""^\s*"", """")"),"Костяной демон")</f>
        <v>Костяной демон</v>
      </c>
      <c r="G184" s="3" t="str">
        <f>IFERROR(__xludf.DUMMYFUNCTION("REGEXREPLACE(REGEXEXTRACT(H184, ""г\)\s*(.*)""), ""^\s*"", """")"),"Владыка смерти")</f>
        <v>Владыка смерти</v>
      </c>
      <c r="H184" s="12" t="s">
        <v>190</v>
      </c>
    </row>
    <row r="185">
      <c r="A185" s="3" t="str">
        <f>IFERROR(__xludf.DUMMYFUNCTION("REGEXEXTRACT(H185, ""s*(.*?)\s*а\)"")"),"Кто это?")</f>
        <v>Кто это?</v>
      </c>
      <c r="B185" s="10">
        <v>2.0</v>
      </c>
      <c r="D185" s="3" t="str">
        <f>IFERROR(__xludf.DUMMYFUNCTION("REGEXREPLACE(REGEXEXTRACT(H185, ""а\)\s*(.*?)\s*б\)""), ""^\s*"", """")"),"Эндер-дракон")</f>
        <v>Эндер-дракон</v>
      </c>
      <c r="E185" s="3" t="str">
        <f>IFERROR(__xludf.DUMMYFUNCTION("REGEXREPLACE(REGEXEXTRACT(H185, ""б\)\s*(.*?)\s*в\)""), ""^\s*"", """")"),"Краевой дракон")</f>
        <v>Краевой дракон</v>
      </c>
      <c r="F185" s="3" t="str">
        <f>IFERROR(__xludf.DUMMYFUNCTION("REGEXREPLACE(REGEXEXTRACT(H185, ""в\)\s*(.*?)\s*г\)""), ""^\s*"", """")"),"Финальный босс")</f>
        <v>Финальный босс</v>
      </c>
      <c r="G185" s="3" t="str">
        <f>IFERROR(__xludf.DUMMYFUNCTION("REGEXREPLACE(REGEXEXTRACT(H185, ""г\)\s*(.*)""), ""^\s*"", """")"),"Летающий ящер")</f>
        <v>Летающий ящер</v>
      </c>
      <c r="H185" s="12" t="s">
        <v>191</v>
      </c>
    </row>
    <row r="186" ht="45.0" customHeight="1">
      <c r="A186" s="3" t="str">
        <f>IFERROR(__xludf.DUMMYFUNCTION("REGEXEXTRACT(H186, ""s*(.*?)\s*а\)"")"),"Выберите в порядке увеличения количества сердец у мобов:")</f>
        <v>Выберите в порядке увеличения количества сердец у мобов:</v>
      </c>
      <c r="B186" s="10">
        <v>3.0</v>
      </c>
      <c r="D186" s="3" t="str">
        <f>IFERROR(__xludf.DUMMYFUNCTION("REGEXREPLACE(REGEXEXTRACT(H186, ""а\)\s*(.*?)\s*б\)""), ""^\s*"", """")"),"Курица")</f>
        <v>Курица</v>
      </c>
      <c r="E186" s="3" t="str">
        <f>IFERROR(__xludf.DUMMYFUNCTION("REGEXREPLACE(REGEXEXTRACT(H186, ""б\)\s*(.*?)\s*в\)""), ""^\s*"", """")"),"Свинья")</f>
        <v>Свинья</v>
      </c>
      <c r="F186" s="3" t="str">
        <f>IFERROR(__xludf.DUMMYFUNCTION("REGEXREPLACE(REGEXEXTRACT(H186, ""в\)\s*(.*?)\s*г\)""), ""^\s*"", """")"),"Железный голем")</f>
        <v>Железный голем</v>
      </c>
      <c r="G186" s="3" t="str">
        <f>IFERROR(__xludf.DUMMYFUNCTION("REGEXREPLACE(REGEXEXTRACT(H186, ""г\)\s*(.*)""), ""^\s*"", """")"),"Иссушитель")</f>
        <v>Иссушитель</v>
      </c>
      <c r="H186" s="9" t="s">
        <v>192</v>
      </c>
    </row>
    <row r="187" ht="45.0" customHeight="1">
      <c r="A187" s="3" t="str">
        <f>IFERROR(__xludf.DUMMYFUNCTION("REGEXEXTRACT(H187, ""s*(.*?)\s*а\)"")"),"Выберите в порядке увеличения прочности инструментов:")</f>
        <v>Выберите в порядке увеличения прочности инструментов:</v>
      </c>
      <c r="B187" s="10">
        <v>3.0</v>
      </c>
      <c r="D187" s="3" t="str">
        <f>IFERROR(__xludf.DUMMYFUNCTION("REGEXREPLACE(REGEXEXTRACT(H187, ""а\)\s*(.*?)\s*б\)""), ""^\s*"", """")"),"Золотая кирка")</f>
        <v>Золотая кирка</v>
      </c>
      <c r="E187" s="3" t="str">
        <f>IFERROR(__xludf.DUMMYFUNCTION("REGEXREPLACE(REGEXEXTRACT(H187, ""б\)\s*(.*?)\s*в\)""), ""^\s*"", """")"),"Деревянная лопата")</f>
        <v>Деревянная лопата</v>
      </c>
      <c r="F187" s="3" t="str">
        <f>IFERROR(__xludf.DUMMYFUNCTION("REGEXREPLACE(REGEXEXTRACT(H187, ""в\)\s*(.*?)\s*г\)""), ""^\s*"", """")"),"Каменная мотыга")</f>
        <v>Каменная мотыга</v>
      </c>
      <c r="G187" s="3" t="str">
        <f>IFERROR(__xludf.DUMMYFUNCTION("REGEXREPLACE(REGEXEXTRACT(H187, ""г\)\s*(.*)""), ""^\s*"", """")"),"Железный топор")</f>
        <v>Железный топор</v>
      </c>
      <c r="H187" s="8" t="s">
        <v>193</v>
      </c>
    </row>
    <row r="188" ht="45.0" customHeight="1">
      <c r="A188" s="3" t="str">
        <f>IFERROR(__xludf.DUMMYFUNCTION("REGEXEXTRACT(H188, ""s*(.*?)\s*а\)"")"),"Выберите в порядке увеличения времени роста растений:")</f>
        <v>Выберите в порядке увеличения времени роста растений:</v>
      </c>
      <c r="B188" s="10">
        <v>3.0</v>
      </c>
      <c r="D188" s="3" t="str">
        <f>IFERROR(__xludf.DUMMYFUNCTION("REGEXREPLACE(REGEXEXTRACT(H188, ""а\)\s*(.*?)\s*б\)""), ""^\s*"", """")"),"Пшеница")</f>
        <v>Пшеница</v>
      </c>
      <c r="E188" s="3" t="str">
        <f>IFERROR(__xludf.DUMMYFUNCTION("REGEXREPLACE(REGEXEXTRACT(H188, ""б\)\s*(.*?)\s*в\)""), ""^\s*"", """")"),"Морковь")</f>
        <v>Морковь</v>
      </c>
      <c r="F188" s="3" t="str">
        <f>IFERROR(__xludf.DUMMYFUNCTION("REGEXREPLACE(REGEXEXTRACT(H188, ""в\)\s*(.*?)\s*г\)""), ""^\s*"", """")"),"Картофель")</f>
        <v>Картофель</v>
      </c>
      <c r="G188" s="3" t="str">
        <f>IFERROR(__xludf.DUMMYFUNCTION("REGEXREPLACE(REGEXEXTRACT(H188, ""г\)\s*(.*)""), ""^\s*"", """")"),"Свекла")</f>
        <v>Свекла</v>
      </c>
      <c r="H188" s="8" t="s">
        <v>194</v>
      </c>
    </row>
    <row r="189" ht="45.0" customHeight="1">
      <c r="A189" s="3" t="str">
        <f>IFERROR(__xludf.DUMMYFUNCTION("REGEXEXTRACT(H189, ""s*(.*?)\s*а\)"")"),"Выберите в порядке увеличения количества добываемого опыта при убийстве моба:")</f>
        <v>Выберите в порядке увеличения количества добываемого опыта при убийстве моба:</v>
      </c>
      <c r="B189" s="10">
        <v>3.0</v>
      </c>
      <c r="D189" s="3" t="str">
        <f>IFERROR(__xludf.DUMMYFUNCTION("REGEXREPLACE(REGEXEXTRACT(H189, ""а\)\s*(.*?)\s*б\)""), ""^\s*"", """")"),"Курица")</f>
        <v>Курица</v>
      </c>
      <c r="E189" s="3" t="str">
        <f>IFERROR(__xludf.DUMMYFUNCTION("REGEXREPLACE(REGEXEXTRACT(H189, ""б\)\s*(.*?)\s*в\)""), ""^\s*"", """")"),"Зомби")</f>
        <v>Зомби</v>
      </c>
      <c r="F189" s="3" t="str">
        <f>IFERROR(__xludf.DUMMYFUNCTION("REGEXREPLACE(REGEXEXTRACT(H189, ""в\)\s*(.*?)\s*г\)""), ""^\s*"", """")"),"Скелет")</f>
        <v>Скелет</v>
      </c>
      <c r="G189" s="3" t="str">
        <f>IFERROR(__xludf.DUMMYFUNCTION("REGEXREPLACE(REGEXEXTRACT(H189, ""г\)\s*(.*)""), ""^\s*"", """")"),"Эндермен")</f>
        <v>Эндермен</v>
      </c>
      <c r="H189" s="8" t="s">
        <v>195</v>
      </c>
    </row>
    <row r="190" ht="45.0" customHeight="1">
      <c r="A190" s="3" t="str">
        <f>IFERROR(__xludf.DUMMYFUNCTION("REGEXEXTRACT(H190, ""s*(.*?)\s*а\)"")"),"Выберите в порядке увеличения высоты прыжка:")</f>
        <v>Выберите в порядке увеличения высоты прыжка:</v>
      </c>
      <c r="B190" s="10">
        <v>3.0</v>
      </c>
      <c r="D190" s="3" t="str">
        <f>IFERROR(__xludf.DUMMYFUNCTION("REGEXREPLACE(REGEXEXTRACT(H190, ""а\)\s*(.*?)\s*б\)""), ""^\s*"", """")"),"Лягушка")</f>
        <v>Лягушка</v>
      </c>
      <c r="E190" s="3" t="str">
        <f>IFERROR(__xludf.DUMMYFUNCTION("REGEXREPLACE(REGEXEXTRACT(H190, ""б\)\s*(.*?)\s*в\)""), ""^\s*"", """")"),"Кролик")</f>
        <v>Кролик</v>
      </c>
      <c r="F190" s="3" t="str">
        <f>IFERROR(__xludf.DUMMYFUNCTION("REGEXREPLACE(REGEXEXTRACT(H190, ""в\)\s*(.*?)\s*г\)""), ""^\s*"", """")"),"Лошадь")</f>
        <v>Лошадь</v>
      </c>
      <c r="G190" s="3" t="str">
        <f>IFERROR(__xludf.DUMMYFUNCTION("REGEXREPLACE(REGEXEXTRACT(H190, ""г\)\s*(.*)""), ""^\s*"", """")"),"Игрок с зельем прыгучести II")</f>
        <v>Игрок с зельем прыгучести II</v>
      </c>
      <c r="H190" s="8" t="s">
        <v>196</v>
      </c>
    </row>
    <row r="191" ht="45.0" customHeight="1">
      <c r="A191" s="3" t="str">
        <f>IFERROR(__xludf.DUMMYFUNCTION("REGEXEXTRACT(H191, ""s*(.*?)\s*а\)"")"),"Выберите в порядке увеличения прочности брони:")</f>
        <v>Выберите в порядке увеличения прочности брони:</v>
      </c>
      <c r="B191" s="10">
        <v>3.0</v>
      </c>
      <c r="D191" s="3" t="str">
        <f>IFERROR(__xludf.DUMMYFUNCTION("REGEXREPLACE(REGEXEXTRACT(H191, ""а\)\s*(.*?)\s*б\)""), ""^\s*"", """")"),"Кожаный шлем")</f>
        <v>Кожаный шлем</v>
      </c>
      <c r="E191" s="3" t="str">
        <f>IFERROR(__xludf.DUMMYFUNCTION("REGEXREPLACE(REGEXEXTRACT(H191, ""б\)\s*(.*?)\s*в\)""), ""^\s*"", """")"),"Золотой нагрудник")</f>
        <v>Золотой нагрудник</v>
      </c>
      <c r="F191" s="3" t="str">
        <f>IFERROR(__xludf.DUMMYFUNCTION("REGEXREPLACE(REGEXEXTRACT(H191, ""в\)\s*(.*?)\s*г\)""), ""^\s*"", """")"),"Железные поножи")</f>
        <v>Железные поножи</v>
      </c>
      <c r="G191" s="3" t="str">
        <f>IFERROR(__xludf.DUMMYFUNCTION("REGEXREPLACE(REGEXEXTRACT(H191, ""г\)\s*(.*)""), ""^\s*"", """")"),"Алмазные ботинки")</f>
        <v>Алмазные ботинки</v>
      </c>
      <c r="H191" s="8" t="s">
        <v>197</v>
      </c>
    </row>
    <row r="192" ht="45.0" customHeight="1">
      <c r="A192" s="3" t="str">
        <f>IFERROR(__xludf.DUMMYFUNCTION("REGEXEXTRACT(H192, ""s*(.*?)\s*а\)"")"),"Выберите в порядке увеличения скорости передвижения по воде:")</f>
        <v>Выберите в порядке увеличения скорости передвижения по воде:</v>
      </c>
      <c r="B192" s="10">
        <v>3.0</v>
      </c>
      <c r="D192" s="3" t="str">
        <f>IFERROR(__xludf.DUMMYFUNCTION("REGEXREPLACE(REGEXEXTRACT(H192, ""а\)\s*(.*?)\s*б\)""), ""^\s*"", """")"),"Игрок")</f>
        <v>Игрок</v>
      </c>
      <c r="E192" s="3" t="str">
        <f>IFERROR(__xludf.DUMMYFUNCTION("REGEXREPLACE(REGEXEXTRACT(H192, ""б\)\s*(.*?)\s*в\)""), ""^\s*"", """")"),"Лодка")</f>
        <v>Лодка</v>
      </c>
      <c r="F192" s="3" t="str">
        <f>IFERROR(__xludf.DUMMYFUNCTION("REGEXREPLACE(REGEXEXTRACT(H192, ""в\)\s*(.*?)\s*г\)""), ""^\s*"", """")"),"Дельфин")</f>
        <v>Дельфин</v>
      </c>
      <c r="G192" s="3" t="str">
        <f>IFERROR(__xludf.DUMMYFUNCTION("REGEXREPLACE(REGEXEXTRACT(H192, ""г\)\s*(.*)""), ""^\s*"", """")"),"Игрок с зачарованными ботинками на “Ледоход”")</f>
        <v>Игрок с зачарованными ботинками на “Ледоход”</v>
      </c>
      <c r="H192" s="8" t="s">
        <v>198</v>
      </c>
    </row>
    <row r="193" ht="45.0" customHeight="1">
      <c r="A193" s="3" t="str">
        <f>IFERROR(__xludf.DUMMYFUNCTION("REGEXEXTRACT(H193, ""s*(.*?)\s*а\)"")"),"Выберите в порядке уменьшенья количества блоков, разрушаемых динамитом:")</f>
        <v>Выберите в порядке уменьшенья количества блоков, разрушаемых динамитом:</v>
      </c>
      <c r="B193" s="10">
        <v>3.0</v>
      </c>
      <c r="D193" s="3" t="str">
        <f>IFERROR(__xludf.DUMMYFUNCTION("REGEXREPLACE(REGEXEXTRACT(H193, ""а\)\s*(.*?)\s*б\)""), ""^\s*"", """")"),"Земля")</f>
        <v>Земля</v>
      </c>
      <c r="E193" s="3" t="str">
        <f>IFERROR(__xludf.DUMMYFUNCTION("REGEXREPLACE(REGEXEXTRACT(H193, ""б\)\s*(.*?)\s*в\)""), ""^\s*"", """")"),"Камень")</f>
        <v>Камень</v>
      </c>
      <c r="F193" s="3" t="str">
        <f>IFERROR(__xludf.DUMMYFUNCTION("REGEXREPLACE(REGEXEXTRACT(H193, ""в\)\s*(.*?)\s*г\)""), ""^\s*"", """")"),"Обсидиан")</f>
        <v>Обсидиан</v>
      </c>
      <c r="G193" s="3" t="str">
        <f>IFERROR(__xludf.DUMMYFUNCTION("REGEXREPLACE(REGEXEXTRACT(H193, ""г\)\s*(.*)""), ""^\s*"", """")"),"Коренная порода")</f>
        <v>Коренная порода</v>
      </c>
      <c r="H193" s="9" t="s">
        <v>199</v>
      </c>
    </row>
    <row r="194" ht="45.0" customHeight="1">
      <c r="A194" s="3" t="str">
        <f>IFERROR(__xludf.DUMMYFUNCTION("REGEXEXTRACT(H194, ""s*(.*?)\s*а\)"")"),"Выберите в порядке увеличения силы взрыва:")</f>
        <v>Выберите в порядке увеличения силы взрыва:</v>
      </c>
      <c r="B194" s="10">
        <v>3.0</v>
      </c>
      <c r="D194" s="3" t="str">
        <f>IFERROR(__xludf.DUMMYFUNCTION("REGEXREPLACE(REGEXEXTRACT(H194, ""а\)\s*(.*?)\s*б\)""), ""^\s*"", """")"),"Крипер")</f>
        <v>Крипер</v>
      </c>
      <c r="E194" s="3" t="str">
        <f>IFERROR(__xludf.DUMMYFUNCTION("REGEXREPLACE(REGEXEXTRACT(H194, ""б\)\s*(.*?)\s*в\)""), ""^\s*"", """")"),"Заряженный крипер")</f>
        <v>Заряженный крипер</v>
      </c>
      <c r="F194" s="3" t="str">
        <f>IFERROR(__xludf.DUMMYFUNCTION("REGEXREPLACE(REGEXEXTRACT(H194, ""в\)\s*(.*?)\s*г\)""), ""^\s*"", """")"),"Кровать в Нижнем мире")</f>
        <v>Кровать в Нижнем мире</v>
      </c>
      <c r="G194" s="3" t="str">
        <f>IFERROR(__xludf.DUMMYFUNCTION("REGEXREPLACE(REGEXEXTRACT(H194, ""г\)\s*(.*)""), ""^\s*"", """")"),"Спавн Исушителя")</f>
        <v>Спавн Исушителя</v>
      </c>
      <c r="H194" s="9" t="s">
        <v>200</v>
      </c>
    </row>
    <row r="195" ht="45.0" customHeight="1">
      <c r="A195" s="3" t="str">
        <f>IFERROR(__xludf.DUMMYFUNCTION("REGEXEXTRACT(H195, ""s*(.*?)\s*а\)"")"),"Выберите в порядке увеличения уровня освещенности:")</f>
        <v>Выберите в порядке увеличения уровня освещенности:</v>
      </c>
      <c r="B195" s="10">
        <v>3.0</v>
      </c>
      <c r="D195" s="3" t="str">
        <f>IFERROR(__xludf.DUMMYFUNCTION("REGEXREPLACE(REGEXEXTRACT(H195, ""а\)\s*(.*?)\s*б\)""), ""^\s*"", """")"),"Земля")</f>
        <v>Земля</v>
      </c>
      <c r="E195" s="3" t="str">
        <f>IFERROR(__xludf.DUMMYFUNCTION("REGEXREPLACE(REGEXEXTRACT(H195, ""б\)\s*(.*?)\s*в\)""), ""^\s*"", """")"),"Факел")</f>
        <v>Факел</v>
      </c>
      <c r="F195" s="3" t="str">
        <f>IFERROR(__xludf.DUMMYFUNCTION("REGEXREPLACE(REGEXEXTRACT(H195, ""в\)\s*(.*?)\s*г\)""), ""^\s*"", """")"),"Лампа из редстоуна")</f>
        <v>Лампа из редстоуна</v>
      </c>
      <c r="G195" s="3" t="str">
        <f>IFERROR(__xludf.DUMMYFUNCTION("REGEXREPLACE(REGEXEXTRACT(H195, ""г\)\s*(.*)""), ""^\s*"", """")"),"Маяк")</f>
        <v>Маяк</v>
      </c>
      <c r="H195" s="8" t="s">
        <v>201</v>
      </c>
    </row>
    <row r="196" ht="45.0" customHeight="1">
      <c r="A196" s="3" t="str">
        <f>IFERROR(__xludf.DUMMYFUNCTION("REGEXEXTRACT(H196, ""s*(.*?)\s*а\)"")"),"Выберите в порядке увеличения дальности слышимости Вардена:")</f>
        <v>Выберите в порядке увеличения дальности слышимости Вардена:</v>
      </c>
      <c r="B196" s="10">
        <v>3.0</v>
      </c>
      <c r="D196" s="3" t="str">
        <f>IFERROR(__xludf.DUMMYFUNCTION("REGEXREPLACE(REGEXEXTRACT(H196, ""а\)\s*(.*?)\s*б\)""), ""^\s*"", """")"),"Шаг")</f>
        <v>Шаг</v>
      </c>
      <c r="E196" s="3" t="str">
        <f>IFERROR(__xludf.DUMMYFUNCTION("REGEXREPLACE(REGEXEXTRACT(H196, ""б\)\s*(.*?)\s*в\)""), ""^\s*"", """")"),"Бросок снежка")</f>
        <v>Бросок снежка</v>
      </c>
      <c r="F196" s="3" t="str">
        <f>IFERROR(__xludf.DUMMYFUNCTION("REGEXREPLACE(REGEXEXTRACT(H196, ""в\)\s*(.*?)\s*г\)""), ""^\s*"", """")"),"Открытие сундука")</f>
        <v>Открытие сундука</v>
      </c>
      <c r="G196" s="3" t="str">
        <f>IFERROR(__xludf.DUMMYFUNCTION("REGEXREPLACE(REGEXEXTRACT(H196, ""г\)\s*(.*)""), ""^\s*"", """")"),"Падение на землю")</f>
        <v>Падение на землю</v>
      </c>
      <c r="H196" s="8" t="s">
        <v>202</v>
      </c>
    </row>
    <row r="197" ht="45.0" customHeight="1">
      <c r="A197" s="3" t="str">
        <f>IFERROR(__xludf.DUMMYFUNCTION("REGEXEXTRACT(H197, ""s*(.*?)\s*а\)"")"),"Выберите в порядке увеличения сопротивляемости к взрыву:")</f>
        <v>Выберите в порядке увеличения сопротивляемости к взрыву:</v>
      </c>
      <c r="B197" s="10">
        <v>3.0</v>
      </c>
      <c r="D197" s="3" t="str">
        <f>IFERROR(__xludf.DUMMYFUNCTION("REGEXREPLACE(REGEXEXTRACT(H197, ""а\)\s*(.*?)\s*б\)""), ""^\s*"", """")"),"Стекло")</f>
        <v>Стекло</v>
      </c>
      <c r="E197" s="3" t="str">
        <f>IFERROR(__xludf.DUMMYFUNCTION("REGEXREPLACE(REGEXEXTRACT(H197, ""б\)\s*(.*?)\s*в\)""), ""^\s*"", """")"),"Камень")</f>
        <v>Камень</v>
      </c>
      <c r="F197" s="3" t="str">
        <f>IFERROR(__xludf.DUMMYFUNCTION("REGEXREPLACE(REGEXEXTRACT(H197, ""в\)\s*(.*?)\s*г\)""), ""^\s*"", """")"),"Обсидиан")</f>
        <v>Обсидиан</v>
      </c>
      <c r="G197" s="3" t="str">
        <f>IFERROR(__xludf.DUMMYFUNCTION("REGEXREPLACE(REGEXEXTRACT(H197, ""г\)\s*(.*)""), ""^\s*"", """")"),"Коренная порода")</f>
        <v>Коренная порода</v>
      </c>
      <c r="H197" s="8" t="s">
        <v>203</v>
      </c>
    </row>
    <row r="198" ht="45.0" customHeight="1">
      <c r="A198" s="3" t="str">
        <f>IFERROR(__xludf.DUMMYFUNCTION("REGEXEXTRACT(H198, ""s*(.*?)\s*а\)"")"),"Выберите в порядке увеличения голода, восстанавливаемого при поедании:")</f>
        <v>Выберите в порядке увеличения голода, восстанавливаемого при поедании:</v>
      </c>
      <c r="B198" s="10">
        <v>3.0</v>
      </c>
      <c r="D198" s="3" t="str">
        <f>IFERROR(__xludf.DUMMYFUNCTION("REGEXREPLACE(REGEXEXTRACT(H198, ""а\)\s*(.*?)\s*б\)""), ""^\s*"", """")"),"Яблоко")</f>
        <v>Яблоко</v>
      </c>
      <c r="E198" s="3" t="str">
        <f>IFERROR(__xludf.DUMMYFUNCTION("REGEXREPLACE(REGEXEXTRACT(H198, ""б\)\s*(.*?)\s*в\)""), ""^\s*"", """")"),"Хлеб")</f>
        <v>Хлеб</v>
      </c>
      <c r="F198" s="3" t="str">
        <f>IFERROR(__xludf.DUMMYFUNCTION("REGEXREPLACE(REGEXEXTRACT(H198, ""в\)\s*(.*?)\s*г\)""), ""^\s*"", """")"),"Стейк")</f>
        <v>Стейк</v>
      </c>
      <c r="G198" s="3" t="str">
        <f>IFERROR(__xludf.DUMMYFUNCTION("REGEXREPLACE(REGEXEXTRACT(H198, ""г\)\s*(.*)""), ""^\s*"", """")"),"Тушоный кролик")</f>
        <v>Тушоный кролик</v>
      </c>
      <c r="H198" s="9" t="s">
        <v>204</v>
      </c>
    </row>
    <row r="199" ht="45.0" customHeight="1">
      <c r="A199" s="3" t="str">
        <f>IFERROR(__xludf.DUMMYFUNCTION("REGEXEXTRACT(H199, ""s*(.*?)\s*а\)"")"),"Выберите в порядке увеличения насыщения, восстанавливаемого при поедании:")</f>
        <v>Выберите в порядке увеличения насыщения, восстанавливаемого при поедании:</v>
      </c>
      <c r="B199" s="10">
        <v>3.0</v>
      </c>
      <c r="D199" s="3" t="str">
        <f>IFERROR(__xludf.DUMMYFUNCTION("REGEXREPLACE(REGEXEXTRACT(H199, ""а\)\s*(.*?)\s*б\)""), ""^\s*"", """")"),"Сырая курица")</f>
        <v>Сырая курица</v>
      </c>
      <c r="E199" s="3" t="str">
        <f>IFERROR(__xludf.DUMMYFUNCTION("REGEXREPLACE(REGEXEXTRACT(H199, ""б\)\s*(.*?)\s*в\)""), ""^\s*"", """")"),"Печёная картошка")</f>
        <v>Печёная картошка</v>
      </c>
      <c r="F199" s="3" t="str">
        <f>IFERROR(__xludf.DUMMYFUNCTION("REGEXREPLACE(REGEXEXTRACT(H199, ""в\)\s*(.*?)\s*г\)""), ""^\s*"", """")"),"Стейк")</f>
        <v>Стейк</v>
      </c>
      <c r="G199" s="3" t="str">
        <f>IFERROR(__xludf.DUMMYFUNCTION("REGEXREPLACE(REGEXEXTRACT(H199, ""г\)\s*(.*)""), ""^\s*"", """")"),"Золотая морковь")</f>
        <v>Золотая морковь</v>
      </c>
      <c r="H199" s="9" t="s">
        <v>205</v>
      </c>
    </row>
    <row r="200" ht="45.0" customHeight="1">
      <c r="A200" s="3" t="str">
        <f>IFERROR(__xludf.DUMMYFUNCTION("REGEXEXTRACT(H200, ""s*(.*?)\s*а\)"")"),"Выберите в порядке увеличения времени, необходимого для выплавки одного предмета в плавильной печи:")</f>
        <v>Выберите в порядке увеличения времени, необходимого для выплавки одного предмета в плавильной печи:</v>
      </c>
      <c r="B200" s="10">
        <v>3.0</v>
      </c>
      <c r="D200" s="3" t="str">
        <f>IFERROR(__xludf.DUMMYFUNCTION("REGEXREPLACE(REGEXEXTRACT(H200, ""а\)\s*(.*?)\s*б\)""), ""^\s*"", """")"),"Табличка")</f>
        <v>Табличка</v>
      </c>
      <c r="E200" s="3" t="str">
        <f>IFERROR(__xludf.DUMMYFUNCTION("REGEXREPLACE(REGEXEXTRACT(H200, ""б\)\s*(.*?)\s*в\)""), ""^\s*"", """")"),"Уголь")</f>
        <v>Уголь</v>
      </c>
      <c r="F200" s="3" t="str">
        <f>IFERROR(__xludf.DUMMYFUNCTION("REGEXREPLACE(REGEXEXTRACT(H200, ""в\)\s*(.*?)\s*г\)""), ""^\s*"", """")"),"Блок сушоной ламинарии")</f>
        <v>Блок сушоной ламинарии</v>
      </c>
      <c r="G200" s="3" t="str">
        <f>IFERROR(__xludf.DUMMYFUNCTION("REGEXREPLACE(REGEXEXTRACT(H200, ""г\)\s*(.*)""), ""^\s*"", """")"),"Ведро лавы")</f>
        <v>Ведро лавы</v>
      </c>
      <c r="H200" s="9" t="s">
        <v>206</v>
      </c>
    </row>
    <row r="201" ht="45.0" customHeight="1">
      <c r="A201" s="3" t="str">
        <f>IFERROR(__xludf.DUMMYFUNCTION("REGEXEXTRACT(H201, ""s*(.*?)\s*а\)"")"),"Выберите в порядке увеличения частоты спавна моба:")</f>
        <v>Выберите в порядке увеличения частоты спавна моба:</v>
      </c>
      <c r="B201" s="10">
        <v>3.0</v>
      </c>
      <c r="D201" s="3" t="str">
        <f>IFERROR(__xludf.DUMMYFUNCTION("REGEXREPLACE(REGEXEXTRACT(H201, ""а\)\s*(.*?)\s*б\)""), ""^\s*"", """")"),"Курица")</f>
        <v>Курица</v>
      </c>
      <c r="E201" s="3" t="str">
        <f>IFERROR(__xludf.DUMMYFUNCTION("REGEXREPLACE(REGEXEXTRACT(H201, ""б\)\s*(.*?)\s*в\)""), ""^\s*"", """")"),"Зомби")</f>
        <v>Зомби</v>
      </c>
      <c r="F201" s="3" t="str">
        <f>IFERROR(__xludf.DUMMYFUNCTION("REGEXREPLACE(REGEXEXTRACT(H201, ""в\)\s*(.*?)\s*г\)""), ""^\s*"", """")"),"Эндермен")</f>
        <v>Эндермен</v>
      </c>
      <c r="G201" s="3" t="str">
        <f>IFERROR(__xludf.DUMMYFUNCTION("REGEXREPLACE(REGEXEXTRACT(H201, ""г\)\s*(.*)""), ""^\s*"", """")"),"Варден")</f>
        <v>Варден</v>
      </c>
      <c r="H201" s="9" t="s">
        <v>207</v>
      </c>
    </row>
    <row r="202" ht="45.0" customHeight="1">
      <c r="A202" s="3" t="str">
        <f>IFERROR(__xludf.DUMMYFUNCTION("REGEXEXTRACT(H202, ""s*(.*?)\s*а\)"")"),"Выберите в порядке увеличения времени, которое нужно для прохождения одного блока в плавании:")</f>
        <v>Выберите в порядке увеличения времени, которое нужно для прохождения одного блока в плавании:</v>
      </c>
      <c r="B202" s="10">
        <v>3.0</v>
      </c>
      <c r="D202" s="3" t="str">
        <f>IFERROR(__xludf.DUMMYFUNCTION("REGEXREPLACE(REGEXEXTRACT(H202, ""а\)\s*(.*?)\s*б\)""), ""^\s*"", """")"),"Без эффектов")</f>
        <v>Без эффектов</v>
      </c>
      <c r="E202" s="3" t="str">
        <f>IFERROR(__xludf.DUMMYFUNCTION("REGEXREPLACE(REGEXEXTRACT(H202, ""б\)\s*(.*?)\s*в\)""), ""^\s*"", """")"),"Зелье скорости I")</f>
        <v>Зелье скорости I</v>
      </c>
      <c r="F202" s="3" t="str">
        <f>IFERROR(__xludf.DUMMYFUNCTION("REGEXREPLACE(REGEXEXTRACT(H202, ""в\)\s*(.*?)\s*г\)""), ""^\s*"", """")"),"Течение дельфина")</f>
        <v>Течение дельфина</v>
      </c>
      <c r="G202" s="3" t="str">
        <f>IFERROR(__xludf.DUMMYFUNCTION("REGEXREPLACE(REGEXEXTRACT(H202, ""г\)\s*(.*)""), ""^\s*"", """")"),"Течение дельфина + зелье скорости II")</f>
        <v>Течение дельфина + зелье скорости II</v>
      </c>
      <c r="H202" s="8" t="s">
        <v>208</v>
      </c>
    </row>
    <row r="203" ht="45.0" customHeight="1">
      <c r="A203" s="3" t="str">
        <f>IFERROR(__xludf.DUMMYFUNCTION("REGEXEXTRACT(H203, ""s*(.*?)\s*а\)"")"),"Выберите в порядке увеличения длительности нахождения под водой без ущерба:")</f>
        <v>Выберите в порядке увеличения длительности нахождения под водой без ущерба:</v>
      </c>
      <c r="B203" s="10">
        <v>3.0</v>
      </c>
      <c r="D203" s="3" t="str">
        <f>IFERROR(__xludf.DUMMYFUNCTION("REGEXREPLACE(REGEXEXTRACT(H203, ""а\)\s*(.*?)\s*б\)""), ""^\s*"", """")"),"Без всего")</f>
        <v>Без всего</v>
      </c>
      <c r="E203" s="3" t="str">
        <f>IFERROR(__xludf.DUMMYFUNCTION("REGEXREPLACE(REGEXEXTRACT(H203, ""б\)\s*(.*?)\s*в\)""), ""^\s*"", """")"),"С зачарованным шлемом “Дыхание I”")</f>
        <v>С зачарованным шлемом “Дыхание I”</v>
      </c>
      <c r="F203" s="3" t="str">
        <f>IFERROR(__xludf.DUMMYFUNCTION("REGEXREPLACE(REGEXEXTRACT(H203, ""в\)\s*(.*?)\s*г\)""), ""^\s*"", """")"),"С зельем дыхания")</f>
        <v>С зельем дыхания</v>
      </c>
      <c r="G203" s="3" t="str">
        <f>IFERROR(__xludf.DUMMYFUNCTION("REGEXREPLACE(REGEXEXTRACT(H203, ""г\)\s*(.*)""), ""^\s*"", """")"),"С раковиной наутилуса")</f>
        <v>С раковиной наутилуса</v>
      </c>
      <c r="H203" s="9" t="s">
        <v>209</v>
      </c>
    </row>
    <row r="204" ht="45.0" customHeight="1">
      <c r="A204" s="3" t="str">
        <f>IFERROR(__xludf.DUMMYFUNCTION("REGEXEXTRACT(H204, ""s*(.*?)\s*а\)"")"),"Выберите в порядке увеличения редкости нахождения структуры:")</f>
        <v>Выберите в порядке увеличения редкости нахождения структуры:</v>
      </c>
      <c r="B204" s="10">
        <v>3.0</v>
      </c>
      <c r="D204" s="3" t="str">
        <f>IFERROR(__xludf.DUMMYFUNCTION("REGEXREPLACE(REGEXEXTRACT(H204, ""а\)\s*(.*?)\s*б\)""), ""^\s*"", """")"),"Деревня")</f>
        <v>Деревня</v>
      </c>
      <c r="E204" s="3" t="str">
        <f>IFERROR(__xludf.DUMMYFUNCTION("REGEXREPLACE(REGEXEXTRACT(H204, ""б\)\s*(.*?)\s*в\)""), ""^\s*"", """")"),"Заброшенная шахта")</f>
        <v>Заброшенная шахта</v>
      </c>
      <c r="F204" s="3" t="str">
        <f>IFERROR(__xludf.DUMMYFUNCTION("REGEXREPLACE(REGEXEXTRACT(H204, ""в\)\s*(.*?)\s*г\)""), ""^\s*"", """")"),"Крепость")</f>
        <v>Крепость</v>
      </c>
      <c r="G204" s="3" t="str">
        <f>IFERROR(__xludf.DUMMYFUNCTION("REGEXREPLACE(REGEXEXTRACT(H204, ""г\)\s*(.*)""), ""^\s*"", """")"),"Подводный монумент")</f>
        <v>Подводный монумент</v>
      </c>
      <c r="H204" s="8" t="s">
        <v>210</v>
      </c>
    </row>
    <row r="205" ht="45.0" customHeight="1">
      <c r="A205" s="3" t="str">
        <f>IFERROR(__xludf.DUMMYFUNCTION("REGEXEXTRACT(H205, ""s*(.*?)\s*а\)"")"),"Выберите в порядке увеличения дальности полёта стрелы:")</f>
        <v>Выберите в порядке увеличения дальности полёта стрелы:</v>
      </c>
      <c r="B205" s="10">
        <v>3.0</v>
      </c>
      <c r="D205" s="3" t="str">
        <f>IFERROR(__xludf.DUMMYFUNCTION("REGEXREPLACE(REGEXEXTRACT(H205, ""а\)\s*(.*?)\s*б\)""), ""^\s*"", """")"),"Обычный лук")</f>
        <v>Обычный лук</v>
      </c>
      <c r="E205" s="3" t="str">
        <f>IFERROR(__xludf.DUMMYFUNCTION("REGEXREPLACE(REGEXEXTRACT(H205, ""б\)\s*(.*?)\s*в\)""), ""^\s*"", """")"),"Лук + сила I")</f>
        <v>Лук + сила I</v>
      </c>
      <c r="F205" s="3" t="str">
        <f>IFERROR(__xludf.DUMMYFUNCTION("REGEXREPLACE(REGEXEXTRACT(H205, ""в\)\s*(.*?)\s*г\)""), ""^\s*"", """")"),"Арбалет")</f>
        <v>Арбалет</v>
      </c>
      <c r="G205" s="3" t="str">
        <f>IFERROR(__xludf.DUMMYFUNCTION("REGEXREPLACE(REGEXEXTRACT(H205, ""г\)\s*(.*)""), ""^\s*"", """")"),"Арбалет + фейерверк")</f>
        <v>Арбалет + фейерверк</v>
      </c>
      <c r="H205" s="8" t="s">
        <v>211</v>
      </c>
    </row>
    <row r="206" ht="45.0" customHeight="1">
      <c r="A206" s="3" t="str">
        <f>IFERROR(__xludf.DUMMYFUNCTION("REGEXEXTRACT(H206, ""s*(.*?)\s*а\)"")"),"Выберите в порядке увеличения необходимого времени для приготовления пищи на костре:")</f>
        <v>Выберите в порядке увеличения необходимого времени для приготовления пищи на костре:</v>
      </c>
      <c r="B206" s="10">
        <v>3.0</v>
      </c>
      <c r="D206" s="3" t="str">
        <f>IFERROR(__xludf.DUMMYFUNCTION("REGEXREPLACE(REGEXEXTRACT(H206, ""а\)\s*(.*?)\s*б\)""), ""^\s*"", """")"),"Курица")</f>
        <v>Курица</v>
      </c>
      <c r="E206" s="3" t="str">
        <f>IFERROR(__xludf.DUMMYFUNCTION("REGEXREPLACE(REGEXEXTRACT(H206, ""б\)\s*(.*?)\s*в\)""), ""^\s*"", """")"),"Свинина")</f>
        <v>Свинина</v>
      </c>
      <c r="F206" s="3" t="str">
        <f>IFERROR(__xludf.DUMMYFUNCTION("REGEXREPLACE(REGEXEXTRACT(H206, ""в\)\s*(.*?)\s*г\)""), ""^\s*"", """")"),"Баранина")</f>
        <v>Баранина</v>
      </c>
      <c r="G206" s="3" t="str">
        <f>IFERROR(__xludf.DUMMYFUNCTION("REGEXREPLACE(REGEXEXTRACT(H206, ""г\)\s*(.*)""), ""^\s*"", """")"),"Крольчатина")</f>
        <v>Крольчатина</v>
      </c>
      <c r="H206" s="8" t="s">
        <v>212</v>
      </c>
    </row>
    <row r="207" ht="45.0" customHeight="1">
      <c r="A207" s="3" t="str">
        <f>IFERROR(__xludf.DUMMYFUNCTION("REGEXEXTRACT(H207, ""s*(.*?)\s*а\)"")"),"Выберите в порядке увеличения скорости передвижения по льду:")</f>
        <v>Выберите в порядке увеличения скорости передвижения по льду:</v>
      </c>
      <c r="B207" s="10">
        <v>3.0</v>
      </c>
      <c r="D207" s="3" t="str">
        <f>IFERROR(__xludf.DUMMYFUNCTION("REGEXREPLACE(REGEXEXTRACT(H207, ""а\)\s*(.*?)\s*б\)""), ""^\s*"", """")"),"Без ботинок")</f>
        <v>Без ботинок</v>
      </c>
      <c r="E207" s="3" t="str">
        <f>IFERROR(__xludf.DUMMYFUNCTION("REGEXREPLACE(REGEXEXTRACT(H207, ""б\)\s*(.*?)\s*в\)""), ""^\s*"", """")"),"Обычные ботинки")</f>
        <v>Обычные ботинки</v>
      </c>
      <c r="F207" s="3" t="str">
        <f>IFERROR(__xludf.DUMMYFUNCTION("REGEXREPLACE(REGEXEXTRACT(H207, ""в\)\s*(.*?)\s*г\)""), ""^\s*"", """")"),"Ботинки с “Ледоходом I”")</f>
        <v>Ботинки с “Ледоходом I”</v>
      </c>
      <c r="G207" s="3" t="str">
        <f>IFERROR(__xludf.DUMMYFUNCTION("REGEXREPLACE(REGEXEXTRACT(H207, ""г\)\s*(.*)""), ""^\s*"", """")"),"Ботинки с “Ледоходом II”")</f>
        <v>Ботинки с “Ледоходом II”</v>
      </c>
      <c r="H207" s="8" t="s">
        <v>213</v>
      </c>
    </row>
    <row r="208" ht="45.0" customHeight="1">
      <c r="A208" s="3" t="str">
        <f>IFERROR(__xludf.DUMMYFUNCTION("REGEXEXTRACT(H208, ""s*(.*?)\s*а\)"")"),"Выберите в порядке увеличения количества дней, необходимых для созревания урожая:")</f>
        <v>Выберите в порядке увеличения количества дней, необходимых для созревания урожая:</v>
      </c>
      <c r="B208" s="10">
        <v>3.0</v>
      </c>
      <c r="D208" s="3" t="str">
        <f>IFERROR(__xludf.DUMMYFUNCTION("REGEXREPLACE(REGEXEXTRACT(H208, ""а\)\s*(.*?)\s*б\)""), ""^\s*"", """")"),"Пшеница")</f>
        <v>Пшеница</v>
      </c>
      <c r="E208" s="3" t="str">
        <f>IFERROR(__xludf.DUMMYFUNCTION("REGEXREPLACE(REGEXEXTRACT(H208, ""б\)\s*(.*?)\s*в\)""), ""^\s*"", """")"),"Морковь")</f>
        <v>Морковь</v>
      </c>
      <c r="F208" s="3" t="str">
        <f>IFERROR(__xludf.DUMMYFUNCTION("REGEXREPLACE(REGEXEXTRACT(H208, ""в\)\s*(.*?)\s*г\)""), ""^\s*"", """")"),"Тыква")</f>
        <v>Тыква</v>
      </c>
      <c r="G208" s="3" t="str">
        <f>IFERROR(__xludf.DUMMYFUNCTION("REGEXREPLACE(REGEXEXTRACT(H208, ""г\)\s*(.*)""), ""^\s*"", """")"),"Арбуз")</f>
        <v>Арбуз</v>
      </c>
      <c r="H208" s="8" t="s">
        <v>214</v>
      </c>
    </row>
    <row r="209" ht="45.0" customHeight="1">
      <c r="A209" s="3" t="str">
        <f>IFERROR(__xludf.DUMMYFUNCTION("REGEXEXTRACT(H209, ""s*(.*?)\s*а\)"")"),"Выберите в порядке увеличения количества лута в сундуках:")</f>
        <v>Выберите в порядке увеличения количества лута в сундуках:</v>
      </c>
      <c r="B209" s="10">
        <v>3.0</v>
      </c>
      <c r="D209" s="3" t="str">
        <f>IFERROR(__xludf.DUMMYFUNCTION("REGEXREPLACE(REGEXEXTRACT(H209, ""а\)\s*(.*?)\s*б\)""), ""^\s*"", """")"),"В деревне")</f>
        <v>В деревне</v>
      </c>
      <c r="E209" s="3" t="str">
        <f>IFERROR(__xludf.DUMMYFUNCTION("REGEXREPLACE(REGEXEXTRACT(H209, ""б\)\s*(.*?)\s*в\)""), ""^\s*"", """")"),"В заброшенной шахте")</f>
        <v>В заброшенной шахте</v>
      </c>
      <c r="F209" s="3" t="str">
        <f>IFERROR(__xludf.DUMMYFUNCTION("REGEXREPLACE(REGEXEXTRACT(H209, ""в\)\s*(.*?)\s*г\)""), ""^\s*"", """")"),"В крепости")</f>
        <v>В крепости</v>
      </c>
      <c r="G209" s="3" t="str">
        <f>IFERROR(__xludf.DUMMYFUNCTION("REGEXREPLACE(REGEXEXTRACT(H209, ""г\)\s*(.*)""), ""^\s*"", """")"),"В сокровищнице Древнего города")</f>
        <v>В сокровищнице Древнего города</v>
      </c>
      <c r="H209" s="8" t="s">
        <v>215</v>
      </c>
    </row>
    <row r="210" ht="45.0" customHeight="1">
      <c r="A210" s="3" t="str">
        <f>IFERROR(__xludf.DUMMYFUNCTION("REGEXEXTRACT(H210, ""s*(.*?)\s*а\)"")"),"Выберите в порядке увеличения прочности построек из блоков:")</f>
        <v>Выберите в порядке увеличения прочности построек из блоков:</v>
      </c>
      <c r="B210" s="10">
        <v>3.0</v>
      </c>
      <c r="D210" s="3" t="str">
        <f>IFERROR(__xludf.DUMMYFUNCTION("REGEXREPLACE(REGEXEXTRACT(H210, ""а\)\s*(.*?)\s*б\)""), ""^\s*"", """")"),"Земляная хижина")</f>
        <v>Земляная хижина</v>
      </c>
      <c r="E210" s="3" t="str">
        <f>IFERROR(__xludf.DUMMYFUNCTION("REGEXREPLACE(REGEXEXTRACT(H210, ""б\)\s*(.*?)\s*в\)""), ""^\s*"", """")"),"Деревянный дом")</f>
        <v>Деревянный дом</v>
      </c>
      <c r="F210" s="3" t="str">
        <f>IFERROR(__xludf.DUMMYFUNCTION("REGEXREPLACE(REGEXEXTRACT(H210, ""в\)\s*(.*?)\s*г\)""), ""^\s*"", """")"),"Каменный замок")</f>
        <v>Каменный замок</v>
      </c>
      <c r="G210" s="3" t="str">
        <f>IFERROR(__xludf.DUMMYFUNCTION("REGEXREPLACE(REGEXEXTRACT(H210, ""г\)\s*(.*)""), ""^\s*"", """")"),"Бункер из обсидиана")</f>
        <v>Бункер из обсидиана</v>
      </c>
      <c r="H210" s="8" t="s">
        <v>216</v>
      </c>
    </row>
    <row r="211">
      <c r="H211" s="13"/>
    </row>
    <row r="212">
      <c r="H212" s="13"/>
    </row>
    <row r="213">
      <c r="H213" s="13"/>
    </row>
    <row r="214">
      <c r="H214" s="13"/>
    </row>
    <row r="215">
      <c r="H215" s="13"/>
    </row>
    <row r="216">
      <c r="H216" s="13"/>
    </row>
    <row r="217">
      <c r="H217" s="13"/>
    </row>
    <row r="218">
      <c r="H218" s="13"/>
    </row>
    <row r="219">
      <c r="H219" s="13"/>
    </row>
    <row r="220">
      <c r="H220" s="13"/>
    </row>
    <row r="221">
      <c r="H221" s="13"/>
    </row>
    <row r="222">
      <c r="H222" s="13"/>
    </row>
    <row r="223">
      <c r="H223" s="13"/>
    </row>
    <row r="224">
      <c r="H224" s="13"/>
    </row>
    <row r="225">
      <c r="H225" s="13"/>
    </row>
    <row r="226">
      <c r="H226" s="13"/>
    </row>
    <row r="227">
      <c r="H227" s="13"/>
    </row>
    <row r="228">
      <c r="H228" s="13"/>
    </row>
    <row r="229">
      <c r="H229" s="13"/>
    </row>
    <row r="230">
      <c r="H230" s="13"/>
    </row>
    <row r="231">
      <c r="H231" s="13"/>
    </row>
    <row r="232">
      <c r="H232" s="13"/>
    </row>
    <row r="233">
      <c r="H233" s="13"/>
    </row>
    <row r="234">
      <c r="H234" s="13"/>
    </row>
    <row r="235">
      <c r="H235" s="13"/>
    </row>
    <row r="236">
      <c r="H236" s="13"/>
    </row>
    <row r="237">
      <c r="H237" s="13"/>
    </row>
    <row r="238">
      <c r="H238" s="13"/>
    </row>
    <row r="239">
      <c r="H239" s="13"/>
    </row>
    <row r="240">
      <c r="H240" s="13"/>
    </row>
    <row r="241">
      <c r="H241" s="13"/>
    </row>
    <row r="242">
      <c r="H242" s="13"/>
    </row>
    <row r="243">
      <c r="H243" s="13"/>
    </row>
    <row r="244">
      <c r="H244" s="13"/>
    </row>
    <row r="245">
      <c r="H245" s="13"/>
    </row>
    <row r="246">
      <c r="H246" s="13"/>
    </row>
    <row r="247">
      <c r="H247" s="13"/>
    </row>
    <row r="248">
      <c r="H248" s="13"/>
    </row>
    <row r="249">
      <c r="H249" s="13"/>
    </row>
    <row r="250">
      <c r="H250" s="13"/>
    </row>
    <row r="251">
      <c r="H251" s="13"/>
    </row>
    <row r="252">
      <c r="H252" s="13"/>
    </row>
    <row r="253">
      <c r="H253" s="13"/>
    </row>
    <row r="254">
      <c r="H254" s="13"/>
    </row>
    <row r="255">
      <c r="H255" s="13"/>
    </row>
    <row r="256">
      <c r="H256" s="13"/>
    </row>
    <row r="257">
      <c r="H257" s="13"/>
    </row>
    <row r="258">
      <c r="H258" s="13"/>
    </row>
    <row r="259">
      <c r="H259" s="13"/>
    </row>
    <row r="260">
      <c r="H260" s="13"/>
    </row>
    <row r="261">
      <c r="H261" s="13"/>
    </row>
    <row r="262">
      <c r="H262" s="13"/>
    </row>
    <row r="263">
      <c r="H263" s="13"/>
    </row>
    <row r="264">
      <c r="H264" s="13"/>
    </row>
    <row r="265">
      <c r="H265" s="13"/>
    </row>
    <row r="266">
      <c r="H266" s="13"/>
    </row>
    <row r="267">
      <c r="H267" s="13"/>
    </row>
    <row r="268">
      <c r="H268" s="13"/>
    </row>
    <row r="269">
      <c r="H269" s="13"/>
    </row>
    <row r="270">
      <c r="H270" s="13"/>
    </row>
    <row r="271">
      <c r="H271" s="13"/>
    </row>
    <row r="272">
      <c r="H272" s="13"/>
    </row>
    <row r="273">
      <c r="H273" s="13"/>
    </row>
    <row r="274">
      <c r="H274" s="13"/>
    </row>
    <row r="275">
      <c r="H275" s="13"/>
    </row>
    <row r="276">
      <c r="H276" s="13"/>
    </row>
    <row r="277">
      <c r="H277" s="13"/>
    </row>
    <row r="278">
      <c r="H278" s="13"/>
    </row>
    <row r="279">
      <c r="H279" s="13"/>
    </row>
    <row r="280">
      <c r="H280" s="13"/>
    </row>
    <row r="281">
      <c r="H281" s="13"/>
    </row>
    <row r="282">
      <c r="H282" s="13"/>
    </row>
    <row r="283">
      <c r="H283" s="13"/>
    </row>
    <row r="284">
      <c r="H284" s="13"/>
    </row>
    <row r="285">
      <c r="H285" s="13"/>
    </row>
    <row r="286">
      <c r="H286" s="13"/>
    </row>
    <row r="287">
      <c r="H287" s="13"/>
    </row>
    <row r="288">
      <c r="H288" s="13"/>
    </row>
    <row r="289">
      <c r="H289" s="13"/>
    </row>
    <row r="290">
      <c r="H290" s="13"/>
    </row>
    <row r="291">
      <c r="H291" s="13"/>
    </row>
    <row r="292">
      <c r="H292" s="13"/>
    </row>
    <row r="293">
      <c r="H293" s="13"/>
    </row>
    <row r="294">
      <c r="H294" s="13"/>
    </row>
    <row r="295">
      <c r="H295" s="13"/>
    </row>
    <row r="296">
      <c r="H296" s="13"/>
    </row>
    <row r="297">
      <c r="H297" s="13"/>
    </row>
    <row r="298">
      <c r="H298" s="13"/>
    </row>
    <row r="299">
      <c r="H299" s="13"/>
    </row>
    <row r="300">
      <c r="H300" s="13"/>
    </row>
    <row r="301">
      <c r="H301" s="13"/>
    </row>
    <row r="302">
      <c r="H302" s="13"/>
    </row>
    <row r="303">
      <c r="H303" s="13"/>
    </row>
    <row r="304">
      <c r="H304" s="13"/>
    </row>
    <row r="305">
      <c r="H305" s="13"/>
    </row>
    <row r="306">
      <c r="H306" s="13"/>
    </row>
    <row r="307">
      <c r="H307" s="13"/>
    </row>
    <row r="308">
      <c r="H308" s="13"/>
    </row>
    <row r="309">
      <c r="H309" s="13"/>
    </row>
    <row r="310">
      <c r="H310" s="13"/>
    </row>
    <row r="311">
      <c r="H311" s="13"/>
    </row>
    <row r="312">
      <c r="H312" s="13"/>
    </row>
    <row r="313">
      <c r="H313" s="13"/>
    </row>
    <row r="314">
      <c r="H314" s="13"/>
    </row>
    <row r="315">
      <c r="H315" s="13"/>
    </row>
    <row r="316">
      <c r="H316" s="13"/>
    </row>
    <row r="317">
      <c r="H317" s="13"/>
    </row>
    <row r="318">
      <c r="H318" s="13"/>
    </row>
    <row r="319">
      <c r="H319" s="13"/>
    </row>
    <row r="320">
      <c r="H320" s="13"/>
    </row>
    <row r="321">
      <c r="H321" s="13"/>
    </row>
    <row r="322">
      <c r="H322" s="13"/>
    </row>
    <row r="323">
      <c r="H323" s="13"/>
    </row>
    <row r="324">
      <c r="H324" s="13"/>
    </row>
    <row r="325">
      <c r="H325" s="13"/>
    </row>
    <row r="326">
      <c r="H326" s="13"/>
    </row>
    <row r="327">
      <c r="H327" s="13"/>
    </row>
    <row r="328">
      <c r="H328" s="13"/>
    </row>
    <row r="329">
      <c r="H329" s="13"/>
    </row>
    <row r="330">
      <c r="H330" s="13"/>
    </row>
    <row r="331">
      <c r="H331" s="13"/>
    </row>
    <row r="332">
      <c r="H332" s="13"/>
    </row>
    <row r="333">
      <c r="H333" s="13"/>
    </row>
    <row r="334">
      <c r="H334" s="13"/>
    </row>
    <row r="335">
      <c r="H335" s="13"/>
    </row>
    <row r="336">
      <c r="H336" s="13"/>
    </row>
    <row r="337">
      <c r="H337" s="13"/>
    </row>
    <row r="338">
      <c r="H338" s="13"/>
    </row>
    <row r="339">
      <c r="H339" s="13"/>
    </row>
    <row r="340">
      <c r="H340" s="13"/>
    </row>
    <row r="341">
      <c r="H341" s="13"/>
    </row>
    <row r="342">
      <c r="H342" s="13"/>
    </row>
    <row r="343">
      <c r="H343" s="13"/>
    </row>
    <row r="344">
      <c r="H344" s="13"/>
    </row>
    <row r="345">
      <c r="H345" s="13"/>
    </row>
    <row r="346">
      <c r="H346" s="13"/>
    </row>
    <row r="347">
      <c r="H347" s="13"/>
    </row>
    <row r="348">
      <c r="H348" s="13"/>
    </row>
    <row r="349">
      <c r="H349" s="13"/>
    </row>
    <row r="350">
      <c r="H350" s="13"/>
    </row>
    <row r="351">
      <c r="H351" s="13"/>
    </row>
    <row r="352">
      <c r="H352" s="13"/>
    </row>
    <row r="353">
      <c r="H353" s="13"/>
    </row>
    <row r="354">
      <c r="H354" s="13"/>
    </row>
    <row r="355">
      <c r="H355" s="13"/>
    </row>
    <row r="356">
      <c r="H356" s="13"/>
    </row>
    <row r="357">
      <c r="H357" s="13"/>
    </row>
    <row r="358">
      <c r="H358" s="13"/>
    </row>
    <row r="359">
      <c r="H359" s="13"/>
    </row>
    <row r="360">
      <c r="H360" s="13"/>
    </row>
    <row r="361">
      <c r="H361" s="13"/>
    </row>
    <row r="362">
      <c r="H362" s="13"/>
    </row>
    <row r="363">
      <c r="H363" s="13"/>
    </row>
    <row r="364">
      <c r="H364" s="13"/>
    </row>
    <row r="365">
      <c r="H365" s="13"/>
    </row>
    <row r="366">
      <c r="H366" s="13"/>
    </row>
    <row r="367">
      <c r="H367" s="13"/>
    </row>
    <row r="368">
      <c r="H368" s="13"/>
    </row>
    <row r="369">
      <c r="H369" s="13"/>
    </row>
    <row r="370">
      <c r="H370" s="13"/>
    </row>
    <row r="371">
      <c r="H371" s="13"/>
    </row>
    <row r="372">
      <c r="H372" s="13"/>
    </row>
    <row r="373">
      <c r="H373" s="13"/>
    </row>
    <row r="374">
      <c r="H374" s="13"/>
    </row>
    <row r="375">
      <c r="H375" s="13"/>
    </row>
    <row r="376">
      <c r="H376" s="13"/>
    </row>
    <row r="377">
      <c r="H377" s="13"/>
    </row>
    <row r="378">
      <c r="H378" s="13"/>
    </row>
    <row r="379">
      <c r="H379" s="13"/>
    </row>
    <row r="380">
      <c r="H380" s="13"/>
    </row>
    <row r="381">
      <c r="H381" s="13"/>
    </row>
    <row r="382">
      <c r="H382" s="13"/>
    </row>
    <row r="383">
      <c r="H383" s="13"/>
    </row>
    <row r="384">
      <c r="H384" s="13"/>
    </row>
    <row r="385">
      <c r="H385" s="13"/>
    </row>
    <row r="386">
      <c r="H386" s="13"/>
    </row>
    <row r="387">
      <c r="H387" s="13"/>
    </row>
    <row r="388">
      <c r="H388" s="13"/>
    </row>
    <row r="389">
      <c r="H389" s="13"/>
    </row>
    <row r="390">
      <c r="H390" s="13"/>
    </row>
    <row r="391">
      <c r="H391" s="13"/>
    </row>
    <row r="392">
      <c r="H392" s="13"/>
    </row>
    <row r="393">
      <c r="H393" s="13"/>
    </row>
    <row r="394">
      <c r="H394" s="13"/>
    </row>
    <row r="395">
      <c r="H395" s="13"/>
    </row>
    <row r="396">
      <c r="H396" s="13"/>
    </row>
    <row r="397">
      <c r="H397" s="13"/>
    </row>
    <row r="398">
      <c r="H398" s="13"/>
    </row>
    <row r="399">
      <c r="H399" s="13"/>
    </row>
    <row r="400">
      <c r="H400" s="13"/>
    </row>
    <row r="401">
      <c r="H401" s="13"/>
    </row>
    <row r="402">
      <c r="H402" s="13"/>
    </row>
    <row r="403">
      <c r="H403" s="13"/>
    </row>
    <row r="404">
      <c r="H404" s="13"/>
    </row>
    <row r="405">
      <c r="H405" s="13"/>
    </row>
    <row r="406">
      <c r="H406" s="13"/>
    </row>
    <row r="407">
      <c r="H407" s="13"/>
    </row>
    <row r="408">
      <c r="H408" s="13"/>
    </row>
    <row r="409">
      <c r="H409" s="13"/>
    </row>
    <row r="410">
      <c r="H410" s="13"/>
    </row>
    <row r="411">
      <c r="H411" s="13"/>
    </row>
    <row r="412">
      <c r="H412" s="13"/>
    </row>
    <row r="413">
      <c r="H413" s="13"/>
    </row>
    <row r="414">
      <c r="H414" s="13"/>
    </row>
    <row r="415">
      <c r="H415" s="13"/>
    </row>
    <row r="416">
      <c r="H416" s="13"/>
    </row>
    <row r="417">
      <c r="H417" s="13"/>
    </row>
    <row r="418">
      <c r="H418" s="13"/>
    </row>
    <row r="419">
      <c r="H419" s="13"/>
    </row>
    <row r="420">
      <c r="H420" s="13"/>
    </row>
    <row r="421">
      <c r="H421" s="13"/>
    </row>
    <row r="422">
      <c r="H422" s="13"/>
    </row>
    <row r="423">
      <c r="H423" s="13"/>
    </row>
    <row r="424">
      <c r="H424" s="13"/>
    </row>
    <row r="425">
      <c r="H425" s="13"/>
    </row>
    <row r="426">
      <c r="H426" s="13"/>
    </row>
    <row r="427">
      <c r="H427" s="13"/>
    </row>
    <row r="428">
      <c r="H428" s="13"/>
    </row>
    <row r="429">
      <c r="H429" s="13"/>
    </row>
    <row r="430">
      <c r="H430" s="13"/>
    </row>
    <row r="431">
      <c r="H431" s="13"/>
    </row>
    <row r="432">
      <c r="H432" s="13"/>
    </row>
    <row r="433">
      <c r="H433" s="13"/>
    </row>
    <row r="434">
      <c r="H434" s="13"/>
    </row>
    <row r="435">
      <c r="H435" s="13"/>
    </row>
    <row r="436">
      <c r="H436" s="13"/>
    </row>
    <row r="437">
      <c r="H437" s="13"/>
    </row>
    <row r="438">
      <c r="H438" s="13"/>
    </row>
    <row r="439">
      <c r="H439" s="13"/>
    </row>
    <row r="440">
      <c r="H440" s="13"/>
    </row>
    <row r="441">
      <c r="H441" s="13"/>
    </row>
    <row r="442">
      <c r="H442" s="13"/>
    </row>
    <row r="443">
      <c r="H443" s="13"/>
    </row>
    <row r="444">
      <c r="H444" s="13"/>
    </row>
    <row r="445">
      <c r="H445" s="13"/>
    </row>
    <row r="446">
      <c r="H446" s="13"/>
    </row>
    <row r="447">
      <c r="H447" s="13"/>
    </row>
    <row r="448">
      <c r="H448" s="13"/>
    </row>
    <row r="449">
      <c r="H449" s="13"/>
    </row>
    <row r="450">
      <c r="H450" s="13"/>
    </row>
    <row r="451">
      <c r="H451" s="13"/>
    </row>
    <row r="452">
      <c r="H452" s="13"/>
    </row>
    <row r="453">
      <c r="H453" s="13"/>
    </row>
    <row r="454">
      <c r="H454" s="13"/>
    </row>
    <row r="455">
      <c r="H455" s="13"/>
    </row>
    <row r="456">
      <c r="H456" s="13"/>
    </row>
    <row r="457">
      <c r="H457" s="13"/>
    </row>
    <row r="458">
      <c r="H458" s="13"/>
    </row>
    <row r="459">
      <c r="H459" s="13"/>
    </row>
    <row r="460">
      <c r="H460" s="13"/>
    </row>
    <row r="461">
      <c r="H461" s="13"/>
    </row>
    <row r="462">
      <c r="H462" s="13"/>
    </row>
    <row r="463">
      <c r="H463" s="13"/>
    </row>
    <row r="464">
      <c r="H464" s="13"/>
    </row>
    <row r="465">
      <c r="H465" s="13"/>
    </row>
    <row r="466">
      <c r="H466" s="13"/>
    </row>
    <row r="467">
      <c r="H467" s="13"/>
    </row>
    <row r="468">
      <c r="H468" s="13"/>
    </row>
    <row r="469">
      <c r="H469" s="13"/>
    </row>
    <row r="470">
      <c r="H470" s="13"/>
    </row>
    <row r="471">
      <c r="H471" s="13"/>
    </row>
    <row r="472">
      <c r="H472" s="13"/>
    </row>
    <row r="473">
      <c r="H473" s="13"/>
    </row>
    <row r="474">
      <c r="H474" s="13"/>
    </row>
    <row r="475">
      <c r="H475" s="13"/>
    </row>
    <row r="476">
      <c r="H476" s="13"/>
    </row>
    <row r="477">
      <c r="H477" s="13"/>
    </row>
    <row r="478">
      <c r="H478" s="13"/>
    </row>
    <row r="479">
      <c r="H479" s="13"/>
    </row>
    <row r="480">
      <c r="H480" s="13"/>
    </row>
    <row r="481">
      <c r="H481" s="13"/>
    </row>
    <row r="482">
      <c r="H482" s="13"/>
    </row>
    <row r="483">
      <c r="H483" s="13"/>
    </row>
    <row r="484">
      <c r="H484" s="13"/>
    </row>
    <row r="485">
      <c r="H485" s="13"/>
    </row>
    <row r="486">
      <c r="H486" s="13"/>
    </row>
    <row r="487">
      <c r="H487" s="13"/>
    </row>
    <row r="488">
      <c r="H488" s="13"/>
    </row>
    <row r="489">
      <c r="H489" s="13"/>
    </row>
    <row r="490">
      <c r="H490" s="13"/>
    </row>
    <row r="491">
      <c r="H491" s="13"/>
    </row>
    <row r="492">
      <c r="H492" s="13"/>
    </row>
    <row r="493">
      <c r="H493" s="13"/>
    </row>
    <row r="494">
      <c r="H494" s="13"/>
    </row>
    <row r="495">
      <c r="H495" s="13"/>
    </row>
    <row r="496">
      <c r="H496" s="13"/>
    </row>
    <row r="497">
      <c r="H497" s="13"/>
    </row>
    <row r="498">
      <c r="H498" s="13"/>
    </row>
    <row r="499">
      <c r="H499" s="13"/>
    </row>
    <row r="500">
      <c r="H500" s="13"/>
    </row>
    <row r="501">
      <c r="H501" s="13"/>
    </row>
    <row r="502">
      <c r="H502" s="13"/>
    </row>
    <row r="503">
      <c r="H503" s="13"/>
    </row>
    <row r="504">
      <c r="H504" s="13"/>
    </row>
    <row r="505">
      <c r="H505" s="13"/>
    </row>
    <row r="506">
      <c r="H506" s="13"/>
    </row>
    <row r="507">
      <c r="H507" s="13"/>
    </row>
    <row r="508">
      <c r="H508" s="13"/>
    </row>
    <row r="509">
      <c r="H509" s="13"/>
    </row>
    <row r="510">
      <c r="H510" s="13"/>
    </row>
    <row r="511">
      <c r="H511" s="13"/>
    </row>
    <row r="512">
      <c r="H512" s="13"/>
    </row>
    <row r="513">
      <c r="H513" s="13"/>
    </row>
    <row r="514">
      <c r="H514" s="13"/>
    </row>
    <row r="515">
      <c r="H515" s="13"/>
    </row>
    <row r="516">
      <c r="H516" s="13"/>
    </row>
    <row r="517">
      <c r="H517" s="13"/>
    </row>
    <row r="518">
      <c r="H518" s="13"/>
    </row>
    <row r="519">
      <c r="H519" s="13"/>
    </row>
    <row r="520">
      <c r="H520" s="13"/>
    </row>
    <row r="521">
      <c r="H521" s="13"/>
    </row>
    <row r="522">
      <c r="H522" s="13"/>
    </row>
    <row r="523">
      <c r="H523" s="13"/>
    </row>
    <row r="524">
      <c r="H524" s="13"/>
    </row>
    <row r="525">
      <c r="H525" s="13"/>
    </row>
    <row r="526">
      <c r="H526" s="13"/>
    </row>
    <row r="527">
      <c r="H527" s="13"/>
    </row>
    <row r="528">
      <c r="H528" s="13"/>
    </row>
    <row r="529">
      <c r="H529" s="13"/>
    </row>
    <row r="530">
      <c r="H530" s="13"/>
    </row>
    <row r="531">
      <c r="H531" s="13"/>
    </row>
    <row r="532">
      <c r="H532" s="13"/>
    </row>
    <row r="533">
      <c r="H533" s="13"/>
    </row>
    <row r="534">
      <c r="H534" s="13"/>
    </row>
    <row r="535">
      <c r="H535" s="13"/>
    </row>
    <row r="536">
      <c r="H536" s="13"/>
    </row>
    <row r="537">
      <c r="H537" s="13"/>
    </row>
    <row r="538">
      <c r="H538" s="13"/>
    </row>
    <row r="539">
      <c r="H539" s="13"/>
    </row>
    <row r="540">
      <c r="H540" s="13"/>
    </row>
    <row r="541">
      <c r="H541" s="13"/>
    </row>
    <row r="542">
      <c r="H542" s="13"/>
    </row>
    <row r="543">
      <c r="H543" s="13"/>
    </row>
    <row r="544">
      <c r="H544" s="13"/>
    </row>
    <row r="545">
      <c r="H545" s="13"/>
    </row>
    <row r="546">
      <c r="H546" s="13"/>
    </row>
    <row r="547">
      <c r="H547" s="13"/>
    </row>
    <row r="548">
      <c r="H548" s="13"/>
    </row>
    <row r="549">
      <c r="H549" s="13"/>
    </row>
    <row r="550">
      <c r="H550" s="13"/>
    </row>
    <row r="551">
      <c r="H551" s="13"/>
    </row>
    <row r="552">
      <c r="H552" s="13"/>
    </row>
    <row r="553">
      <c r="H553" s="13"/>
    </row>
    <row r="554">
      <c r="H554" s="13"/>
    </row>
    <row r="555">
      <c r="H555" s="13"/>
    </row>
    <row r="556">
      <c r="H556" s="13"/>
    </row>
    <row r="557">
      <c r="H557" s="13"/>
    </row>
    <row r="558">
      <c r="H558" s="13"/>
    </row>
    <row r="559">
      <c r="H559" s="13"/>
    </row>
    <row r="560">
      <c r="H560" s="13"/>
    </row>
    <row r="561">
      <c r="H561" s="13"/>
    </row>
    <row r="562">
      <c r="H562" s="13"/>
    </row>
    <row r="563">
      <c r="H563" s="13"/>
    </row>
    <row r="564">
      <c r="H564" s="13"/>
    </row>
    <row r="565">
      <c r="H565" s="13"/>
    </row>
    <row r="566">
      <c r="H566" s="13"/>
    </row>
    <row r="567">
      <c r="H567" s="13"/>
    </row>
    <row r="568">
      <c r="H568" s="13"/>
    </row>
    <row r="569">
      <c r="H569" s="13"/>
    </row>
    <row r="570">
      <c r="H570" s="13"/>
    </row>
    <row r="571">
      <c r="H571" s="13"/>
    </row>
    <row r="572">
      <c r="H572" s="13"/>
    </row>
    <row r="573">
      <c r="H573" s="13"/>
    </row>
    <row r="574">
      <c r="H574" s="13"/>
    </row>
    <row r="575">
      <c r="H575" s="13"/>
    </row>
    <row r="576">
      <c r="H576" s="13"/>
    </row>
    <row r="577">
      <c r="H577" s="13"/>
    </row>
    <row r="578">
      <c r="H578" s="13"/>
    </row>
    <row r="579">
      <c r="H579" s="13"/>
    </row>
    <row r="580">
      <c r="H580" s="13"/>
    </row>
    <row r="581">
      <c r="H581" s="13"/>
    </row>
    <row r="582">
      <c r="H582" s="13"/>
    </row>
    <row r="583">
      <c r="H583" s="13"/>
    </row>
    <row r="584">
      <c r="H584" s="13"/>
    </row>
    <row r="585">
      <c r="H585" s="13"/>
    </row>
    <row r="586">
      <c r="H586" s="13"/>
    </row>
    <row r="587">
      <c r="H587" s="13"/>
    </row>
    <row r="588">
      <c r="H588" s="13"/>
    </row>
    <row r="589">
      <c r="H589" s="13"/>
    </row>
    <row r="590">
      <c r="H590" s="13"/>
    </row>
    <row r="591">
      <c r="H591" s="13"/>
    </row>
    <row r="592">
      <c r="H592" s="13"/>
    </row>
    <row r="593">
      <c r="H593" s="13"/>
    </row>
    <row r="594">
      <c r="H594" s="13"/>
    </row>
    <row r="595">
      <c r="H595" s="13"/>
    </row>
    <row r="596">
      <c r="H596" s="13"/>
    </row>
    <row r="597">
      <c r="H597" s="13"/>
    </row>
    <row r="598">
      <c r="H598" s="13"/>
    </row>
    <row r="599">
      <c r="H599" s="13"/>
    </row>
    <row r="600">
      <c r="H600" s="13"/>
    </row>
    <row r="601">
      <c r="H601" s="13"/>
    </row>
    <row r="602">
      <c r="H602" s="13"/>
    </row>
    <row r="603">
      <c r="H603" s="13"/>
    </row>
    <row r="604">
      <c r="H604" s="13"/>
    </row>
    <row r="605">
      <c r="H605" s="13"/>
    </row>
    <row r="606">
      <c r="H606" s="13"/>
    </row>
    <row r="607">
      <c r="H607" s="13"/>
    </row>
    <row r="608">
      <c r="H608" s="13"/>
    </row>
    <row r="609">
      <c r="H609" s="13"/>
    </row>
    <row r="610">
      <c r="H610" s="13"/>
    </row>
    <row r="611">
      <c r="H611" s="13"/>
    </row>
    <row r="612">
      <c r="H612" s="13"/>
    </row>
    <row r="613">
      <c r="H613" s="13"/>
    </row>
    <row r="614">
      <c r="H614" s="13"/>
    </row>
    <row r="615">
      <c r="H615" s="13"/>
    </row>
    <row r="616">
      <c r="H616" s="13"/>
    </row>
    <row r="617">
      <c r="H617" s="13"/>
    </row>
    <row r="618">
      <c r="H618" s="13"/>
    </row>
    <row r="619">
      <c r="H619" s="13"/>
    </row>
    <row r="620">
      <c r="H620" s="13"/>
    </row>
    <row r="621">
      <c r="H621" s="13"/>
    </row>
    <row r="622">
      <c r="H622" s="13"/>
    </row>
    <row r="623">
      <c r="H623" s="13"/>
    </row>
    <row r="624">
      <c r="H624" s="13"/>
    </row>
    <row r="625">
      <c r="H625" s="13"/>
    </row>
    <row r="626">
      <c r="H626" s="13"/>
    </row>
    <row r="627">
      <c r="H627" s="13"/>
    </row>
    <row r="628">
      <c r="H628" s="13"/>
    </row>
    <row r="629">
      <c r="H629" s="13"/>
    </row>
    <row r="630">
      <c r="H630" s="13"/>
    </row>
    <row r="631">
      <c r="H631" s="13"/>
    </row>
    <row r="632">
      <c r="H632" s="13"/>
    </row>
    <row r="633">
      <c r="H633" s="13"/>
    </row>
    <row r="634">
      <c r="H634" s="13"/>
    </row>
    <row r="635">
      <c r="H635" s="13"/>
    </row>
    <row r="636">
      <c r="H636" s="13"/>
    </row>
    <row r="637">
      <c r="H637" s="13"/>
    </row>
    <row r="638">
      <c r="H638" s="13"/>
    </row>
    <row r="639">
      <c r="H639" s="13"/>
    </row>
    <row r="640">
      <c r="H640" s="13"/>
    </row>
    <row r="641">
      <c r="H641" s="13"/>
    </row>
    <row r="642">
      <c r="H642" s="13"/>
    </row>
    <row r="643">
      <c r="H643" s="13"/>
    </row>
    <row r="644">
      <c r="H644" s="13"/>
    </row>
    <row r="645">
      <c r="H645" s="13"/>
    </row>
    <row r="646">
      <c r="H646" s="13"/>
    </row>
    <row r="647">
      <c r="H647" s="13"/>
    </row>
    <row r="648">
      <c r="H648" s="13"/>
    </row>
    <row r="649">
      <c r="H649" s="13"/>
    </row>
    <row r="650">
      <c r="H650" s="13"/>
    </row>
    <row r="651">
      <c r="H651" s="13"/>
    </row>
    <row r="652">
      <c r="H652" s="13"/>
    </row>
    <row r="653">
      <c r="H653" s="13"/>
    </row>
    <row r="654">
      <c r="H654" s="13"/>
    </row>
    <row r="655">
      <c r="H655" s="13"/>
    </row>
    <row r="656">
      <c r="H656" s="13"/>
    </row>
    <row r="657">
      <c r="H657" s="13"/>
    </row>
    <row r="658">
      <c r="H658" s="13"/>
    </row>
    <row r="659">
      <c r="H659" s="13"/>
    </row>
    <row r="660">
      <c r="H660" s="13"/>
    </row>
    <row r="661">
      <c r="H661" s="13"/>
    </row>
    <row r="662">
      <c r="H662" s="13"/>
    </row>
    <row r="663">
      <c r="H663" s="13"/>
    </row>
    <row r="664">
      <c r="H664" s="13"/>
    </row>
    <row r="665">
      <c r="H665" s="13"/>
    </row>
    <row r="666">
      <c r="H666" s="13"/>
    </row>
    <row r="667">
      <c r="H667" s="13"/>
    </row>
    <row r="668">
      <c r="H668" s="13"/>
    </row>
    <row r="669">
      <c r="H669" s="13"/>
    </row>
    <row r="670">
      <c r="H670" s="13"/>
    </row>
    <row r="671">
      <c r="H671" s="13"/>
    </row>
    <row r="672">
      <c r="H672" s="13"/>
    </row>
    <row r="673">
      <c r="H673" s="13"/>
    </row>
    <row r="674">
      <c r="H674" s="13"/>
    </row>
    <row r="675">
      <c r="H675" s="13"/>
    </row>
    <row r="676">
      <c r="H676" s="13"/>
    </row>
    <row r="677">
      <c r="H677" s="13"/>
    </row>
    <row r="678">
      <c r="H678" s="13"/>
    </row>
    <row r="679">
      <c r="H679" s="13"/>
    </row>
    <row r="680">
      <c r="H680" s="13"/>
    </row>
    <row r="681">
      <c r="H681" s="13"/>
    </row>
    <row r="682">
      <c r="H682" s="13"/>
    </row>
    <row r="683">
      <c r="H683" s="13"/>
    </row>
    <row r="684">
      <c r="H684" s="13"/>
    </row>
    <row r="685">
      <c r="H685" s="13"/>
    </row>
    <row r="686">
      <c r="H686" s="13"/>
    </row>
    <row r="687">
      <c r="H687" s="13"/>
    </row>
    <row r="688">
      <c r="H688" s="13"/>
    </row>
    <row r="689">
      <c r="H689" s="13"/>
    </row>
    <row r="690">
      <c r="H690" s="13"/>
    </row>
    <row r="691">
      <c r="H691" s="13"/>
    </row>
    <row r="692">
      <c r="H692" s="13"/>
    </row>
    <row r="693">
      <c r="H693" s="13"/>
    </row>
    <row r="694">
      <c r="H694" s="13"/>
    </row>
    <row r="695">
      <c r="H695" s="13"/>
    </row>
    <row r="696">
      <c r="H696" s="13"/>
    </row>
    <row r="697">
      <c r="H697" s="13"/>
    </row>
    <row r="698">
      <c r="H698" s="13"/>
    </row>
    <row r="699">
      <c r="H699" s="13"/>
    </row>
    <row r="700">
      <c r="H700" s="13"/>
    </row>
    <row r="701">
      <c r="H701" s="13"/>
    </row>
    <row r="702">
      <c r="H702" s="13"/>
    </row>
    <row r="703">
      <c r="H703" s="13"/>
    </row>
    <row r="704">
      <c r="H704" s="13"/>
    </row>
    <row r="705">
      <c r="H705" s="13"/>
    </row>
    <row r="706">
      <c r="H706" s="13"/>
    </row>
    <row r="707">
      <c r="H707" s="13"/>
    </row>
    <row r="708">
      <c r="H708" s="13"/>
    </row>
    <row r="709">
      <c r="H709" s="13"/>
    </row>
    <row r="710">
      <c r="H710" s="13"/>
    </row>
    <row r="711">
      <c r="H711" s="13"/>
    </row>
    <row r="712">
      <c r="H712" s="13"/>
    </row>
    <row r="713">
      <c r="H713" s="13"/>
    </row>
    <row r="714">
      <c r="H714" s="13"/>
    </row>
    <row r="715">
      <c r="H715" s="13"/>
    </row>
    <row r="716">
      <c r="H716" s="13"/>
    </row>
    <row r="717">
      <c r="H717" s="13"/>
    </row>
    <row r="718">
      <c r="H718" s="13"/>
    </row>
    <row r="719">
      <c r="H719" s="13"/>
    </row>
    <row r="720">
      <c r="H720" s="13"/>
    </row>
    <row r="721">
      <c r="H721" s="13"/>
    </row>
    <row r="722">
      <c r="H722" s="13"/>
    </row>
    <row r="723">
      <c r="H723" s="13"/>
    </row>
    <row r="724">
      <c r="H724" s="13"/>
    </row>
    <row r="725">
      <c r="H725" s="13"/>
    </row>
    <row r="726">
      <c r="H726" s="13"/>
    </row>
    <row r="727">
      <c r="H727" s="13"/>
    </row>
    <row r="728">
      <c r="H728" s="13"/>
    </row>
    <row r="729">
      <c r="H729" s="13"/>
    </row>
    <row r="730">
      <c r="H730" s="13"/>
    </row>
    <row r="731">
      <c r="H731" s="13"/>
    </row>
    <row r="732">
      <c r="H732" s="13"/>
    </row>
    <row r="733">
      <c r="H733" s="13"/>
    </row>
    <row r="734">
      <c r="H734" s="13"/>
    </row>
    <row r="735">
      <c r="H735" s="13"/>
    </row>
    <row r="736">
      <c r="H736" s="13"/>
    </row>
    <row r="737">
      <c r="H737" s="13"/>
    </row>
    <row r="738">
      <c r="H738" s="13"/>
    </row>
    <row r="739">
      <c r="H739" s="13"/>
    </row>
    <row r="740">
      <c r="H740" s="13"/>
    </row>
    <row r="741">
      <c r="H741" s="13"/>
    </row>
    <row r="742">
      <c r="H742" s="13"/>
    </row>
    <row r="743">
      <c r="H743" s="13"/>
    </row>
    <row r="744">
      <c r="H744" s="13"/>
    </row>
    <row r="745">
      <c r="H745" s="13"/>
    </row>
    <row r="746">
      <c r="H746" s="13"/>
    </row>
    <row r="747">
      <c r="H747" s="13"/>
    </row>
    <row r="748">
      <c r="H748" s="13"/>
    </row>
    <row r="749">
      <c r="H749" s="13"/>
    </row>
    <row r="750">
      <c r="H750" s="13"/>
    </row>
    <row r="751">
      <c r="H751" s="13"/>
    </row>
    <row r="752">
      <c r="H752" s="13"/>
    </row>
    <row r="753">
      <c r="H753" s="13"/>
    </row>
    <row r="754">
      <c r="H754" s="13"/>
    </row>
    <row r="755">
      <c r="H755" s="13"/>
    </row>
    <row r="756">
      <c r="H756" s="13"/>
    </row>
    <row r="757">
      <c r="H757" s="13"/>
    </row>
    <row r="758">
      <c r="H758" s="13"/>
    </row>
    <row r="759">
      <c r="H759" s="13"/>
    </row>
    <row r="760">
      <c r="H760" s="13"/>
    </row>
    <row r="761">
      <c r="H761" s="13"/>
    </row>
    <row r="762">
      <c r="H762" s="13"/>
    </row>
    <row r="763">
      <c r="H763" s="13"/>
    </row>
    <row r="764">
      <c r="H764" s="13"/>
    </row>
    <row r="765">
      <c r="H765" s="13"/>
    </row>
    <row r="766">
      <c r="H766" s="13"/>
    </row>
    <row r="767">
      <c r="H767" s="13"/>
    </row>
    <row r="768">
      <c r="H768" s="13"/>
    </row>
    <row r="769">
      <c r="H769" s="13"/>
    </row>
    <row r="770">
      <c r="H770" s="13"/>
    </row>
    <row r="771">
      <c r="H771" s="13"/>
    </row>
    <row r="772">
      <c r="H772" s="13"/>
    </row>
    <row r="773">
      <c r="H773" s="13"/>
    </row>
    <row r="774">
      <c r="H774" s="13"/>
    </row>
    <row r="775">
      <c r="H775" s="13"/>
    </row>
    <row r="776">
      <c r="H776" s="13"/>
    </row>
    <row r="777">
      <c r="H777" s="13"/>
    </row>
    <row r="778">
      <c r="H778" s="13"/>
    </row>
    <row r="779">
      <c r="H779" s="13"/>
    </row>
    <row r="780">
      <c r="H780" s="13"/>
    </row>
    <row r="781">
      <c r="H781" s="13"/>
    </row>
    <row r="782">
      <c r="H782" s="13"/>
    </row>
    <row r="783">
      <c r="H783" s="13"/>
    </row>
    <row r="784">
      <c r="H784" s="13"/>
    </row>
    <row r="785">
      <c r="H785" s="13"/>
    </row>
    <row r="786">
      <c r="H786" s="13"/>
    </row>
    <row r="787">
      <c r="H787" s="13"/>
    </row>
    <row r="788">
      <c r="H788" s="13"/>
    </row>
    <row r="789">
      <c r="H789" s="13"/>
    </row>
    <row r="790">
      <c r="H790" s="13"/>
    </row>
    <row r="791">
      <c r="H791" s="13"/>
    </row>
    <row r="792">
      <c r="H792" s="13"/>
    </row>
    <row r="793">
      <c r="H793" s="13"/>
    </row>
    <row r="794">
      <c r="H794" s="13"/>
    </row>
    <row r="795">
      <c r="H795" s="13"/>
    </row>
    <row r="796">
      <c r="H796" s="13"/>
    </row>
    <row r="797">
      <c r="H797" s="13"/>
    </row>
    <row r="798">
      <c r="H798" s="13"/>
    </row>
    <row r="799">
      <c r="H799" s="13"/>
    </row>
    <row r="800">
      <c r="H800" s="13"/>
    </row>
    <row r="801">
      <c r="H801" s="13"/>
    </row>
    <row r="802">
      <c r="H802" s="13"/>
    </row>
    <row r="803">
      <c r="H803" s="13"/>
    </row>
    <row r="804">
      <c r="H804" s="13"/>
    </row>
    <row r="805">
      <c r="H805" s="13"/>
    </row>
    <row r="806">
      <c r="H806" s="13"/>
    </row>
    <row r="807">
      <c r="H807" s="13"/>
    </row>
    <row r="808">
      <c r="H808" s="13"/>
    </row>
    <row r="809">
      <c r="H809" s="13"/>
    </row>
    <row r="810">
      <c r="H810" s="13"/>
    </row>
    <row r="811">
      <c r="H811" s="13"/>
    </row>
    <row r="812">
      <c r="H812" s="13"/>
    </row>
    <row r="813">
      <c r="H813" s="13"/>
    </row>
    <row r="814">
      <c r="H814" s="13"/>
    </row>
    <row r="815">
      <c r="H815" s="13"/>
    </row>
    <row r="816">
      <c r="H816" s="13"/>
    </row>
    <row r="817">
      <c r="H817" s="13"/>
    </row>
    <row r="818">
      <c r="H818" s="13"/>
    </row>
    <row r="819">
      <c r="H819" s="13"/>
    </row>
    <row r="820">
      <c r="H820" s="13"/>
    </row>
    <row r="821">
      <c r="H821" s="13"/>
    </row>
    <row r="822">
      <c r="H822" s="13"/>
    </row>
    <row r="823">
      <c r="H823" s="13"/>
    </row>
    <row r="824">
      <c r="H824" s="13"/>
    </row>
    <row r="825">
      <c r="H825" s="13"/>
    </row>
    <row r="826">
      <c r="H826" s="13"/>
    </row>
    <row r="827">
      <c r="H827" s="13"/>
    </row>
    <row r="828">
      <c r="H828" s="13"/>
    </row>
    <row r="829">
      <c r="H829" s="13"/>
    </row>
    <row r="830">
      <c r="H830" s="13"/>
    </row>
    <row r="831">
      <c r="H831" s="13"/>
    </row>
    <row r="832">
      <c r="H832" s="13"/>
    </row>
    <row r="833">
      <c r="H833" s="13"/>
    </row>
    <row r="834">
      <c r="H834" s="13"/>
    </row>
    <row r="835">
      <c r="H835" s="13"/>
    </row>
    <row r="836">
      <c r="H836" s="13"/>
    </row>
    <row r="837">
      <c r="H837" s="13"/>
    </row>
    <row r="838">
      <c r="H838" s="13"/>
    </row>
    <row r="839">
      <c r="H839" s="13"/>
    </row>
    <row r="840">
      <c r="H840" s="13"/>
    </row>
    <row r="841">
      <c r="H841" s="13"/>
    </row>
    <row r="842">
      <c r="H842" s="13"/>
    </row>
    <row r="843">
      <c r="H843" s="13"/>
    </row>
    <row r="844">
      <c r="H844" s="13"/>
    </row>
    <row r="845">
      <c r="H845" s="13"/>
    </row>
    <row r="846">
      <c r="H846" s="13"/>
    </row>
    <row r="847">
      <c r="H847" s="13"/>
    </row>
    <row r="848">
      <c r="H848" s="13"/>
    </row>
    <row r="849">
      <c r="H849" s="13"/>
    </row>
    <row r="850">
      <c r="H850" s="13"/>
    </row>
    <row r="851">
      <c r="H851" s="13"/>
    </row>
    <row r="852">
      <c r="H852" s="13"/>
    </row>
    <row r="853">
      <c r="H853" s="13"/>
    </row>
    <row r="854">
      <c r="H854" s="13"/>
    </row>
    <row r="855">
      <c r="H855" s="13"/>
    </row>
    <row r="856">
      <c r="H856" s="13"/>
    </row>
    <row r="857">
      <c r="H857" s="13"/>
    </row>
    <row r="858">
      <c r="H858" s="13"/>
    </row>
    <row r="859">
      <c r="H859" s="13"/>
    </row>
    <row r="860">
      <c r="H860" s="13"/>
    </row>
    <row r="861">
      <c r="H861" s="13"/>
    </row>
    <row r="862">
      <c r="H862" s="13"/>
    </row>
    <row r="863">
      <c r="H863" s="13"/>
    </row>
    <row r="864">
      <c r="H864" s="13"/>
    </row>
    <row r="865">
      <c r="H865" s="13"/>
    </row>
    <row r="866">
      <c r="H866" s="13"/>
    </row>
    <row r="867">
      <c r="H867" s="13"/>
    </row>
    <row r="868">
      <c r="H868" s="13"/>
    </row>
    <row r="869">
      <c r="H869" s="13"/>
    </row>
    <row r="870">
      <c r="H870" s="13"/>
    </row>
    <row r="871">
      <c r="H871" s="13"/>
    </row>
    <row r="872">
      <c r="H872" s="13"/>
    </row>
    <row r="873">
      <c r="H873" s="13"/>
    </row>
    <row r="874">
      <c r="H874" s="13"/>
    </row>
    <row r="875">
      <c r="H875" s="13"/>
    </row>
    <row r="876">
      <c r="H876" s="13"/>
    </row>
    <row r="877">
      <c r="H877" s="13"/>
    </row>
    <row r="878">
      <c r="H878" s="13"/>
    </row>
    <row r="879">
      <c r="H879" s="13"/>
    </row>
    <row r="880">
      <c r="H880" s="13"/>
    </row>
    <row r="881">
      <c r="H881" s="13"/>
    </row>
    <row r="882">
      <c r="H882" s="13"/>
    </row>
    <row r="883">
      <c r="H883" s="13"/>
    </row>
    <row r="884">
      <c r="H884" s="13"/>
    </row>
    <row r="885">
      <c r="H885" s="13"/>
    </row>
    <row r="886">
      <c r="H886" s="13"/>
    </row>
    <row r="887">
      <c r="H887" s="13"/>
    </row>
    <row r="888">
      <c r="H888" s="13"/>
    </row>
    <row r="889">
      <c r="H889" s="13"/>
    </row>
    <row r="890">
      <c r="H890" s="13"/>
    </row>
    <row r="891">
      <c r="H891" s="13"/>
    </row>
    <row r="892">
      <c r="H892" s="13"/>
    </row>
    <row r="893">
      <c r="H893" s="13"/>
    </row>
    <row r="894">
      <c r="H894" s="13"/>
    </row>
    <row r="895">
      <c r="H895" s="13"/>
    </row>
    <row r="896">
      <c r="H896" s="13"/>
    </row>
    <row r="897">
      <c r="H897" s="13"/>
    </row>
    <row r="898">
      <c r="H898" s="13"/>
    </row>
    <row r="899">
      <c r="H899" s="13"/>
    </row>
    <row r="900">
      <c r="H900" s="13"/>
    </row>
    <row r="901">
      <c r="H901" s="13"/>
    </row>
    <row r="902">
      <c r="H902" s="13"/>
    </row>
    <row r="903">
      <c r="H903" s="13"/>
    </row>
    <row r="904">
      <c r="H904" s="13"/>
    </row>
    <row r="905">
      <c r="H905" s="13"/>
    </row>
    <row r="906">
      <c r="H906" s="13"/>
    </row>
    <row r="907">
      <c r="H907" s="13"/>
    </row>
    <row r="908">
      <c r="H908" s="13"/>
    </row>
    <row r="909">
      <c r="H909" s="13"/>
    </row>
    <row r="910">
      <c r="H910" s="13"/>
    </row>
    <row r="911">
      <c r="H911" s="13"/>
    </row>
    <row r="912">
      <c r="H912" s="13"/>
    </row>
    <row r="913">
      <c r="H913" s="13"/>
    </row>
    <row r="914">
      <c r="H914" s="13"/>
    </row>
    <row r="915">
      <c r="H915" s="13"/>
    </row>
    <row r="916">
      <c r="H916" s="13"/>
    </row>
    <row r="917">
      <c r="H917" s="13"/>
    </row>
    <row r="918">
      <c r="H918" s="13"/>
    </row>
    <row r="919">
      <c r="H919" s="13"/>
    </row>
    <row r="920">
      <c r="H920" s="13"/>
    </row>
    <row r="921">
      <c r="H921" s="13"/>
    </row>
    <row r="922">
      <c r="H922" s="13"/>
    </row>
    <row r="923">
      <c r="H923" s="13"/>
    </row>
    <row r="924">
      <c r="H924" s="13"/>
    </row>
    <row r="925">
      <c r="H925" s="13"/>
    </row>
    <row r="926">
      <c r="H926" s="13"/>
    </row>
    <row r="927">
      <c r="H927" s="13"/>
    </row>
    <row r="928">
      <c r="H928" s="13"/>
    </row>
    <row r="929">
      <c r="H929" s="13"/>
    </row>
    <row r="930">
      <c r="H930" s="13"/>
    </row>
    <row r="931">
      <c r="H931" s="13"/>
    </row>
    <row r="932">
      <c r="H932" s="13"/>
    </row>
    <row r="933">
      <c r="H933" s="13"/>
    </row>
    <row r="934">
      <c r="H934" s="13"/>
    </row>
    <row r="935">
      <c r="H935" s="13"/>
    </row>
    <row r="936">
      <c r="H936" s="13"/>
    </row>
    <row r="937">
      <c r="H937" s="13"/>
    </row>
    <row r="938">
      <c r="H938" s="13"/>
    </row>
    <row r="939">
      <c r="H939" s="13"/>
    </row>
    <row r="940">
      <c r="H940" s="13"/>
    </row>
    <row r="941">
      <c r="H941" s="13"/>
    </row>
    <row r="942">
      <c r="H942" s="13"/>
    </row>
    <row r="943">
      <c r="H943" s="13"/>
    </row>
    <row r="944">
      <c r="H944" s="13"/>
    </row>
    <row r="945">
      <c r="H945" s="13"/>
    </row>
    <row r="946">
      <c r="H946" s="13"/>
    </row>
    <row r="947">
      <c r="H947" s="13"/>
    </row>
    <row r="948">
      <c r="H948" s="13"/>
    </row>
    <row r="949">
      <c r="H949" s="13"/>
    </row>
    <row r="950">
      <c r="H950" s="13"/>
    </row>
    <row r="951">
      <c r="H951" s="13"/>
    </row>
    <row r="952">
      <c r="H952" s="13"/>
    </row>
    <row r="953">
      <c r="H953" s="13"/>
    </row>
    <row r="954">
      <c r="H954" s="13"/>
    </row>
    <row r="955">
      <c r="H955" s="13"/>
    </row>
    <row r="956">
      <c r="H956" s="13"/>
    </row>
    <row r="957">
      <c r="H957" s="13"/>
    </row>
    <row r="958">
      <c r="H958" s="13"/>
    </row>
    <row r="959">
      <c r="H959" s="13"/>
    </row>
    <row r="960">
      <c r="H960" s="13"/>
    </row>
    <row r="961">
      <c r="H961" s="13"/>
    </row>
    <row r="962">
      <c r="H962" s="13"/>
    </row>
    <row r="963">
      <c r="H963" s="13"/>
    </row>
    <row r="964">
      <c r="H964" s="13"/>
    </row>
    <row r="965">
      <c r="H965" s="13"/>
    </row>
    <row r="966">
      <c r="H966" s="13"/>
    </row>
    <row r="967">
      <c r="H967" s="13"/>
    </row>
    <row r="968">
      <c r="H968" s="13"/>
    </row>
    <row r="969">
      <c r="H969" s="13"/>
    </row>
    <row r="970">
      <c r="H970" s="13"/>
    </row>
    <row r="971">
      <c r="H971" s="13"/>
    </row>
    <row r="972">
      <c r="H972" s="13"/>
    </row>
    <row r="973">
      <c r="H973" s="13"/>
    </row>
    <row r="974">
      <c r="H974" s="13"/>
    </row>
    <row r="975">
      <c r="H975" s="13"/>
    </row>
    <row r="976">
      <c r="H976" s="13"/>
    </row>
    <row r="977">
      <c r="H977" s="13"/>
    </row>
    <row r="978">
      <c r="H978" s="13"/>
    </row>
    <row r="979">
      <c r="H979" s="13"/>
    </row>
    <row r="980">
      <c r="H980" s="13"/>
    </row>
    <row r="981">
      <c r="H981" s="13"/>
    </row>
    <row r="982">
      <c r="H982" s="13"/>
    </row>
    <row r="983">
      <c r="H983" s="13"/>
    </row>
    <row r="984">
      <c r="H984" s="13"/>
    </row>
    <row r="985">
      <c r="H985" s="13"/>
    </row>
    <row r="986">
      <c r="H986" s="13"/>
    </row>
    <row r="987">
      <c r="H987" s="13"/>
    </row>
    <row r="988">
      <c r="H988" s="13"/>
    </row>
    <row r="989">
      <c r="H989" s="13"/>
    </row>
    <row r="990">
      <c r="H990" s="13"/>
    </row>
    <row r="991">
      <c r="H991" s="13"/>
    </row>
    <row r="992">
      <c r="H992" s="13"/>
    </row>
    <row r="993">
      <c r="H993" s="13"/>
    </row>
    <row r="994">
      <c r="H994" s="13"/>
    </row>
    <row r="995">
      <c r="H995" s="13"/>
    </row>
    <row r="996">
      <c r="H996" s="13"/>
    </row>
    <row r="997">
      <c r="H997" s="13"/>
    </row>
    <row r="998">
      <c r="H998" s="13"/>
    </row>
    <row r="999">
      <c r="H999" s="13"/>
    </row>
    <row r="1000">
      <c r="H1000" s="13"/>
    </row>
  </sheetData>
  <drawing r:id="rId1"/>
  <tableParts count="1">
    <tablePart r:id="rId3"/>
  </tableParts>
</worksheet>
</file>